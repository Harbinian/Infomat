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hidePivotFieldList="1"/>
  <bookViews>
    <workbookView windowWidth="25200" windowHeight="11640" firstSheet="2" activeTab="6"/>
  </bookViews>
  <sheets>
    <sheet name="工程研发事业部人员名单" sheetId="2" state="hidden" r:id="rId1"/>
    <sheet name="项目简称" sheetId="8" state="hidden" r:id="rId2"/>
    <sheet name="X月项目工时" sheetId="1" r:id="rId3"/>
    <sheet name="X月项目工时 (固定公式)" sheetId="11" state="hidden" r:id="rId4"/>
    <sheet name="领导干部" sheetId="9" state="hidden" r:id="rId5"/>
    <sheet name="订单号" sheetId="10" r:id="rId6"/>
    <sheet name="提取订单号（不含领导干部）" sheetId="12" r:id="rId7"/>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s>
  <definedNames>
    <definedName name="_xlnm._FilterDatabase" localSheetId="2" hidden="1">X月项目工时!$A$1:$O$498</definedName>
    <definedName name="_xlnm._FilterDatabase" localSheetId="3" hidden="1">'X月项目工时 (固定公式)'!$A$1:$O$464</definedName>
    <definedName name="_xlnm._FilterDatabase" localSheetId="6" hidden="1">'提取订单号（不含领导干部）'!$A$1:$F$152</definedName>
  </definedNames>
  <calcPr calcId="144525"/>
  <pivotCaches>
    <pivotCache cacheId="0" r:id="rId8"/>
    <pivotCache cacheId="1" r:id="rId9"/>
  </pivotCaches>
</workbook>
</file>

<file path=xl/sharedStrings.xml><?xml version="1.0" encoding="utf-8"?>
<sst xmlns="http://schemas.openxmlformats.org/spreadsheetml/2006/main" count="4430" uniqueCount="955">
  <si>
    <t>序号</t>
  </si>
  <si>
    <r>
      <rPr>
        <b/>
        <sz val="11"/>
        <rFont val="宋体"/>
        <charset val="134"/>
      </rPr>
      <t>姓名</t>
    </r>
  </si>
  <si>
    <r>
      <rPr>
        <b/>
        <sz val="11"/>
        <rFont val="宋体"/>
        <charset val="134"/>
      </rPr>
      <t>胸卡号</t>
    </r>
  </si>
  <si>
    <r>
      <rPr>
        <b/>
        <sz val="11"/>
        <rFont val="宋体"/>
        <charset val="134"/>
      </rPr>
      <t>专业室</t>
    </r>
  </si>
  <si>
    <r>
      <rPr>
        <sz val="11"/>
        <rFont val="宋体"/>
        <charset val="134"/>
      </rPr>
      <t>毛磊凯</t>
    </r>
  </si>
  <si>
    <t>办公室</t>
  </si>
  <si>
    <r>
      <rPr>
        <sz val="11"/>
        <rFont val="宋体"/>
        <charset val="134"/>
      </rPr>
      <t>刘杰</t>
    </r>
  </si>
  <si>
    <r>
      <rPr>
        <sz val="11"/>
        <color indexed="8"/>
        <rFont val="宋体"/>
        <charset val="134"/>
      </rPr>
      <t>宋凯（总体）</t>
    </r>
  </si>
  <si>
    <r>
      <rPr>
        <sz val="11"/>
        <color indexed="8"/>
        <rFont val="宋体"/>
        <charset val="134"/>
      </rPr>
      <t>张继斌</t>
    </r>
  </si>
  <si>
    <t>总体室</t>
  </si>
  <si>
    <r>
      <rPr>
        <sz val="11"/>
        <color indexed="8"/>
        <rFont val="宋体"/>
        <charset val="134"/>
      </rPr>
      <t>赵婷</t>
    </r>
  </si>
  <si>
    <r>
      <rPr>
        <sz val="11"/>
        <color indexed="8"/>
        <rFont val="宋体"/>
        <charset val="134"/>
      </rPr>
      <t>刘聪</t>
    </r>
  </si>
  <si>
    <r>
      <rPr>
        <sz val="11"/>
        <color indexed="8"/>
        <rFont val="宋体"/>
        <charset val="134"/>
      </rPr>
      <t>刘全</t>
    </r>
  </si>
  <si>
    <r>
      <rPr>
        <sz val="11"/>
        <color indexed="8"/>
        <rFont val="宋体"/>
        <charset val="134"/>
      </rPr>
      <t>秦超</t>
    </r>
  </si>
  <si>
    <r>
      <rPr>
        <sz val="11"/>
        <color indexed="8"/>
        <rFont val="宋体"/>
        <charset val="134"/>
      </rPr>
      <t>尤宏良</t>
    </r>
  </si>
  <si>
    <r>
      <rPr>
        <sz val="11"/>
        <color indexed="8"/>
        <rFont val="宋体"/>
        <charset val="134"/>
      </rPr>
      <t>任璐璐</t>
    </r>
  </si>
  <si>
    <r>
      <rPr>
        <sz val="11"/>
        <color indexed="8"/>
        <rFont val="宋体"/>
        <charset val="134"/>
      </rPr>
      <t>赵长辉</t>
    </r>
  </si>
  <si>
    <r>
      <rPr>
        <sz val="11"/>
        <color indexed="8"/>
        <rFont val="宋体"/>
        <charset val="134"/>
      </rPr>
      <t>刘成</t>
    </r>
  </si>
  <si>
    <r>
      <rPr>
        <sz val="11"/>
        <rFont val="宋体"/>
        <charset val="134"/>
      </rPr>
      <t>刘洋</t>
    </r>
  </si>
  <si>
    <t>系统室</t>
  </si>
  <si>
    <r>
      <rPr>
        <sz val="11"/>
        <rFont val="宋体"/>
        <charset val="134"/>
      </rPr>
      <t>魏春生</t>
    </r>
  </si>
  <si>
    <r>
      <rPr>
        <sz val="11"/>
        <rFont val="宋体"/>
        <charset val="134"/>
      </rPr>
      <t>刘媛媛</t>
    </r>
  </si>
  <si>
    <r>
      <rPr>
        <sz val="11"/>
        <rFont val="宋体"/>
        <charset val="134"/>
      </rPr>
      <t>骆美玲</t>
    </r>
  </si>
  <si>
    <r>
      <rPr>
        <sz val="11"/>
        <rFont val="宋体"/>
        <charset val="134"/>
      </rPr>
      <t>刘超</t>
    </r>
  </si>
  <si>
    <r>
      <rPr>
        <sz val="11"/>
        <rFont val="宋体"/>
        <charset val="134"/>
      </rPr>
      <t>任斌</t>
    </r>
  </si>
  <si>
    <r>
      <rPr>
        <sz val="11"/>
        <rFont val="宋体"/>
        <charset val="134"/>
      </rPr>
      <t>吴晓莉</t>
    </r>
  </si>
  <si>
    <r>
      <rPr>
        <sz val="11"/>
        <rFont val="宋体"/>
        <charset val="134"/>
      </rPr>
      <t>宋凯</t>
    </r>
  </si>
  <si>
    <r>
      <rPr>
        <sz val="11"/>
        <rFont val="宋体"/>
        <charset val="134"/>
      </rPr>
      <t>万方</t>
    </r>
  </si>
  <si>
    <r>
      <rPr>
        <sz val="11"/>
        <rFont val="宋体"/>
        <charset val="134"/>
      </rPr>
      <t>李妍</t>
    </r>
  </si>
  <si>
    <r>
      <rPr>
        <sz val="11"/>
        <rFont val="宋体"/>
        <charset val="134"/>
      </rPr>
      <t>刘凯男</t>
    </r>
  </si>
  <si>
    <t>夏雷</t>
  </si>
  <si>
    <t>赵子维</t>
  </si>
  <si>
    <r>
      <rPr>
        <sz val="11"/>
        <rFont val="宋体"/>
        <charset val="134"/>
      </rPr>
      <t>刘旭</t>
    </r>
  </si>
  <si>
    <t>强度室</t>
  </si>
  <si>
    <r>
      <rPr>
        <sz val="11"/>
        <rFont val="宋体"/>
        <charset val="134"/>
      </rPr>
      <t>刘磊</t>
    </r>
  </si>
  <si>
    <r>
      <rPr>
        <sz val="11"/>
        <rFont val="宋体"/>
        <charset val="134"/>
      </rPr>
      <t>许美娟</t>
    </r>
  </si>
  <si>
    <r>
      <rPr>
        <sz val="11"/>
        <rFont val="宋体"/>
        <charset val="134"/>
      </rPr>
      <t>何续斌</t>
    </r>
  </si>
  <si>
    <r>
      <rPr>
        <sz val="11"/>
        <rFont val="宋体"/>
        <charset val="134"/>
      </rPr>
      <t>徐君升</t>
    </r>
  </si>
  <si>
    <r>
      <rPr>
        <sz val="11"/>
        <rFont val="宋体"/>
        <charset val="134"/>
      </rPr>
      <t>靳海丰</t>
    </r>
  </si>
  <si>
    <r>
      <rPr>
        <sz val="11"/>
        <rFont val="宋体"/>
        <charset val="134"/>
      </rPr>
      <t>王呈呈</t>
    </r>
  </si>
  <si>
    <r>
      <rPr>
        <sz val="11"/>
        <rFont val="宋体"/>
        <charset val="134"/>
      </rPr>
      <t>王岩</t>
    </r>
  </si>
  <si>
    <r>
      <rPr>
        <sz val="11"/>
        <rFont val="宋体"/>
        <charset val="134"/>
      </rPr>
      <t>张文静</t>
    </r>
  </si>
  <si>
    <r>
      <rPr>
        <sz val="11"/>
        <rFont val="宋体"/>
        <charset val="134"/>
      </rPr>
      <t>郑石</t>
    </r>
  </si>
  <si>
    <r>
      <rPr>
        <sz val="11"/>
        <rFont val="宋体"/>
        <charset val="134"/>
      </rPr>
      <t>陈瑞东</t>
    </r>
  </si>
  <si>
    <r>
      <rPr>
        <sz val="11"/>
        <rFont val="宋体"/>
        <charset val="134"/>
      </rPr>
      <t>刘可佳</t>
    </r>
  </si>
  <si>
    <r>
      <rPr>
        <sz val="11"/>
        <rFont val="宋体"/>
        <charset val="134"/>
      </rPr>
      <t>纪可</t>
    </r>
  </si>
  <si>
    <r>
      <rPr>
        <sz val="11"/>
        <rFont val="宋体"/>
        <charset val="134"/>
      </rPr>
      <t>孟维宇</t>
    </r>
  </si>
  <si>
    <r>
      <rPr>
        <sz val="11"/>
        <rFont val="宋体"/>
        <charset val="134"/>
      </rPr>
      <t>支晗</t>
    </r>
  </si>
  <si>
    <r>
      <rPr>
        <sz val="11"/>
        <rFont val="宋体"/>
        <charset val="134"/>
      </rPr>
      <t>刘曦</t>
    </r>
  </si>
  <si>
    <r>
      <rPr>
        <sz val="11"/>
        <rFont val="宋体"/>
        <charset val="134"/>
      </rPr>
      <t>赵永利</t>
    </r>
  </si>
  <si>
    <r>
      <rPr>
        <sz val="11"/>
        <rFont val="宋体"/>
        <charset val="134"/>
      </rPr>
      <t>焦凯</t>
    </r>
  </si>
  <si>
    <r>
      <rPr>
        <sz val="11"/>
        <rFont val="宋体"/>
        <charset val="134"/>
      </rPr>
      <t>李爱环</t>
    </r>
  </si>
  <si>
    <r>
      <rPr>
        <sz val="11"/>
        <rFont val="宋体"/>
        <charset val="134"/>
      </rPr>
      <t>李忠霖</t>
    </r>
  </si>
  <si>
    <r>
      <rPr>
        <sz val="11"/>
        <rFont val="宋体"/>
        <charset val="134"/>
      </rPr>
      <t>朱照泽</t>
    </r>
  </si>
  <si>
    <r>
      <rPr>
        <sz val="11"/>
        <rFont val="宋体"/>
        <charset val="134"/>
      </rPr>
      <t>柴宝</t>
    </r>
  </si>
  <si>
    <r>
      <rPr>
        <sz val="11"/>
        <rFont val="宋体"/>
        <charset val="134"/>
      </rPr>
      <t>闫洪乐</t>
    </r>
  </si>
  <si>
    <t>马雪菲</t>
  </si>
  <si>
    <t>陈诗春</t>
  </si>
  <si>
    <t>乔志斌</t>
  </si>
  <si>
    <t>祝堃</t>
  </si>
  <si>
    <r>
      <rPr>
        <sz val="11"/>
        <color indexed="8"/>
        <rFont val="宋体"/>
        <charset val="134"/>
      </rPr>
      <t>晨曦</t>
    </r>
  </si>
  <si>
    <t>李泽霖</t>
  </si>
  <si>
    <t>张铎耀</t>
  </si>
  <si>
    <r>
      <rPr>
        <sz val="11"/>
        <rFont val="宋体"/>
        <charset val="134"/>
      </rPr>
      <t>张智浩</t>
    </r>
  </si>
  <si>
    <t>结构一室</t>
  </si>
  <si>
    <r>
      <rPr>
        <sz val="11"/>
        <rFont val="宋体"/>
        <charset val="134"/>
      </rPr>
      <t>张熙尧</t>
    </r>
  </si>
  <si>
    <r>
      <rPr>
        <sz val="11"/>
        <rFont val="宋体"/>
        <charset val="134"/>
      </rPr>
      <t>丛家勇</t>
    </r>
  </si>
  <si>
    <r>
      <rPr>
        <sz val="11"/>
        <rFont val="宋体"/>
        <charset val="134"/>
      </rPr>
      <t>王健</t>
    </r>
  </si>
  <si>
    <r>
      <rPr>
        <sz val="11"/>
        <rFont val="宋体"/>
        <charset val="134"/>
      </rPr>
      <t>张秀丽</t>
    </r>
  </si>
  <si>
    <r>
      <rPr>
        <sz val="11"/>
        <rFont val="宋体"/>
        <charset val="134"/>
      </rPr>
      <t>李金鹰</t>
    </r>
  </si>
  <si>
    <r>
      <rPr>
        <sz val="11"/>
        <rFont val="宋体"/>
        <charset val="134"/>
      </rPr>
      <t>付容容</t>
    </r>
  </si>
  <si>
    <r>
      <rPr>
        <sz val="11"/>
        <rFont val="宋体"/>
        <charset val="134"/>
      </rPr>
      <t>陈磊</t>
    </r>
  </si>
  <si>
    <r>
      <rPr>
        <sz val="11"/>
        <rFont val="宋体"/>
        <charset val="134"/>
      </rPr>
      <t>马岩</t>
    </r>
  </si>
  <si>
    <r>
      <rPr>
        <sz val="11"/>
        <rFont val="宋体"/>
        <charset val="134"/>
      </rPr>
      <t>郭晓庆</t>
    </r>
  </si>
  <si>
    <r>
      <rPr>
        <sz val="11"/>
        <rFont val="宋体"/>
        <charset val="134"/>
      </rPr>
      <t>于磊</t>
    </r>
  </si>
  <si>
    <r>
      <rPr>
        <sz val="11"/>
        <rFont val="宋体"/>
        <charset val="134"/>
      </rPr>
      <t>杨炎通</t>
    </r>
  </si>
  <si>
    <r>
      <rPr>
        <sz val="11"/>
        <rFont val="宋体"/>
        <charset val="134"/>
      </rPr>
      <t>栾鹏</t>
    </r>
  </si>
  <si>
    <r>
      <rPr>
        <sz val="11"/>
        <rFont val="宋体"/>
        <charset val="134"/>
      </rPr>
      <t>塔拉</t>
    </r>
  </si>
  <si>
    <r>
      <rPr>
        <sz val="11"/>
        <rFont val="宋体"/>
        <charset val="134"/>
      </rPr>
      <t>魏士礼</t>
    </r>
  </si>
  <si>
    <r>
      <rPr>
        <sz val="11"/>
        <rFont val="宋体"/>
        <charset val="134"/>
      </rPr>
      <t>葛春生</t>
    </r>
  </si>
  <si>
    <r>
      <rPr>
        <sz val="11"/>
        <rFont val="宋体"/>
        <charset val="134"/>
      </rPr>
      <t>董晓莉</t>
    </r>
  </si>
  <si>
    <r>
      <rPr>
        <sz val="11"/>
        <rFont val="宋体"/>
        <charset val="134"/>
      </rPr>
      <t>李守玺</t>
    </r>
  </si>
  <si>
    <r>
      <rPr>
        <sz val="11"/>
        <rFont val="宋体"/>
        <charset val="134"/>
      </rPr>
      <t>杨春</t>
    </r>
  </si>
  <si>
    <r>
      <rPr>
        <sz val="11"/>
        <rFont val="宋体"/>
        <charset val="134"/>
      </rPr>
      <t>马壮</t>
    </r>
  </si>
  <si>
    <r>
      <rPr>
        <sz val="11"/>
        <rFont val="宋体"/>
        <charset val="134"/>
      </rPr>
      <t>康志明</t>
    </r>
  </si>
  <si>
    <r>
      <rPr>
        <sz val="11"/>
        <rFont val="宋体"/>
        <charset val="134"/>
      </rPr>
      <t>王哲</t>
    </r>
  </si>
  <si>
    <r>
      <rPr>
        <sz val="11"/>
        <rFont val="宋体"/>
        <charset val="134"/>
      </rPr>
      <t>孟祥瑞</t>
    </r>
  </si>
  <si>
    <r>
      <rPr>
        <sz val="11"/>
        <rFont val="宋体"/>
        <charset val="134"/>
      </rPr>
      <t>周弘扬</t>
    </r>
  </si>
  <si>
    <r>
      <rPr>
        <sz val="11"/>
        <rFont val="宋体"/>
        <charset val="134"/>
      </rPr>
      <t>曲汝文</t>
    </r>
  </si>
  <si>
    <r>
      <rPr>
        <sz val="11"/>
        <rFont val="宋体"/>
        <charset val="134"/>
      </rPr>
      <t>马佳</t>
    </r>
  </si>
  <si>
    <r>
      <rPr>
        <sz val="11"/>
        <rFont val="宋体"/>
        <charset val="134"/>
      </rPr>
      <t>卢伟</t>
    </r>
  </si>
  <si>
    <r>
      <rPr>
        <sz val="11"/>
        <rFont val="宋体"/>
        <charset val="134"/>
      </rPr>
      <t>周天一</t>
    </r>
  </si>
  <si>
    <t>崔建军</t>
  </si>
  <si>
    <t>杨帆</t>
  </si>
  <si>
    <t>王君元</t>
  </si>
  <si>
    <t>徐楚桓</t>
  </si>
  <si>
    <r>
      <rPr>
        <sz val="11"/>
        <rFont val="宋体"/>
        <charset val="134"/>
      </rPr>
      <t>吕国成</t>
    </r>
  </si>
  <si>
    <t>结构二室</t>
  </si>
  <si>
    <r>
      <rPr>
        <sz val="11"/>
        <rFont val="宋体"/>
        <charset val="134"/>
      </rPr>
      <t>张成</t>
    </r>
  </si>
  <si>
    <r>
      <rPr>
        <sz val="11"/>
        <rFont val="宋体"/>
        <charset val="134"/>
      </rPr>
      <t>张刚</t>
    </r>
  </si>
  <si>
    <r>
      <rPr>
        <sz val="11"/>
        <rFont val="宋体"/>
        <charset val="134"/>
      </rPr>
      <t>牛福春</t>
    </r>
  </si>
  <si>
    <r>
      <rPr>
        <sz val="11"/>
        <rFont val="宋体"/>
        <charset val="134"/>
      </rPr>
      <t>赵艳秦</t>
    </r>
  </si>
  <si>
    <r>
      <rPr>
        <sz val="11"/>
        <rFont val="宋体"/>
        <charset val="134"/>
      </rPr>
      <t>罗贵骞</t>
    </r>
  </si>
  <si>
    <r>
      <rPr>
        <sz val="11"/>
        <rFont val="宋体"/>
        <charset val="134"/>
      </rPr>
      <t>徐丹</t>
    </r>
  </si>
  <si>
    <r>
      <rPr>
        <sz val="11"/>
        <rFont val="宋体"/>
        <charset val="134"/>
      </rPr>
      <t>孟玲俊</t>
    </r>
  </si>
  <si>
    <r>
      <rPr>
        <sz val="11"/>
        <rFont val="宋体"/>
        <charset val="134"/>
      </rPr>
      <t>周莫普</t>
    </r>
  </si>
  <si>
    <r>
      <rPr>
        <sz val="11"/>
        <rFont val="宋体"/>
        <charset val="134"/>
      </rPr>
      <t>孟力华</t>
    </r>
  </si>
  <si>
    <r>
      <rPr>
        <sz val="11"/>
        <rFont val="宋体"/>
        <charset val="134"/>
      </rPr>
      <t>赵莉</t>
    </r>
  </si>
  <si>
    <r>
      <rPr>
        <sz val="11"/>
        <rFont val="宋体"/>
        <charset val="134"/>
      </rPr>
      <t>李森</t>
    </r>
  </si>
  <si>
    <r>
      <rPr>
        <sz val="11"/>
        <rFont val="宋体"/>
        <charset val="134"/>
      </rPr>
      <t>杜洪雨</t>
    </r>
  </si>
  <si>
    <r>
      <rPr>
        <sz val="11"/>
        <rFont val="宋体"/>
        <charset val="134"/>
      </rPr>
      <t>刘金晶</t>
    </r>
  </si>
  <si>
    <r>
      <rPr>
        <sz val="11"/>
        <rFont val="宋体"/>
        <charset val="134"/>
      </rPr>
      <t>陈杰</t>
    </r>
  </si>
  <si>
    <r>
      <rPr>
        <sz val="11"/>
        <rFont val="宋体"/>
        <charset val="134"/>
      </rPr>
      <t>马爽</t>
    </r>
  </si>
  <si>
    <r>
      <rPr>
        <sz val="11"/>
        <rFont val="宋体"/>
        <charset val="134"/>
      </rPr>
      <t>康霞</t>
    </r>
  </si>
  <si>
    <r>
      <rPr>
        <sz val="11"/>
        <rFont val="宋体"/>
        <charset val="134"/>
      </rPr>
      <t>贾永亮</t>
    </r>
  </si>
  <si>
    <r>
      <rPr>
        <sz val="11"/>
        <rFont val="宋体"/>
        <charset val="134"/>
      </rPr>
      <t>朱海</t>
    </r>
  </si>
  <si>
    <r>
      <rPr>
        <sz val="11"/>
        <rFont val="宋体"/>
        <charset val="134"/>
      </rPr>
      <t>赵陈</t>
    </r>
  </si>
  <si>
    <r>
      <rPr>
        <sz val="11"/>
        <rFont val="宋体"/>
        <charset val="134"/>
      </rPr>
      <t>刘朕</t>
    </r>
  </si>
  <si>
    <r>
      <rPr>
        <sz val="11"/>
        <rFont val="宋体"/>
        <charset val="134"/>
      </rPr>
      <t>王艺霖</t>
    </r>
  </si>
  <si>
    <t>王佳琪</t>
  </si>
  <si>
    <r>
      <rPr>
        <sz val="11"/>
        <rFont val="宋体"/>
        <charset val="134"/>
      </rPr>
      <t>王大昱</t>
    </r>
  </si>
  <si>
    <r>
      <rPr>
        <sz val="11"/>
        <color theme="1"/>
        <rFont val="宋体"/>
        <charset val="134"/>
      </rPr>
      <t>工程项目室</t>
    </r>
    <r>
      <rPr>
        <sz val="11"/>
        <color theme="1"/>
        <rFont val="Times New Roman"/>
        <charset val="134"/>
      </rPr>
      <t xml:space="preserve"> /</t>
    </r>
    <r>
      <rPr>
        <sz val="11"/>
        <color theme="1"/>
        <rFont val="宋体"/>
        <charset val="134"/>
      </rPr>
      <t>适航工程室</t>
    </r>
  </si>
  <si>
    <r>
      <rPr>
        <sz val="11"/>
        <rFont val="宋体"/>
        <charset val="134"/>
      </rPr>
      <t>石荣荣</t>
    </r>
  </si>
  <si>
    <r>
      <rPr>
        <sz val="11"/>
        <rFont val="宋体"/>
        <charset val="134"/>
      </rPr>
      <t>耿璐璐</t>
    </r>
  </si>
  <si>
    <r>
      <rPr>
        <sz val="11"/>
        <rFont val="宋体"/>
        <charset val="134"/>
      </rPr>
      <t>夏新鑫</t>
    </r>
  </si>
  <si>
    <t>徐丽娜</t>
  </si>
  <si>
    <t>费天行</t>
  </si>
  <si>
    <r>
      <rPr>
        <sz val="11"/>
        <rFont val="宋体"/>
        <charset val="134"/>
      </rPr>
      <t>林树德</t>
    </r>
  </si>
  <si>
    <t>综合技术室</t>
  </si>
  <si>
    <r>
      <rPr>
        <sz val="11"/>
        <rFont val="宋体"/>
        <charset val="134"/>
      </rPr>
      <t>孙红军</t>
    </r>
  </si>
  <si>
    <t>02501</t>
  </si>
  <si>
    <r>
      <rPr>
        <sz val="11"/>
        <rFont val="宋体"/>
        <charset val="134"/>
      </rPr>
      <t>陈志禹</t>
    </r>
  </si>
  <si>
    <r>
      <rPr>
        <sz val="11"/>
        <rFont val="宋体"/>
        <charset val="134"/>
      </rPr>
      <t>王琛</t>
    </r>
  </si>
  <si>
    <r>
      <rPr>
        <sz val="11"/>
        <rFont val="宋体"/>
        <charset val="134"/>
      </rPr>
      <t>王勇</t>
    </r>
  </si>
  <si>
    <r>
      <rPr>
        <sz val="11"/>
        <rFont val="宋体"/>
        <charset val="134"/>
      </rPr>
      <t>潘英</t>
    </r>
  </si>
  <si>
    <r>
      <rPr>
        <sz val="11"/>
        <rFont val="宋体"/>
        <charset val="134"/>
      </rPr>
      <t>杨琼</t>
    </r>
  </si>
  <si>
    <r>
      <rPr>
        <sz val="11"/>
        <rFont val="宋体"/>
        <charset val="134"/>
      </rPr>
      <t>宋建毅</t>
    </r>
  </si>
  <si>
    <r>
      <rPr>
        <sz val="11"/>
        <rFont val="宋体"/>
        <charset val="134"/>
      </rPr>
      <t>孙盘滔</t>
    </r>
  </si>
  <si>
    <r>
      <rPr>
        <sz val="11"/>
        <rFont val="宋体"/>
        <charset val="134"/>
      </rPr>
      <t>吕冬兰</t>
    </r>
  </si>
  <si>
    <r>
      <rPr>
        <sz val="11"/>
        <rFont val="宋体"/>
        <charset val="134"/>
      </rPr>
      <t>刘红双</t>
    </r>
  </si>
  <si>
    <r>
      <rPr>
        <sz val="11"/>
        <rFont val="宋体"/>
        <charset val="134"/>
      </rPr>
      <t>李其鹏</t>
    </r>
  </si>
  <si>
    <r>
      <rPr>
        <sz val="11"/>
        <rFont val="宋体"/>
        <charset val="134"/>
      </rPr>
      <t>王超</t>
    </r>
  </si>
  <si>
    <t>联络工程室</t>
  </si>
  <si>
    <r>
      <rPr>
        <sz val="11"/>
        <rFont val="宋体"/>
        <charset val="134"/>
      </rPr>
      <t>崔明慧</t>
    </r>
  </si>
  <si>
    <r>
      <rPr>
        <sz val="11"/>
        <rFont val="宋体"/>
        <charset val="134"/>
      </rPr>
      <t>刘岩东</t>
    </r>
  </si>
  <si>
    <r>
      <rPr>
        <sz val="11"/>
        <rFont val="宋体"/>
        <charset val="134"/>
      </rPr>
      <t>高奇</t>
    </r>
  </si>
  <si>
    <r>
      <rPr>
        <sz val="11"/>
        <rFont val="宋体"/>
        <charset val="134"/>
      </rPr>
      <t>姚庆丰</t>
    </r>
  </si>
  <si>
    <r>
      <rPr>
        <sz val="11"/>
        <rFont val="宋体"/>
        <charset val="134"/>
      </rPr>
      <t>李湘芝</t>
    </r>
  </si>
  <si>
    <r>
      <rPr>
        <sz val="11"/>
        <rFont val="宋体"/>
        <charset val="134"/>
      </rPr>
      <t>郭静</t>
    </r>
  </si>
  <si>
    <r>
      <rPr>
        <sz val="11"/>
        <rFont val="宋体"/>
        <charset val="134"/>
      </rPr>
      <t>梁枫</t>
    </r>
  </si>
  <si>
    <r>
      <rPr>
        <sz val="11"/>
        <rFont val="宋体"/>
        <charset val="134"/>
      </rPr>
      <t>赵海</t>
    </r>
  </si>
  <si>
    <r>
      <rPr>
        <sz val="11"/>
        <rFont val="宋体"/>
        <charset val="134"/>
      </rPr>
      <t>赵书凯</t>
    </r>
  </si>
  <si>
    <r>
      <rPr>
        <sz val="11"/>
        <rFont val="宋体"/>
        <charset val="134"/>
      </rPr>
      <t>刘志秀</t>
    </r>
  </si>
  <si>
    <r>
      <rPr>
        <sz val="11"/>
        <rFont val="宋体"/>
        <charset val="134"/>
      </rPr>
      <t>王连斌</t>
    </r>
  </si>
  <si>
    <r>
      <rPr>
        <sz val="11"/>
        <color theme="1"/>
        <rFont val="宋体"/>
        <charset val="134"/>
      </rPr>
      <t>联络工程室</t>
    </r>
  </si>
  <si>
    <r>
      <rPr>
        <sz val="11"/>
        <rFont val="宋体"/>
        <charset val="134"/>
      </rPr>
      <t>付泉铭</t>
    </r>
  </si>
  <si>
    <r>
      <rPr>
        <sz val="11"/>
        <rFont val="宋体"/>
        <charset val="134"/>
      </rPr>
      <t>霍东旭</t>
    </r>
  </si>
  <si>
    <r>
      <rPr>
        <sz val="11"/>
        <rFont val="宋体"/>
        <charset val="134"/>
      </rPr>
      <t>张一峤</t>
    </r>
  </si>
  <si>
    <r>
      <rPr>
        <sz val="11"/>
        <rFont val="宋体"/>
        <charset val="134"/>
      </rPr>
      <t>臧爱丽</t>
    </r>
  </si>
  <si>
    <r>
      <rPr>
        <sz val="11"/>
        <rFont val="宋体"/>
        <charset val="134"/>
      </rPr>
      <t>王世清</t>
    </r>
  </si>
  <si>
    <r>
      <rPr>
        <sz val="11"/>
        <rFont val="宋体"/>
        <charset val="134"/>
      </rPr>
      <t>马艺丹</t>
    </r>
  </si>
  <si>
    <r>
      <rPr>
        <sz val="11"/>
        <rFont val="宋体"/>
        <charset val="134"/>
      </rPr>
      <t>杨珺涵</t>
    </r>
  </si>
  <si>
    <r>
      <rPr>
        <sz val="11"/>
        <rFont val="宋体"/>
        <charset val="134"/>
      </rPr>
      <t>陈坤</t>
    </r>
  </si>
  <si>
    <r>
      <rPr>
        <sz val="11"/>
        <rFont val="宋体"/>
        <charset val="134"/>
      </rPr>
      <t>韦杰琼</t>
    </r>
  </si>
  <si>
    <r>
      <rPr>
        <sz val="11"/>
        <rFont val="宋体"/>
        <charset val="134"/>
      </rPr>
      <t>付强</t>
    </r>
  </si>
  <si>
    <r>
      <rPr>
        <sz val="11"/>
        <rFont val="宋体"/>
        <charset val="134"/>
      </rPr>
      <t>王川</t>
    </r>
  </si>
  <si>
    <r>
      <rPr>
        <sz val="11"/>
        <rFont val="宋体"/>
        <charset val="134"/>
      </rPr>
      <t>褚永鑫</t>
    </r>
  </si>
  <si>
    <r>
      <rPr>
        <sz val="11"/>
        <rFont val="宋体"/>
        <charset val="134"/>
      </rPr>
      <t>高秉芳</t>
    </r>
  </si>
  <si>
    <r>
      <rPr>
        <sz val="11"/>
        <rFont val="宋体"/>
        <charset val="134"/>
      </rPr>
      <t>王立庆</t>
    </r>
  </si>
  <si>
    <r>
      <rPr>
        <sz val="11"/>
        <rFont val="宋体"/>
        <charset val="134"/>
      </rPr>
      <t>林楠</t>
    </r>
  </si>
  <si>
    <r>
      <rPr>
        <sz val="11"/>
        <rFont val="宋体"/>
        <charset val="134"/>
      </rPr>
      <t>牛建庄</t>
    </r>
  </si>
  <si>
    <r>
      <rPr>
        <sz val="11"/>
        <rFont val="宋体"/>
        <charset val="134"/>
      </rPr>
      <t>孙永光</t>
    </r>
  </si>
  <si>
    <r>
      <rPr>
        <sz val="11"/>
        <rFont val="宋体"/>
        <charset val="134"/>
      </rPr>
      <t>王瑞龙</t>
    </r>
  </si>
  <si>
    <t>CR929设计（2022年上飞院）</t>
  </si>
  <si>
    <t>CR929设计（2022年复材中心）</t>
  </si>
  <si>
    <t>C919设计（2020年上飞院）</t>
  </si>
  <si>
    <t>C919设计（2021年上飞院）</t>
  </si>
  <si>
    <t>C919设计（2022年上飞院）</t>
  </si>
  <si>
    <t>C919设计（2020年复材中心）</t>
  </si>
  <si>
    <t>CR929设计（2021年上飞院）</t>
  </si>
  <si>
    <t>CR929设计（2021年复材中心）</t>
  </si>
  <si>
    <t>ARJ21基本型设计（2020年上飞院）</t>
  </si>
  <si>
    <t>ARJ21货运型设计（2021年上飞院）</t>
  </si>
  <si>
    <t>ARJ上飞装备</t>
  </si>
  <si>
    <t>1号设计（2022年KTB）</t>
  </si>
  <si>
    <t>3号设计项目</t>
  </si>
  <si>
    <t>5号设计（2022年HD）</t>
  </si>
  <si>
    <t>6号设计（2021年）</t>
  </si>
  <si>
    <t>8号设计（2022年）</t>
  </si>
  <si>
    <t>SAC功能附件</t>
  </si>
  <si>
    <t>航天一院</t>
  </si>
  <si>
    <t>工程支持</t>
  </si>
  <si>
    <t>党建工作</t>
  </si>
  <si>
    <t>培训工作</t>
  </si>
  <si>
    <t>重点工作任务</t>
  </si>
  <si>
    <t>临时工程支持</t>
  </si>
  <si>
    <r>
      <rPr>
        <b/>
        <sz val="11"/>
        <color theme="1"/>
        <rFont val="宋体"/>
        <charset val="134"/>
      </rPr>
      <t>序号</t>
    </r>
  </si>
  <si>
    <t>姓名</t>
  </si>
  <si>
    <t>胸卡号</t>
  </si>
  <si>
    <t>专业室</t>
  </si>
  <si>
    <t>项目简称</t>
  </si>
  <si>
    <t>个人原始项目工时之和/h</t>
  </si>
  <si>
    <t>第一年跨专业原始项目工时/h</t>
  </si>
  <si>
    <t>第二年跨专业原始项目工时/h</t>
  </si>
  <si>
    <t>沈阳工时/h</t>
  </si>
  <si>
    <t>市外出差工时/h</t>
  </si>
  <si>
    <t>专业</t>
  </si>
  <si>
    <t>工作包</t>
  </si>
  <si>
    <r>
      <rPr>
        <b/>
        <sz val="11"/>
        <rFont val="宋体"/>
        <charset val="134"/>
      </rPr>
      <t xml:space="preserve">主要工作任务
</t>
    </r>
    <r>
      <rPr>
        <b/>
        <sz val="10"/>
        <rFont val="宋体"/>
        <charset val="134"/>
      </rPr>
      <t>（请简要说明每项设计任务、工时及所属任务通知单编号）
例：序号.工作包-任务通知单编号-设计任务-工时</t>
    </r>
  </si>
  <si>
    <t>订单号</t>
  </si>
  <si>
    <t>是否国际</t>
  </si>
  <si>
    <t>行标签</t>
  </si>
  <si>
    <t>最大值项:个人原始项目工时之和/h</t>
  </si>
  <si>
    <t>项目开发与管控</t>
  </si>
  <si>
    <t>PMO</t>
  </si>
  <si>
    <t>项目管理</t>
  </si>
  <si>
    <t xml:space="preserve">8号设计（2025年）：
1.上报项目月工时。
2.统计每月工时发生汇总，差旅发生费用，成本归集。
3.内部及涉密信息导入导出。
4.审签出差报销。
5.跟踪8-1.1、8-1.2项目回款状态，提醒客户启动第三笔回款申请。  
6.组织8-1.3项目减重合同中期评审报告及PPT的准备，组织客户预评审技术报告。
7.完成8-1.3项目减重合同及技术协议的签订。
8.准备8-1.3项目减重合同及技术协议外带及对外提供手续。
9.组织准备8-1.3项目减重合同免税申报材料（技术方案）。
10.组织陕飞某项目舱门、后机身设计外包技术方案的编制、参加其评审会。
</t>
  </si>
  <si>
    <t>柴宝</t>
  </si>
  <si>
    <t xml:space="preserve">C919基本型设计（2025年上飞院）：
1.上报项目月工时。
2.统计每月工时发生汇总，差旅发生费用，成本归集。
3.审签出差报销。
4.交付物存储地址建立。
5.编制并跟踪任务分解计划，协调处理项目进展问题。
6.协调项目人力资源。
7.与客户沟通项目任务清单、推动项目CSDB录入文件计划及存在的问题、损伤容限报告编制计划进展。
8.与客户沟通项目合同签订情况。
9.编制文件审签封面并组织实施。
</t>
  </si>
  <si>
    <t>陈杰</t>
  </si>
  <si>
    <t>耿璐璐</t>
  </si>
  <si>
    <t>1）1号-1.4设计：跟进合同进展情况；
2）C919YJTD：跟进项目进展，协调后机身工时认定，跟进合同立项情况等；
3）11号设计：跟进合同签订流程，完成两轮电子采购平台报价，编写合同文本、谈判记录及报价单；
4）完成集成研发业务域设计评审流程图、绩效指标表、流程清单等编制；
5）完成事业部驾驶舱PPT更新及业务场景需求数据表填写；
6）完成PMA流程梳理及可行性分析ppt，协助完成PMA件研制与取证费用预算；
7）机房/涉密台账管理，资产明细表更新，完成二季度纸质秘密载体台账/光磁介质秘密载体台账上报，内部载体移交。</t>
  </si>
  <si>
    <t>陈坤</t>
  </si>
  <si>
    <t>石荣荣</t>
  </si>
  <si>
    <t xml:space="preserve">参加项目总师例会并作会议概要;
沟通协调我方和沈阳所工作衔接和人员衔接工作,协调已经入所人员安装软件解决电脑问题等工作;
梳理项目退所人员名单,组织填写退所手续,梳理退所所需机器号和key信息及收集蓝色工作证;
解决办公环境、生活(饭卡喝咖啡)等问题
完成6号-5项目，通过沈阳所结构部门内部预验收，组织完成项目交付物的准备及签字盖章
完成6号-5项目，通过沈阳所项目验收，并根据项目主管意见，组织完成项目交付物的整改及签字盖章
完成我公司在沈阳所供应商管理系统内资格解冻协调工作，并准备供应商整改资料
</t>
  </si>
  <si>
    <t>陈磊</t>
  </si>
  <si>
    <t>夏新鑫</t>
  </si>
  <si>
    <t>完成商飞上岗培训框架协议合同签订；组织参加C929舱门周例会、月度汇报会；组织更新结构、强度专业用检查单等</t>
  </si>
  <si>
    <t>陈瑞东</t>
  </si>
  <si>
    <t>组织参加C929垂尾、平尾周例会；完成复材中心验收评审补充工作并开具发票；沟通对接复材中心年度工作计划；组织更新结构、强度专业用检查单等</t>
  </si>
  <si>
    <t>晨曦</t>
  </si>
  <si>
    <t>沟通合同、设计输入、工作电脑等</t>
  </si>
  <si>
    <t>褚永鑫</t>
  </si>
  <si>
    <t>1.与甲方讨论商定技术协议的文本，项目的工作条目与工时量，跟踪进展
2.实时更新输入清单，记录工作交流过程</t>
  </si>
  <si>
    <t>丛家勇</t>
  </si>
  <si>
    <t>1.跟踪甲方合同签订情况，项目进展
2.整理并和甲方确认结构识别工作量，形成验收单</t>
  </si>
  <si>
    <t>董晓莉</t>
  </si>
  <si>
    <t>WH1项目总体/系统/适航等其它专业</t>
  </si>
  <si>
    <t>适航</t>
  </si>
  <si>
    <t>无人机：
1.学习《高风险货运固定翼无人机系统适航标准》,审定基础（CB）初步梳理审核方法，梳理TP500型、UY-100 、翼龙-2气象型无人专用条件,梳理HY1701-HY1913章节
地址：\\192.168.10.140\newnas\data\yanfadata\WH1项目结构强度综合\05 其他工作包\14=适航管理\6月</t>
  </si>
  <si>
    <t>杜洪雨</t>
  </si>
  <si>
    <t>适航审定基础学习，交付物地址：
\\192.168.10.140\newnas\data\yanfadata\WH1项目结构强度综合\05 其他工作包\14=适航管理\6月</t>
  </si>
  <si>
    <t>付强</t>
  </si>
  <si>
    <t>梳理适航条款，参加适航讨论会交付物在公共区\\192.168.10.140\newnas\data\yanfadata\WH1项目结构强度综合\05 其他工作包\14=适航管理\6月</t>
  </si>
  <si>
    <t>付泉铭</t>
  </si>
  <si>
    <t>讨论并编写审定基础，补充无人机专用条件与条款负责人专业，交付物已经放 \\192.168.10.140\newnas\data\yanfadata\WH1项目结构强度综合\05 其他工作包\14=适航管理\6月</t>
  </si>
  <si>
    <t>付容容</t>
  </si>
  <si>
    <t>大型固定翼货运无人机系统适航审定基础梳理，燃油、滑油、进排气系统适航条款研究，参加讨论会；适航学习交付物存放地址：
\\192.168.10.140\newnas\data\yanfadata\WH1项目结构强度综合\05 其他工作包\14=适航管理</t>
  </si>
  <si>
    <t>高秉芳</t>
  </si>
  <si>
    <t>吕冬兰</t>
  </si>
  <si>
    <t>材料及工艺</t>
  </si>
  <si>
    <t>贯彻民用航空高质量发展三年行动方案任务</t>
  </si>
  <si>
    <t>联系供应链和质量部获取试验项目报价，联系物流中心获取质保单和理化试验报告及库存量核实，联系采购部门询问材料价格，计算原材料价格</t>
  </si>
  <si>
    <t>高奇</t>
  </si>
  <si>
    <t>朱海</t>
  </si>
  <si>
    <t>结构</t>
  </si>
  <si>
    <t>1.学习CATIA逆向工程曲面设计方法；
2.搜寻B737零件图纸。</t>
  </si>
  <si>
    <t>葛春生</t>
  </si>
  <si>
    <t>孙永光</t>
  </si>
  <si>
    <t>王健</t>
  </si>
  <si>
    <t>1、参加PMA取证讨论会；
2、协助完成PMA件费用测算。</t>
  </si>
  <si>
    <t>郭静</t>
  </si>
  <si>
    <t>魏士礼</t>
  </si>
  <si>
    <r>
      <rPr>
        <sz val="11"/>
        <rFont val="Times New Roman"/>
        <charset val="134"/>
      </rPr>
      <t>8</t>
    </r>
    <r>
      <rPr>
        <sz val="11"/>
        <rFont val="宋体"/>
        <charset val="134"/>
      </rPr>
      <t>号</t>
    </r>
    <r>
      <rPr>
        <sz val="11"/>
        <rFont val="Times New Roman"/>
        <charset val="134"/>
      </rPr>
      <t>-1.3</t>
    </r>
    <r>
      <rPr>
        <sz val="11"/>
        <rFont val="宋体"/>
        <charset val="134"/>
      </rPr>
      <t>设计</t>
    </r>
  </si>
  <si>
    <t>8号垂尾优化设计</t>
  </si>
  <si>
    <t>8-1.3垂尾中期评审报告和交付物优化</t>
  </si>
  <si>
    <t>郭晓庆</t>
  </si>
  <si>
    <t>杨春</t>
  </si>
  <si>
    <t>8-1.3垂尾中期评审报告优化和交付物校对</t>
  </si>
  <si>
    <t>何续斌</t>
  </si>
  <si>
    <t>孟祥瑞</t>
  </si>
  <si>
    <t>霍东旭</t>
  </si>
  <si>
    <t>马岩</t>
  </si>
  <si>
    <t xml:space="preserve">8号舱门及减重合同：
1.出差去汉中送减重合同
2.协助陕飞解决复材舱门问题、登机门安装调整问题
3.协助陕飞处理试验规划相关问题
</t>
  </si>
  <si>
    <t>纪可</t>
  </si>
  <si>
    <t>郑石</t>
  </si>
  <si>
    <t>C919YJTD设计</t>
  </si>
  <si>
    <t>强度</t>
  </si>
  <si>
    <t>垂尾</t>
  </si>
  <si>
    <t>1.垂尾虚拟试验件根部接头垂向载荷对比分析，肋剖面载荷对比分析
2.垂尾试验件73框位置两种优化方案与原DFEM模型的垂向根部载荷对比</t>
  </si>
  <si>
    <t>贾永亮</t>
  </si>
  <si>
    <t>1.垂尾根部试验件细节有限元模型建模
2.垂尾根部试验件加载、边界约束、试算。根部接头载荷对比与问题分析。
3.垂尾虚拟试验件方案二有限元模型修改与试算。</t>
  </si>
  <si>
    <t>焦凯</t>
  </si>
  <si>
    <r>
      <rPr>
        <sz val="11"/>
        <rFont val="Times New Roman"/>
        <charset val="134"/>
      </rPr>
      <t>C919YJTD</t>
    </r>
    <r>
      <rPr>
        <sz val="11"/>
        <rFont val="宋体"/>
        <charset val="134"/>
      </rPr>
      <t>设计</t>
    </r>
  </si>
  <si>
    <t>后机身</t>
  </si>
  <si>
    <t>919后机身许用值更新，协调任务分配，校核分析结果，汇总裕度变化情况</t>
  </si>
  <si>
    <t>靳海丰</t>
  </si>
  <si>
    <t>919后机身泄压报告前后段对接、后机身与中后机身对接、77-78框部分工具与报告内容校对</t>
  </si>
  <si>
    <t>康霞</t>
  </si>
  <si>
    <t>张文静</t>
  </si>
  <si>
    <t>919泄压报告球面框、平尾开口加强梁和74-76框部分工具与报告内容校核</t>
  </si>
  <si>
    <t>康志明</t>
  </si>
  <si>
    <t>刘媛媛</t>
  </si>
  <si>
    <t>919后机身许用值更新，77-78框拉压剪许用值受影响工具更新；挤压许用值受影响工具更新</t>
  </si>
  <si>
    <t>李爱环</t>
  </si>
  <si>
    <t>宋凯</t>
  </si>
  <si>
    <t>919后机身许用值更新，74-76框拉压剪、拉脱和层间、挤压等许用值受影响的工具更新</t>
  </si>
  <si>
    <t>李金鹰</t>
  </si>
  <si>
    <t>任斌</t>
  </si>
  <si>
    <t>919后机身许用值更新，前后段对接和平尾开口加强梁结构挤压许用值受影响的工具更新</t>
  </si>
  <si>
    <t>李其鹏</t>
  </si>
  <si>
    <t>919后机身许用值更新，前段壁板拉压剪、拉脱和层间、挤压等许用值受影响的工具更新</t>
  </si>
  <si>
    <t>李森</t>
  </si>
  <si>
    <t>919后机身许用值更新，平尾开口加强梁结构挤压许用值更新受影响工具更新</t>
  </si>
  <si>
    <t>李守玺</t>
  </si>
  <si>
    <t>魏春生</t>
  </si>
  <si>
    <t>919后机身许用值更新，后机身与中后机身对接挤压许用值更新受影响工具更新</t>
  </si>
  <si>
    <t>李湘芝</t>
  </si>
  <si>
    <t>赵艳秦</t>
  </si>
  <si>
    <t>后机身/垂尾</t>
  </si>
  <si>
    <t>后机身组件P产数模注释更改，共计27个组件，多个零件设计更改，3个实验组件更改；垂尾新增加框根部试验件，PT20垂尾试验组件设计更改</t>
  </si>
  <si>
    <t>李妍</t>
  </si>
  <si>
    <t>垂尾新设计一个试验组件，蒙皮设计和校对框</t>
  </si>
  <si>
    <t>李忠霖</t>
  </si>
  <si>
    <t>徐丹</t>
  </si>
  <si>
    <t>校对P产8个模块多个零件装配区域注释更改</t>
  </si>
  <si>
    <t>梁枫</t>
  </si>
  <si>
    <t>后机组件P产数模注释更改，共计8个组件，多个零件设计更改，1个使用组件更改；垂尾新增加框根部试验件框组件的设计，蒙皮组件的校对，PT20垂尾试验组件设计更改</t>
  </si>
  <si>
    <t>林楠</t>
  </si>
  <si>
    <t>马爽</t>
  </si>
  <si>
    <t>垂尾新增加框根部试验件框组件的设计，蒙皮组件的校对，PT20垂尾试验组件设计校对</t>
  </si>
  <si>
    <t>刘超</t>
  </si>
  <si>
    <t>罗贵骞</t>
  </si>
  <si>
    <t>垂尾新增加框根部试验件壁板组件的设计，框组件的校对</t>
  </si>
  <si>
    <t>刘成</t>
  </si>
  <si>
    <t>垂尾新增加框根部试验件机身壁板组件的设计，框组件的校对</t>
  </si>
  <si>
    <t>刘聪</t>
  </si>
  <si>
    <t>张继斌</t>
  </si>
  <si>
    <r>
      <rPr>
        <sz val="11"/>
        <rFont val="Times New Roman"/>
        <charset val="134"/>
      </rPr>
      <t>C919</t>
    </r>
    <r>
      <rPr>
        <sz val="11"/>
        <rFont val="宋体"/>
        <charset val="134"/>
      </rPr>
      <t>基本型设计（</t>
    </r>
    <r>
      <rPr>
        <sz val="11"/>
        <rFont val="Times New Roman"/>
        <charset val="134"/>
      </rPr>
      <t>2025</t>
    </r>
    <r>
      <rPr>
        <sz val="11"/>
        <rFont val="宋体"/>
        <charset val="134"/>
      </rPr>
      <t>年上飞院）</t>
    </r>
  </si>
  <si>
    <t>其他</t>
  </si>
  <si>
    <t>CSDB录入</t>
  </si>
  <si>
    <t>CSDB手册上线基础数据准备（警告类信息整理）12h
CSDB手册上线图片要求整理及讲解 10h
CSDB手册上线与上飞院沟通协调 8h</t>
  </si>
  <si>
    <t>刘红双</t>
  </si>
  <si>
    <t>任璐璐</t>
  </si>
  <si>
    <t>CSDB手册上线账号任务，录入文件5份：36h
开会培训：4h</t>
  </si>
  <si>
    <t>刘金晶</t>
  </si>
  <si>
    <t>尤宏良</t>
  </si>
  <si>
    <t>CSDB手册上线账号任务，录入文件15份：100h
开会培训：4h
图片整理 46h</t>
  </si>
  <si>
    <t>刘凯男</t>
  </si>
  <si>
    <t>刘全</t>
  </si>
  <si>
    <t>CSDB手册上线账号任务，录入9份标准实施文件和14份结构识别文件100多页（包括文字内容、有序列表识别、表格内容、添加链接、添加注释等）：100h
开会培训（与商飞沟通录入问题）：4h
130张图片整理（包括从参考中查询相应iso图片，图片按格式统一改号，增加图片中区域热点，图片内容改为与word一致等） 26h</t>
  </si>
  <si>
    <t>刘可佳</t>
  </si>
  <si>
    <t>赵婷</t>
  </si>
  <si>
    <t>CSDB手册上线图片整理任务，录入文件3份：16h
开会培训：4h</t>
  </si>
  <si>
    <t>秦超</t>
  </si>
  <si>
    <t>CSDB手册上线账号任务，录入文件10份，86h
整理警告类信息和允许损伤模板20h
开会培训：4h
图片整理：40h</t>
  </si>
  <si>
    <t>刘曦</t>
  </si>
  <si>
    <t>支晗</t>
  </si>
  <si>
    <t>C919手册2025年</t>
  </si>
  <si>
    <t>1.有限元工作技术支持及交付物审核提交 2.与甲方讨论技术问题、对接输入等 3.手册损伤容限分析指南编制与培训 4.校对八份文件 5.审核九份文件 6.手册分析团队成员技术支持</t>
  </si>
  <si>
    <t>中机身蒙皮、缝翼蒙皮分析及报告编制、蒙皮凹坑分析方法研究及培训、校对六份文件、审核五份文件</t>
  </si>
  <si>
    <t>刘朕</t>
  </si>
  <si>
    <t>中后机身后段蒙皮、中后机身前段蒙皮、货舱门蒙皮分析及报告编制</t>
  </si>
  <si>
    <t>刘志秀</t>
  </si>
  <si>
    <t>登机门服务门主结构手册分析及报告编制、校对五份文件、审核四份文件</t>
  </si>
  <si>
    <t>卢伟</t>
  </si>
  <si>
    <t>外翼蒙皮、中央翼蒙皮、货舱门接头、主结构、机头蒙皮手册分析及报告编制</t>
  </si>
  <si>
    <t>栾鹏</t>
  </si>
  <si>
    <t>万方</t>
  </si>
  <si>
    <t>1.有限元模型建模 2.全部模型计算、数据汇总 3.提载研究 4.一份手册分析</t>
  </si>
  <si>
    <t>骆美玲</t>
  </si>
  <si>
    <t>1.有限元模型建模 2.机头服务舱蒙皮、机头EE舱蒙皮、中后机身前段、中后机身后段蒙皮凹坑分析及报告编制 3.报告格式修改等</t>
  </si>
  <si>
    <t>有限元模型建模、机头驾驶舱蒙皮凹坑分析及报告编制</t>
  </si>
  <si>
    <t>应急门接头、主结构、驾驶舱应急门接头、主结构、缝翼蒙皮、机头登机门服务门框手册分析及报告编制</t>
  </si>
  <si>
    <t>马佳</t>
  </si>
  <si>
    <t>外翼长桁等两份手册分析及报告编制</t>
  </si>
  <si>
    <t>机头长桁、机头框手册分析及报告编制、一份校对</t>
  </si>
  <si>
    <t>中机身长桁、中机身框、中后机身前段框手册分析及报告编制、一份校对</t>
  </si>
  <si>
    <t>1. 登机门服务门接头、货舱门蒙皮、中后机身后段框、固定前缘主结构、固定后缘结构、固定后缘主起落架连接区结构、前机身蒙皮手册分析及报告编制2.格式修改等</t>
  </si>
  <si>
    <t>马艺丹</t>
  </si>
  <si>
    <t>有限元模型建模</t>
  </si>
  <si>
    <t>马壮</t>
  </si>
  <si>
    <t>18份报告手册文件对比</t>
  </si>
  <si>
    <t>孟力华</t>
  </si>
  <si>
    <t>26份报告手册文件对比</t>
  </si>
  <si>
    <t>孟玲俊</t>
  </si>
  <si>
    <t>吴晓莉</t>
  </si>
  <si>
    <r>
      <rPr>
        <sz val="11"/>
        <rFont val="Times New Roman"/>
        <charset val="134"/>
      </rPr>
      <t>C919</t>
    </r>
    <r>
      <rPr>
        <sz val="11"/>
        <rFont val="宋体"/>
        <charset val="134"/>
      </rPr>
      <t>手册优化（</t>
    </r>
    <r>
      <rPr>
        <sz val="11"/>
        <rFont val="Times New Roman"/>
        <charset val="134"/>
      </rPr>
      <t>2025</t>
    </r>
    <r>
      <rPr>
        <sz val="11"/>
        <rFont val="宋体"/>
        <charset val="134"/>
      </rPr>
      <t>年复材中心）</t>
    </r>
  </si>
  <si>
    <t>系统</t>
  </si>
  <si>
    <t>1.1 CSDB三方线上会议一次-2h
1.2 CSDB三方线线上会议，问题梳理及对解答的整理-2h
1.3 CSDB内部培训会议一次-2h
2.1 梳理自己45份文件的警戒、警戒、警示、注意命令，并删除同类项，识别相似项并就近标记-2h
2.2 梳理复材组（5人合并后）的警戒、警戒、警示、注意命令，并删除同类项，识别相似项并就近标记-2h
2.3 梳理金属组和复材组的警戒、警戒、警示、注意命令，并删除同类项，识别相似项并就近标记，提交给上飞院，作为资源库录入的输入-2h
3 按录入操作具体情况，更新录入样例两份PPT-2h
4.1 与上飞院、金属组沟通图片库命名事项及具体问题讨论-8h
4.2 组织对Arbortext IsoDraw 7.3版本的转化，降为7.2版本-1h
4.3 6月份复材中心预计陆续发放87份文件，统计87份文件对应信息及对应人员，方便个人进行识别，下载自己相关8份已发布文件，并对图片进行版本识别，确认是7.2版本，7.3版本的继续转化成7.2版本-8h
4.4 按上飞院刘馨阳的要求，更改word文件中的图号，重新生成一版更改后的word文件，作为录入的基础（涉及重命名的文件20份）-16h
4.5 识别复材允许损伤的共用图，并标记-4h
4.6 统计金属复材共用SNS信息，与金属共同确认流水号的起始信息-2h
4.7 按上飞院刘馨阳的要求，一个SNS中进行流水编号的原则，对自己负责的45份文件进行流水编号（初步编号），并填写名称、格式、在文中位置等相关信息，共计338项信息统计-24
5.开展录入工作完成14份文件的录入（图片除外）-14h</t>
  </si>
  <si>
    <t>孟维宇</t>
  </si>
  <si>
    <t>C919手册优化（2025年复材中心）</t>
  </si>
  <si>
    <t>1.CSDB三方线线上会议，问题梳理及对解答的整理-2h
2.CSDB内部培训会议一次-2h
3.梳理自己27份文件的警戒、警戒、警示、注意命令，并删除同类项，识别相似项并就近标记-1h；
4.开展文件录入工作，完成16份文件的录入（图片除外）-8h；
5.完成12份文件的图片与ISO文件对比一致性-8h；
6.更改12份文件中的图号，重新生成一版更改后的word文件，作为录入的基础-8h；
7.识别复材允许损伤的共用图，并标记-3h；
8.一个SNS中进行流水编号的原则，对自己负责的27份文件进行流水编号（初步编号），并填写名称、格式、在文中位置等相关信息-15h；
9.完成12份技术文件中ISO图片增加热点的工作-15h</t>
  </si>
  <si>
    <t>1.CSDB三方线线上会议，问题梳理及对解答的整理-2h
2.CSDB内部培训会议一次-2h
3.梳理自己48份文件的警戒、警戒、警示、注意命令，并删除同类项，识别相似项并就近标记-2h；
4.开展文件录入工作，完成21份文件的录入（图片除外）-9h；
5.Arbortext IsoDraw 7.3版本的转化，降为7.2版本-1h
6.完成21份文件的图片与ISO文件对比一致性-9h；
7.更改9份文件中的图号，重新生成一版更改后的word文件，作为录入的基础-8h；
8.识别复材允许损伤的共用图，并标记-3h；
9.一个SNS中进行流水编号的原则，对自己负责的48份文件进行流水编号（初步编号），并填写名称、格式、在文中位置等相关信息-17h；
10.完成9份技术文件中ISO图片增加热点的工作-12h</t>
  </si>
  <si>
    <t>牛福春</t>
  </si>
  <si>
    <t>1.CSDB三方线线上会议，问题梳理及对解答的整理-2h
2.CSDB内部培训会议一次-2h
3.梳理自己42份文件的警戒、警戒、警示、注意命令，并删除同类项，识别相似项并就近标记-1h；
4.开展文件录入工作，完成16份文件的录入（图片除外）-8h；
5.完成42份文件的图片与ISO文件对比一致性-8h；
6.更改10份文件中的图号，重新生成一版更改后的word文件，作为录入的基础-8h；
7.识别复材允许损伤的共用图，并标记-3h；
8.一个SNS中进行流水编号的原则，对自己负责的42份文件进行流水编号（初步编号），并填写名称、格式、在文中位置等相关信息-17h；
9.完成12份技术文件中ISO图片增加热点的工作-13h</t>
  </si>
  <si>
    <t>牛建庄</t>
  </si>
  <si>
    <t>1.CSDB三方线线上会议，问题梳理及对解答的整理-2h
2.CSDB内部培训会议一次-2h
3.梳理自己40份文件的警戒、警戒、警示、注意命令，并删除同类项，识别相似项并就近标记-1h；
4.开展文件录入工作，完成22份文件的录入（图片除外）-8h；
5.完成40份文件的图片与ISO文件对比一致性-8h；
6.更改17份文件中的图号，重新生成一版更改后的word文件，作为录入的基础-8h；
7.识别复材允许损伤的共用图，并标记-3h；
8.一个SNS中进行流水编号的原则，对自己负责的40份文件进行流水编号（初步编号），并填写名称、格式、在文中位置等相关信息-17h；
9.完成9份技术文件中ISO图片增加热点的工作-10h</t>
  </si>
  <si>
    <t>潘英</t>
  </si>
  <si>
    <t>王琛</t>
  </si>
  <si>
    <t>C919高原型设计（2025年上飞院）</t>
  </si>
  <si>
    <t>1、编制：
C919-A-53-40-08-01A-04CA-A 机身-中机身-隔框-结构识别
C919-A-53-40-71-01A-04CA-A 机身-中机身-前部整流罩面板-结构识别
C919-A-53-40-71-04A-04CA-A 机身-中机身-后部整流罩面板-结构识别
C919-A-57-54-70-01A-04CA-A 机翼-襟翼机构-滑轨-结构识别
2、校对：
C919-A-57-41-01-02A-04CA-A 机翼-固定前缘-下壁板蒙皮-结构识别
C919-A-57-41-02-01A-04CA-A 机翼-固定前缘-主结构-结构识别
C919-A-57-42-02-01A-04CA-A 机翼-缝翼-主结构-结构识别
3、发现基本型错误，反馈给甲方
4、与甲方就高原型结构识别输入所需内容、工作协调沟通等</t>
  </si>
  <si>
    <t>1、编制：
C919-A-57-41-01-02A-04CA-A 机翼-固定前缘-下壁板蒙皮-结构识别
C919-A-57-41-02-01A-04CA-A 机翼-固定前缘-主结构-结构识别
C919-A-57-42-02-01A-04CA-A 机翼-缝翼-主结构-结构识别
2、校对：
C919-A-53-40-01-01A-04CA-A 机身-中机身-蒙皮-结构识别
C919-A-53-40-03-01A-04CA-A 机身-中机身-长桁-结构识别
C919-A-57-42-01-01A-04CA-A 机翼-缝翼-蒙皮-结构识别</t>
  </si>
  <si>
    <t>曲汝文</t>
  </si>
  <si>
    <t>1、编制：
C919-A-53-40-01-01A-04CA-A 机身-中机身-蒙皮-结构识别
C919-A-53-40-03-01A-04CA-A 机身-中机身-长桁-结构识别
C919-A-57-42-01-01A-04CA-A 机翼-缝翼-蒙皮-结构识别
2、校对：
C919-A-53-40-08-01A-04CA-A 机身-中机身-隔框-结构识别
C919-A-53-40-71-01A-04CA-A 机身-中机身-前部整流罩面板-结构识别
C919-A-53-40-71-04A-04CA-A 机身-中机身-后部整流罩面板-结构识别
C919-A-57-54-70-01A-04CA-A 机翼-襟翼机构-滑轨-结构识别</t>
  </si>
  <si>
    <t>张刚</t>
  </si>
  <si>
    <t>1）高原型后货舱门口框后移货前/后边框X-STOP结构设计更改（前后边框止动块、门周蒙皮及纵向加强件）；
2）高原型高原型FR66环向对接接头行李支架详细设计更改；
3）高原型FR50\FR52\FR62\FR64框行李支架设计更改（接头更改、框剪切角片、轴承装配、紧固件排布、MBD标注）；
4）高原型后货舱门口框上纵梁设计更改；
5）高原型中后机身行李支架与主结构共铆复查及校对，共439项；
6）高原型中后机身轻量化模型创建（后段及总装配）。</t>
  </si>
  <si>
    <t>1）高原型中后机身精细建模钉线整理（共31个框位）；
2）高原型中后机身行李支架与主结构共铆复查及校对，共439项；
3）高原型中后机身轻量化模型创建（前段）；
4）高原型中后机身等直段角片相似性设计更改；
5）基本型FR49-FR50起吊框设计更改。</t>
  </si>
  <si>
    <t>编制九份</t>
  </si>
  <si>
    <t>宋建毅</t>
  </si>
  <si>
    <t>赵长辉</t>
  </si>
  <si>
    <t>巡飞无人机课题</t>
  </si>
  <si>
    <t>巡飞无人机</t>
  </si>
  <si>
    <t>（1）复材翼面及机加外协加工跟进和协调，试验台外协加工工作跟进和协调；
（2）总体设计总结和总体设计报告文件更新；
（3）技术外协结题准备工作和结题PPT文件修改；
（4）气动发射架和气动发射筒技术条件文件修改，设计接口问题处理；
（5）无人机试飞标准规范文件学习研究，试飞任务书和试飞大纲文件编制；
（6）课题中期评审PPT文件编制</t>
  </si>
  <si>
    <t>1） 结题材料收集整理。
2） 完成巡飞无人机定常拉升有限元模型搭建。
3） 完成西工大结题评审相关事宜。
4） 完成西工大技术服务协议与振鹭试飞服务协议（第一笔）预算申报。
5） 沈航1名学生毕业论文内容审核与修改。</t>
  </si>
  <si>
    <t>孙盘滔</t>
  </si>
  <si>
    <t>1、一种新型的无人机动力系统测试平台专利编制；</t>
  </si>
  <si>
    <t>1） 巡飞无人机数模整理；
2） 更改结构设计报告。</t>
  </si>
  <si>
    <t>塔拉</t>
  </si>
  <si>
    <t>王超</t>
  </si>
  <si>
    <t>王呈呈</t>
  </si>
  <si>
    <t>1、协助组织主题党日活动，参加支委会，1.5小时；
2、记录支委会会议，1小时；
3、迎接党建检查，党建资料准备，6小时；
4、记录主题党日，1小时。</t>
  </si>
  <si>
    <t>王川</t>
  </si>
  <si>
    <t>1、准备党小组会议资料1小时，召开党小组会1小时。
2、全体党员二季度积分统计，2小时；
3、入党积极分子考察并记录考察意见，0.5小时。</t>
  </si>
  <si>
    <t>王大昱</t>
  </si>
  <si>
    <t>1、记录党员大会，2小时。</t>
  </si>
  <si>
    <t>1、准备党小组会议资料1小时，召开党小组会1小时；
2、统计党小组党员积分1小时。</t>
  </si>
  <si>
    <t>王立庆</t>
  </si>
  <si>
    <t>记录第一党小组会议记录，1小时。</t>
  </si>
  <si>
    <t>王连斌</t>
  </si>
  <si>
    <t>记录第二党小组会议记录，1小时。</t>
  </si>
  <si>
    <t>王瑞龙</t>
  </si>
  <si>
    <t>赵莉</t>
  </si>
  <si>
    <t>记录党课学习内容，2小时。</t>
  </si>
  <si>
    <t>王世清</t>
  </si>
  <si>
    <t>见原表</t>
  </si>
  <si>
    <t>王岩</t>
  </si>
  <si>
    <t>姚庆丰</t>
  </si>
  <si>
    <t>王艺霖</t>
  </si>
  <si>
    <t>王勇</t>
  </si>
  <si>
    <t>王哲</t>
  </si>
  <si>
    <t>培训：飞机减重设计方法及零件的优化设计方法培训</t>
  </si>
  <si>
    <t>韦杰琼</t>
  </si>
  <si>
    <t>培训：巡飞无人机试验台架设计培训</t>
  </si>
  <si>
    <t>培训：翼载及推重比在方案设计初期的计算选定培训</t>
  </si>
  <si>
    <t>培训：飞机总体参数初步确定培训、飞机总体初步布局培训</t>
  </si>
  <si>
    <t>刘杰</t>
  </si>
  <si>
    <t>培训：民机设计和开发概要培训</t>
  </si>
  <si>
    <t>培训：适航理念与中国适航法规体系基础培训</t>
  </si>
  <si>
    <t>培训：机体结构可达性分析之AMM区域检查任务及人机仿真应用培训</t>
  </si>
  <si>
    <t>徐君升</t>
  </si>
  <si>
    <t>刘洋</t>
  </si>
  <si>
    <t>培训：民用飞机EWIS安全性分析培训</t>
  </si>
  <si>
    <t>崔明慧</t>
  </si>
  <si>
    <t>培训：工程MBD技术培训</t>
  </si>
  <si>
    <t>许美娟</t>
  </si>
  <si>
    <t>培训：AUK项目工程数据及识图培训</t>
  </si>
  <si>
    <t>闫洪乐</t>
  </si>
  <si>
    <t>培训：系统安装图设计培训</t>
  </si>
  <si>
    <t>培训：A220项目ABCL知识培训</t>
  </si>
  <si>
    <t>杨珺涵</t>
  </si>
  <si>
    <t>刘岩东</t>
  </si>
  <si>
    <t>培训：EWIS常用保护材料培训、线束常用屏蔽类型及屏蔽层接地方式培训、EWIS适航条款解析培训</t>
  </si>
  <si>
    <t>杨琼</t>
  </si>
  <si>
    <t>培训：技术文件的编写培训</t>
  </si>
  <si>
    <t>杨炎通</t>
  </si>
  <si>
    <t>培训：变形铝合金专业知识培训、铸造铝合金专业知识培训</t>
  </si>
  <si>
    <t>培训：无人机工程数据编号及发图培训</t>
  </si>
  <si>
    <t>培训：飞机直接运营成本快速预估方法培训、飞机设计需求系统建模实例培训</t>
  </si>
  <si>
    <t>于磊</t>
  </si>
  <si>
    <t>刘旭</t>
  </si>
  <si>
    <t>培训：大型固定翼无人机强度适航符合性方法培训、飞机结构载荷的传力分析培训、DOE试验设计培训</t>
  </si>
  <si>
    <t>臧爱丽</t>
  </si>
  <si>
    <t>培训：金属结构损伤容限符合性方法培训
系统室能力提升强度基础知识培训:GFEM模型建模技术，模型简化方法，单元编号规则（3.6学时）</t>
  </si>
  <si>
    <t>张成</t>
  </si>
  <si>
    <t>培训：复合材料加筋壁板稳定性试验设计培训</t>
  </si>
  <si>
    <t>培训：飞机鸟撞动力学仿真有限元建模的培训</t>
  </si>
  <si>
    <t>培训：制造偏离处置后的强度评估方法培训
系统室能力提升强度基础知识培训:
1.R区分析方法及工具应用；
2.挤压旁路分析工具使用介绍；
3.919后机身静强度分析方法与分析工具使用和答疑
(共21学时：五次培训，每次2.5小时，培训课件准备）</t>
  </si>
  <si>
    <t>刘磊</t>
  </si>
  <si>
    <t>培训：数字孪生技术及其在航空领域的应用培训、JJ适航与安全性发展综述培训</t>
  </si>
  <si>
    <t>张熙尧</t>
  </si>
  <si>
    <t>培训：平移型登机门典型闩锁机构设计方案论证培训</t>
  </si>
  <si>
    <t>张秀丽</t>
  </si>
  <si>
    <t>培训：带碳毡的复材蒙皮设计方法培训</t>
  </si>
  <si>
    <t>张一峤</t>
  </si>
  <si>
    <t>毛磊凯</t>
  </si>
  <si>
    <t>培训：翼面结构低成本设计考虑因素培训</t>
  </si>
  <si>
    <t>张智浩</t>
  </si>
  <si>
    <t>培训：曲面逆向建模技术培训</t>
  </si>
  <si>
    <t>赵海</t>
  </si>
  <si>
    <t>编制S-技术文件疲劳及损伤容限分析流程
编制S-技术文件结构疲劳载荷谱编制流程
校对S-技术文件静强度分析流程
校对S-技术文件舱门结构强度分析流程</t>
  </si>
  <si>
    <t>校对审核修改全部27份S-技术文件</t>
  </si>
  <si>
    <t>赵书凯</t>
  </si>
  <si>
    <t>编制S-2023GD-0002 舱门结构强度分析流程
校对S-2024GD-0002 结构疲劳载荷谱编制流程</t>
  </si>
  <si>
    <t>编制S-2027GD-0008强度试验数据有效性分析要求及分析方法
编制S-2027GD-0009试验前质量检查管理规定
编制S-2027GD-0010试验件验收管理规定
编制S-2027GD-0011试验界面控制数据集（TICD）的编写要求
编制S-2027GD-0012试验技术协调单的管理规定
校对四份技术文件</t>
  </si>
  <si>
    <t>编制两份、校对三份</t>
  </si>
  <si>
    <t>赵永利</t>
  </si>
  <si>
    <t>校对一份</t>
  </si>
  <si>
    <t>编制两份、校对两份</t>
  </si>
  <si>
    <t>编制两份、校对一份</t>
  </si>
  <si>
    <t>朱照泽</t>
  </si>
  <si>
    <t>周弘扬</t>
  </si>
  <si>
    <t>编制6份，校对5份</t>
  </si>
  <si>
    <t>周莫普</t>
  </si>
  <si>
    <t>编制S-2025GD-0010 机构强度分析流程
编制S-2025GD-0011 舱门机构强度分析流程
编制S-2025GD-0012 机构强度分析报告的编写要求</t>
  </si>
  <si>
    <t>周天一</t>
  </si>
  <si>
    <t xml:space="preserve">1.换号S-文件《数据集成熟度管理规定》等31份文件，完成100%（更换31份文件编号，更新每份文件内容，更新对应PPT内容）
</t>
  </si>
  <si>
    <t>1.S-文件，5份换号、换模版、正文内容引用更改等-5h
2.S-文件，1份换号、换模版、正文内容引用更改，正文内容补充及修改等-10h
3.S-文件，校对3份-2h</t>
  </si>
  <si>
    <t>1.S-文件，12份-换号、换模版、正文内容引用更改、打印签字等-10h
2.S-文件，19份-校对-5h</t>
  </si>
  <si>
    <t>1.S-文件，3份-换号、换模版、正文内容引用更改、打印签字等-5h
2.S-文件，3份-校对-2h</t>
  </si>
  <si>
    <t>1.S-文件，22份-换号、换模版、正文内容引用更改、补充附录等-20h</t>
  </si>
  <si>
    <t>1.S-文件，3份-换号、换模版、正文内容引用更改、打印签字等-3h
2.S-文件，1份换号、换模版、正文内容引用更改，正文内容补充及修改等-6h
3.S-文件，4份-校对-3h</t>
  </si>
  <si>
    <t>1.S-文件10份-换号、换模版、正文内容引用更改、打印签字等-10h
2.S-文件2份-换号、换模版、正文内容引用更改，章节号更新、正文内容补充及修改等-4h
3.S-文件17份-校对-6h</t>
  </si>
  <si>
    <t>1.编制文件《S-2041ZN-2001Rev.A_液压系统部件设计要求》-3h；
2.校对《引气系统安装设计要求》-1h
3.校对《民用飞机系统安装设计流程指南》-2h
4.校对《CATIA管路模块使用指南》-4h</t>
  </si>
  <si>
    <t>1.S-文件，11份-换号、换模版、正文内容引用更改、打印签字等-3h
2.S-文件，1份换号、换模版、正文内容引用更改，正文内容补充及修改等-2h
3.S-文件，16份-校对-5h</t>
  </si>
  <si>
    <t>(空白)</t>
  </si>
  <si>
    <t>1.S-文件，3份换号，换号、换模版、更改正文格式、打印签字等。（一份60多页，一份90多页）-13h
2.S-文件，3份校对工作-3h</t>
  </si>
  <si>
    <t>1.S-文件，5份-换号、换模版、正文内容引用更改、打印签字等-8h
2.S-文件，15份-校对-8h
3.科室全部文件打印并走审签流程，及相关问题解决-4h</t>
  </si>
  <si>
    <t>1.S-文件，7份-换号、换模版、正文内容引用更改、打印签字等-3h
2.S-文件，5份-校对-2h</t>
  </si>
  <si>
    <t>1.S-文件，6份-换号、换模版、正文内容引用更改、补充附录等-20h</t>
  </si>
  <si>
    <t>WH1项目结构强度综合</t>
  </si>
  <si>
    <t>机身</t>
  </si>
  <si>
    <t>1）瘦身模型中机身后段gfem建模，合并中机身及全机模型，建立各段连接
2）组织提取瘦身模型全机质量点
3）瘦身前模型，机翼蒙皮、梁分组及尺寸提取，梁腹板稳定性分析和优化
4）瘦身模型加长桁加筋条，加载输入文件处理，模型调试
5）全机模型配平方法研究和对比，载荷分载研究和对比</t>
  </si>
  <si>
    <t>1）WH1第二轮（单发瘦身构型）全机有限元模建模加载调试
2）机翼与机身结构尺寸优化调整
3）全机载荷分载分析方法
4）WH1机翼，垂尾，平尾鸟撞分析
5）动强度资料收集整理</t>
  </si>
  <si>
    <t>陈志禹</t>
  </si>
  <si>
    <t>1）瘦身模型中机身前段gfem建模
2）提取瘦身模型垂尾质量点
3）瘦身前模型，机翼蒙皮、肋、梁分组及尺寸提取，肋腹板稳定性分析和优化
4）全机模型配平方法研究和对比，载荷分载研究和对比</t>
  </si>
  <si>
    <t>1）前机身gfem建模
2）机翼gfem模型检查和修改
3）机翼蒙皮单元分组
4）缝翼重量点提取
5）机翼蒙皮金属稳定性分析和优化</t>
  </si>
  <si>
    <t>1.垂尾gfem建模及返参
2.创建方向舵及升降舵质量点
3.机翼上蒙皮前段单元筛选，用于稳定性分析
4.缝翼驱动机构有限元模型建立
5.对地面操作载荷的平衡方程及求解方法进行深入研究，完成滑跑情况适航条款及限制条件的解读。</t>
  </si>
  <si>
    <t>1）机翼gfem建模
2）机翼蒙皮、梁、肋优化结果返参
3）惯性载荷配平研究
4）地面载荷计算研究</t>
  </si>
  <si>
    <r>
      <rPr>
        <sz val="11"/>
        <rFont val="宋体"/>
        <charset val="134"/>
      </rPr>
      <t>1</t>
    </r>
    <r>
      <rPr>
        <sz val="11"/>
        <rFont val="宋体"/>
        <charset val="134"/>
      </rPr>
      <t>）平尾</t>
    </r>
    <r>
      <rPr>
        <sz val="11"/>
        <rFont val="宋体"/>
        <charset val="134"/>
      </rPr>
      <t>GFEM</t>
    </r>
    <r>
      <rPr>
        <sz val="11"/>
        <rFont val="宋体"/>
        <charset val="134"/>
      </rPr>
      <t>建模</t>
    </r>
    <r>
      <rPr>
        <sz val="11"/>
        <rFont val="宋体"/>
        <charset val="134"/>
      </rPr>
      <t xml:space="preserve">
2</t>
    </r>
    <r>
      <rPr>
        <sz val="11"/>
        <rFont val="宋体"/>
        <charset val="134"/>
      </rPr>
      <t>）机翼肋分组及尺寸量取</t>
    </r>
    <r>
      <rPr>
        <sz val="11"/>
        <rFont val="宋体"/>
        <charset val="134"/>
      </rPr>
      <t xml:space="preserve">
3</t>
    </r>
    <r>
      <rPr>
        <sz val="11"/>
        <rFont val="宋体"/>
        <charset val="134"/>
      </rPr>
      <t>）机翼、平尾和垂尾鸟撞强度分析</t>
    </r>
    <r>
      <rPr>
        <sz val="11"/>
        <rFont val="宋体"/>
        <charset val="134"/>
      </rPr>
      <t xml:space="preserve">
4</t>
    </r>
    <r>
      <rPr>
        <sz val="11"/>
        <rFont val="宋体"/>
        <charset val="134"/>
      </rPr>
      <t>）平尾质量点提取</t>
    </r>
    <r>
      <rPr>
        <sz val="11"/>
        <rFont val="宋体"/>
        <charset val="134"/>
      </rPr>
      <t xml:space="preserve">
</t>
    </r>
    <r>
      <rPr>
        <sz val="11"/>
        <rFont val="宋体"/>
        <charset val="134"/>
      </rPr>
      <t>5)</t>
    </r>
    <r>
      <rPr>
        <sz val="11"/>
        <rFont val="宋体"/>
        <charset val="134"/>
      </rPr>
      <t>动强度资料收集整理</t>
    </r>
    <r>
      <rPr>
        <sz val="11"/>
        <rFont val="宋体"/>
        <charset val="134"/>
      </rPr>
      <t xml:space="preserve"></t>
    </r>
  </si>
  <si>
    <t>WH1项目全机模态计算
WH1项目机翼模态分析及颤振分析
WH1项目尾翼模态分析及颤振分析
WH1项目动气弹分析总结报告</t>
  </si>
  <si>
    <t>完成8份工艺规范编制</t>
  </si>
  <si>
    <t>完成10份工艺规范编制</t>
  </si>
  <si>
    <t>总计</t>
  </si>
  <si>
    <t>完成7份工艺规范编制</t>
  </si>
  <si>
    <t>完成6份工艺规范编制</t>
  </si>
  <si>
    <t>1.在所内开展无人机结构强度技术协调工作。
1).对所内新提出的瘦身外形的主承力构建提出建议。
2).对翼身连接方案提出建议，建议采用成熟的上单翼方案。
3).协助所内结构强度与货运系统供应商对接界面连着的需求和承载要求。
4).协助所里完成低成本零件和复材减重可行性评估。
5).协助完成后部空投门的位置和初步布置。
6).协助所内完成瘦身构型的结构减重分析，自己和Ma700重量分布的对比分析。</t>
  </si>
  <si>
    <t>主要工作：
1.与所内对接同事针对尾翼方案沟通协调
2.垂尾后机身界面结构布置研究
3.垂尾方向舵铰链结构设计研究</t>
  </si>
  <si>
    <t>主要工作；
1.WH1垂尾概念设计数模完善优化。
2.WH1垂尾后缘舱与方向舵连接概念分析研究。</t>
  </si>
  <si>
    <t>WH1项目:
1.协调研究襟翼方案，与所里设计人员协调襟翼方案，完成对所里某项目连杆方案襟翼机构的原理研究;
2.与强度协调初始数据参数，并按协调的参教更改部分数
模，以便较准确的统计初步重里；
3.6月初新外形与5月份外形对比分析，结合全机外形进行概念方案设计
4.分别对单双发机翼总体布局方案进行初步概念设计，作为储备</t>
  </si>
  <si>
    <t>1.由于机身变窄，高度变低，前中机身过渡区变长，中机身前段外形变化很大，导致多数零件无法更新，只有少量与外形相关小的零件可以更新。初步重新设计下述结构部分零件
2.前起作动接头
3.前起舱侧壁板
4.与前机身界面框
5.前起舱后端框部分
6.中机身地板组件，更新横梁
7.第12、13、14、15、16各框部分，17框变为油箱端框
8.与所设计讨论货舱结构事宜</t>
  </si>
  <si>
    <t>1.空投门需求对接
2.摆尾门方案把控与指导</t>
  </si>
  <si>
    <t xml:space="preserve">1、评估新骨架模型，初步估计其带来的影响。
2、根据新骨架模型，整理几何元素设计后机身方案，包括长桁轴线及分段位置、蒙皮分块位置、框分段位置等，方便后续建模。
3、根据新骨架模型，本地更新后机身前段6块壁板的蒙皮和长桁，更新前3个框的数模。</t>
  </si>
  <si>
    <r>
      <rPr>
        <sz val="11"/>
        <rFont val="Times New Roman"/>
        <charset val="134"/>
      </rPr>
      <t>WH1</t>
    </r>
    <r>
      <rPr>
        <sz val="11"/>
        <rFont val="宋体"/>
        <charset val="134"/>
      </rPr>
      <t>项目结构强度综合</t>
    </r>
  </si>
  <si>
    <t>平尾升降舵后缘连接结构优化，升降舵运动分析以及旋转轴线位置评估，平尾新版结构布置面片评估，相关问题与所内尾翼负责人沟通反馈</t>
  </si>
  <si>
    <t>1  wh1项目中机身方案设计，按新外形在本地更新数模，包括机身中部机加框，翼盒下壁板，翼盒端肋，翼身对接接头，供油箱端框等建模
2  重新拟合外形曲面，计算机身容积
3  翼身对接方案对比，油箱密封技术研究</t>
  </si>
  <si>
    <t>1、新增尾门结构小连接件；
2、完善细化结构概念；
3、协调梁站位、货舱门锁位置等问题。
4、更新零件制造特性及重量等信息表。
5、评估分析新总体方案对中机身结构影响。</t>
  </si>
  <si>
    <t>1、与所内对接人沟通完善纵梁方案，包括缘条过渡、圆孔尺寸、纵梁分段与框连接配合方向，涉及5根大尺寸纵梁；（90工时）
2、更新框梁连接件方案，在梁分段与框腹板连接的位置改为4个连接件夹持，在梁分段与框腹板和缘条连接的位置改为2个连接件夹持；（15工时）
3、增加框梁连接件示意站位，新建44个连接件；（15工时）
4、更新背鳍支撑框腹板开孔与加筋方案，减轻重量，涉及5个支撑框；（10工时）
5、更新垂尾固定段后缘，使肋、蒙皮、后缘相互搭接，降低后缘零件加工难度，提高装配工艺性。（10工时）</t>
  </si>
  <si>
    <t>1.与所内主管设计沟通电子样机完善意见。2.参与与庆安公司一起讨论货运系统设计方案,与结构的设计界面,提出自己的疑问及设计思路。3.研究中机身局部设计概念,比较独立整流罩方案与非独立整流罩方案的优缺点。4.所内拟在主起机轮收起位置设计类似C系列的桶形轮舱,研究如何将概念与目前的骨架模型触合在一起。5.根据瘦身后的机身外形更新了30-35框的大部分数模。</t>
  </si>
  <si>
    <t>WH1项目 1.在本地完善了一版共24个壁板组件的结构数模；2.基于瘦外形，更新了16个壁板组件的结构数据；3.深入研究一步扫略法（设计方法）在阳1项目上的应用和适用情况。</t>
  </si>
  <si>
    <t>1无人机后缘舱零组件52项方案跟进及模型维护
2无人机副翼零组件60项方案跟进及模型维护
3无人机襟翼零组件68项方案跟进及模型维护
4后缘舱、襟翼、副翼对称件模型维护
5.襟翼设计资料整理及运动机构设计方法研究与分析，撰写相关设计总结
6.机翼设计资料整理及设计要点梳理</t>
  </si>
  <si>
    <t>1.根据第四版中机身承力构件和第三版后机身承力构件更新摆动尾门机构中的导向支座、插销支座、轴、万向节转轴、万向节接头、曲柄、连杆、插销、齿形板、垫片、密封条等零件</t>
  </si>
  <si>
    <t>1、完成飞机动力装置布局与分类文件编制一份
2、完成飞机动力装置力传载形式部分文件编制工作
3、完成按照新骨架前机身骨架评估工作
4、完成多型号发动机使用情况收集工作
5、完成新骨架8个框数模更新工作
6、完成发动机设计相关资料统计</t>
  </si>
  <si>
    <t xml:space="preserve">1.无人机项目：编写《起降系统学习汇报材料_202506-MA700起落架系统安装设计工作》PPT-9h
2.无人机项目：编写技术总结《起落架系统作动方案权衡分析及应用》-6h
交付物地址：\\192.168.10.140\newnas\data\yanfadata\WH1项目结构强度综合\05 其他工作包\05=起降系统\任斌\2025年6月
</t>
  </si>
  <si>
    <t>在一所参与成品管理流程、模板的编制；管理和导入产品结构树</t>
  </si>
  <si>
    <t>1.完成适用于大型货运无人机燃油系统典型设备布置原则技术文件编制-15h；
2.完成典型机型的燃油油量测量系统架构对比分析报告编制-10h；
3.完成大型货运无人机燃油油量测量系统模块化设计技术研究技术报告编制-10h</t>
  </si>
  <si>
    <t xml:space="preserve">1.整理无人机控制律横向控制律设计方法-33.5h。
2.整理无人机控制律高度保持回路设计方法-30h。
3.整理无人机控制律偏航角、侧偏距控制回路设计方法-33.5h。
</t>
  </si>
  <si>
    <t>1.与飞航智云技术交流PPT-25h
2.与主机所沟通交流技术问题-5h</t>
  </si>
  <si>
    <t>1.编写大气状态和结冰类型文件-15h
2.编制防除冰初步技术方案-20h
3.编制机翼除冰系统总体需求-15h</t>
  </si>
  <si>
    <t>1.完成方案半模基本态情况的气动外形修型和CFD仿真前处理、后处理，结合开展CFD仿真，使用迎角范围内，升力系数及力矩系数提取及处理，逐项仿真计算。并考虑偏航角的影响因素，进行全模仿真，处理网格数量，进行加密区调整，协调计算能力，保证模拟仿真效率。 2.批量计算进行算例复现，测试和比对用dmprj模式当中的设计表格来对单一变量进行控制。目前已能完成基本态仿真模拟。
地址链接:\\192.168.10.140\newnas\data\\yanfadata\WH1项目结构强度综合\05 其他工作包\04=气动载荷\赵婷\202506</t>
  </si>
  <si>
    <t>（1）货运无人机文件资料收集整理，产品和技术研究，报告和PPT文件编写，专题/专项研究学习（持续性工作）；
（2）货运无人机市场研究工作；
（3）竞争/关联机型（支线货机、军用战术运输机）数据对比分析表；
（4）飞机DOC计算方法研究；
（5）市场工作规划；
（6）无人机标准和规范收集整理和研究。</t>
  </si>
  <si>
    <t>WH1项目-AI Agent技术及其在技术出版物等方面应用研究
地址链接:\\192.168.10.140\newnas\data\yanfadata\WH1项目结构强度综合\05 其他工作包\11=六性综合\刘成\6月工作文件\AI Agent技术及其在技术出版物等方面应用.docx</t>
  </si>
  <si>
    <t>完成以下模型的模型修形及仿真计算：
垂尾面积调整航向稳定性模型；
发动机安装位置调整对滑流影响；
0527带方向舵构型计算方向舵效；
起飞和降落构型计算升降舵效；
抬高发动机构型基本态；
双发构型基本态和侧滑特性；
三个不同桨叶角的螺旋桨模型；
双发模型机翼和尾翼调整对焦点变化影响等等
并对上述仿真进行结果处理及计算整理，特性输出工作。
交付物在601所</t>
  </si>
  <si>
    <t>波音项目表优化事宜沟通与执行、型号文件收发，项目表审核</t>
  </si>
  <si>
    <t>升版项目表、核对适用文件目录</t>
  </si>
  <si>
    <t>材料及工艺工程支持（翻译文件、发放客户文件、更改分析、升版项目表）</t>
  </si>
  <si>
    <t>材料及工艺工程支持（翻译文件、发放客户文件、更改分析升版项目表）</t>
  </si>
  <si>
    <t>标准件工作工程支持（发放客户文件、更改分析、代料方案、项目表校对）</t>
  </si>
  <si>
    <t>材料及工艺工程支持（翻译文件）</t>
  </si>
  <si>
    <t>货舱门试验件安装调试现场问题处理</t>
  </si>
  <si>
    <t>重点任务管控</t>
  </si>
  <si>
    <t>1、重点任务滚动计划更新，交付物收集，填报各项任务台账进展情况，分别提交7个任务进展表；
2、重点任务工时统计；
3、参加APQP例会，完成DFMEA表格填写；
4、完成数字化转型BI系统驾驶舱及需求表填写（更新2版）；
5、完成挡块课题接受确认单签字，提交供应链管理部。</t>
  </si>
  <si>
    <t>管理成果</t>
  </si>
  <si>
    <t>1、按集团模板要求编发管理成果主报告，并进行答辩</t>
  </si>
  <si>
    <t>研发数字化转型</t>
  </si>
  <si>
    <t>1、数字化转型及数据治理的培训、应用场景的流程梳理、数据分布梳理及数据源认定 7h
2、公司PDM新系统BOM定制功能开发支持 3h
3、集成制造业务域评审、沟通及支持 5h</t>
  </si>
  <si>
    <t>十四五任务</t>
  </si>
  <si>
    <t>C909项目工程MRB顺利授权问题沟通</t>
  </si>
  <si>
    <t>系统性改进</t>
  </si>
  <si>
    <t>系统性改进中期评审报告编制</t>
  </si>
  <si>
    <t>完成项目管理业务域流程图编制工作（一图四表）</t>
  </si>
  <si>
    <t>AUK项目审计</t>
  </si>
  <si>
    <t>AUK项目产品审计</t>
  </si>
  <si>
    <t>拉杆课题</t>
  </si>
  <si>
    <t xml:space="preserve">民机典型PCD件研制与验证课题：
1.与制造上协调拉杆收口后热处理性能降低问题
2.制定热处理性能分析解决方案
3.去场内进行样件硬度测试，并形成文件。
4.协调泽达展开晶相验证试验，与中航试金石对接需求、试验件切片等信息。
5.协助编写完成力学试验任务书
6.出差去泽达、广电、航峰调研，对接需求及试验准备情况。
7.基于新力学载荷和无损检查要求，更改试验大纲并完成签审。
8.完成9109和8152两个构型重新设计（两轮）
9.完成25年中期检查报告和中期答辩PPT
10.协调不涂漆和拉杆装配工装更改事项
11.完成C929拉杆装机影响分析、汇报PPT
12.处理泽达钻孔制造偏移问题、钢丝螺套数量不足问题
13.去沈飞调研拉杆收口能力及相关制造参数
14.对接基于制造能力的拉杆收口厚度（角度）设计参数。
15.协同系统试验件拼箱事项。
16.项目行动项等管理
</t>
  </si>
  <si>
    <t>1.试验任务书更改
2.试验大纲校对
3.设计报告更新
4.新构型拉杆校对
5.929拉杆构型校对</t>
  </si>
  <si>
    <t>C929货舱门拉杆替换汇报材料编写</t>
  </si>
  <si>
    <t>辽宁省科学技术奖申报</t>
  </si>
  <si>
    <t>辽宁省科技进步奖评审材料制作：
1.基于评审要求、申报书内容编写答辩PPT材料
2.组织完成一次PPT内部评审
3.编写演讲词
4.收录音频
5.协助制作视频
6.刻盘</t>
  </si>
  <si>
    <t>辽宁省科技进步奖评审材料制作：
参会讨论、修改PPT格式</t>
  </si>
  <si>
    <t>辽宁省科技进步奖评审材料制作：
参会讨论、制作视频</t>
  </si>
  <si>
    <t>录制音频</t>
  </si>
  <si>
    <t>沈阳市创新大赛材料编写</t>
  </si>
  <si>
    <t>申报沈阳市创新大赛，完成3个项目申报，完成材料编写：
1.飞机舱门装配调整分析工具及创新方法
2.飞机典型堵塞式舱门智能化设计系统
3.运输类飞机新型半堵塞式舱门机构设计技术</t>
  </si>
  <si>
    <t>申报沈阳市创新大赛，完成3个项目申报，完成材料校对：
1.飞机舱门装配调整分析工具及创新方法
2.飞机典型堵塞式舱门智能化设计系统
3.运输类飞机新型半堵塞式舱门机构设计技术</t>
  </si>
  <si>
    <t>申报沈阳市创新大赛</t>
  </si>
  <si>
    <t>C919</t>
  </si>
  <si>
    <t>赴上飞院沟通CXF货舱门工作包事宜</t>
  </si>
  <si>
    <t>培训</t>
  </si>
  <si>
    <t>飞鹰研修班培训</t>
  </si>
  <si>
    <t>陕飞8-2项目</t>
  </si>
  <si>
    <t>1.与陕飞技术人员沟通、确认登机门、应急门设计需求；
2.开展前登机门、后登机门门、应急门设计方案研究，创建方案设计模型；
3.编写型号项目技术响应文件。</t>
  </si>
  <si>
    <t>1.后登机门方案建模</t>
  </si>
  <si>
    <t>1、完成后机身响应文件第一版；
2、对第一版响应文件进行讨论；
3、与陕飞技术人员进行一次沟通，了解后机身结构设计要求；
4、编制第二版响应文件，创建气密框、后机身与尾翼对接结构的方案模型，进行主要结构方案响应；
5、讨论第二版响应文件框架及部分方案。</t>
  </si>
  <si>
    <t>对309改型项目进行商谈，并参加多轮内部设计讨论会，给出意见。</t>
  </si>
  <si>
    <t>设计制造一体化</t>
  </si>
  <si>
    <t>修改设计制造一体化总结报告，完成3轮更改</t>
  </si>
  <si>
    <t>科技成果申报</t>
  </si>
  <si>
    <t xml:space="preserve">《大型民用飞机新型后压力隔框设计技术》成果申报材料编制
</t>
  </si>
  <si>
    <t>复合材料机体机构健康寿命管理研究</t>
  </si>
  <si>
    <t>1.课题项目例会
2.与生产厂沟通处理试验件相关问题
3.检查试验大纲
4.与承试方沟通试验相关问题
5.线上跟试，沟通试验状态,分析试验数据确定试验步骤
6、参加装配容差分析评审会</t>
  </si>
  <si>
    <t>根据工作总结编制专利一项</t>
  </si>
  <si>
    <t>垂尾补偿垫专利编制</t>
  </si>
  <si>
    <t>参加C929项目三级会并组织完成行动项；组织分析解决APQP问题；支持编制设计制造一体化验证总结报告；参与C2项目论证；沟通装配工艺对垂尾、吊挂数模要求</t>
  </si>
  <si>
    <r>
      <rPr>
        <sz val="11"/>
        <rFont val="宋体"/>
        <charset val="134"/>
      </rPr>
      <t>1.设计需求管理一图四表编制——5h
2.概念定义阶段设计一图四表修改——5h
3.初步定义阶段设计一图四表修改——5h
4.产品定义发放和试制阶段设计一图四表修改——5h</t>
    </r>
    <r>
      <rPr>
        <sz val="11"/>
        <rFont val="宋体"/>
        <charset val="134"/>
      </rPr>
      <t xml:space="preserve">
</t>
    </r>
    <r>
      <rPr>
        <sz val="11"/>
        <rFont val="宋体"/>
        <charset val="134"/>
      </rPr>
      <t>5</t>
    </r>
    <r>
      <rPr>
        <sz val="11"/>
        <rFont val="宋体"/>
        <charset val="134"/>
      </rPr>
      <t>.集成研发业务域流程图讨论会——5h
6.供应商参与研发工作流程说明填写——5h</t>
    </r>
  </si>
  <si>
    <t>C919YJTD-强度报告培训</t>
  </si>
  <si>
    <t>1.参加强度培训-10h；
2.完成C919后机身前后段对接静强度分析报告学习-7h
3.完成接头立边拉伸失效分析-3h
4.完成接头底边连接失效分析-3h
5.完成接头端部弯曲失效分析=7h
6.完成端板孔周剪切失效失效分析-3h
7.完成对拉螺栓失效分析-2h
8.完成完成前后段对接拉脱失效分析-3h
9.完成C919复合材料后机身与中后机身对接静强度分析报告学习-7h
10.完成后机身蒙皮与钛合金带板连接失效分析-5h
11.完成后机身长桁与I型接头连接失效分析-3h
12.设计练习-4h</t>
  </si>
  <si>
    <t>1.参加强度培训-4h；
1.完成蒙皮强度分析中应变强度和局部稳定性，样例梳理及工具使用-30h
2.完成后机身对应静强度报告中练习部分，包括对应几种情况HyperMesh模型修改和对应.bdf的保存-30h
3.完成强度报告中应变强度和局部稳定性的工具计算-30h</t>
  </si>
  <si>
    <t>1.参加强度培训-10h；
1.完成强度分析报告中后段壁板强度计算工具使用，梳理流程-30h
2.完成静强度报告中的设计练习，掌握单元对应信息的查找方法-20h
3.完成静强度报告中挤压旁路的工具计算-5h</t>
  </si>
  <si>
    <t>1.完成C919后机身前后段对接静强度分析报告学习
2.完成接头立边拉伸失效分析
3.完成接头底边连接失效分析
4.完成接头端部弯曲失效分析
5.完成端板孔周剪切失效失效分析
6.完成对拉螺栓失效分析
7.完成完成前后段对接拉脱失效分析
8.完成C919复合材料后机身与中后机身对接静强度分析报告学习
9.完成后机身蒙皮与钛合金带板连接失效分析
10.完成后机身长桁与I型接头连接失效分析
11.完成中后机身蒙皮与钛合金带板连接失效分析
12.完成中后机身骨架与73框框缘连接失效分析</t>
  </si>
  <si>
    <t>1.参加强度培训-8h；
2.74-76框静强度报告学习-20h
3.74-76框换材料设计练习-12h</t>
  </si>
  <si>
    <t>1.参加强度培训-8h；
2.74-76框静强度报告学习-16h
3.74、75、76框强度数模提取和提对应载荷-19h
4、完成75框复合材料内外缘分析并写算例-20h
5、完成R区学习-8h
6、完成蒙皮拉脱学习-7h
7、完成复合材料腹板强度学习和算例分析-19h</t>
  </si>
  <si>
    <t>1.参加强度培训、开展相应的练习-10h；</t>
  </si>
  <si>
    <t xml:space="preserve">1.参加强度培训-8h；
2.完成后机身长桁与长桁连接计算工具及算例原理学习：-7.5h
3.完成中后机身蒙皮与钛合金带板的连接计算工具及算例原理学习；-7.5h
4.完成三角撑和支撑件结构的连接计算工具的学习;-7.5h
5.完成支撑件与周围结构的连接计算工具学习;-7.5h
6.完成三角撑结构与周围结构件的连接计算工具学习；-7.5h
7.中后机身长桁和角材连接的工具学习和使用；-7.5h
8.完成中后机身和后机身连接静强度报告中的算例学习，以及计算方法的学习；-7h
</t>
  </si>
  <si>
    <t>1.参加强度培训-4h；
2.完成框部件静强度报告学习-8h</t>
  </si>
  <si>
    <t>国军标质量体系</t>
  </si>
  <si>
    <r>
      <rPr>
        <sz val="10.5"/>
        <rFont val="宋体"/>
        <charset val="134"/>
      </rPr>
      <t>1.完成放沉淀阀功能试验大纲、放沉淀阀试验报告、密封性试验记录、排放流量试验记录、放沉淀阀试验总结、放沉淀阀试验任务书、放沉淀阀试验项目申请、放沉淀阀试验项目申请材料的补充编制和完善-2</t>
    </r>
    <r>
      <rPr>
        <sz val="10.5"/>
        <rFont val="宋体"/>
        <charset val="134"/>
      </rPr>
      <t>0h；
2.编制完善放沉淀阀诊断指南、放沉淀阀产品和服务安全使用培训教程、放沉淀阀使用维护说明书三份材料-</t>
    </r>
    <r>
      <rPr>
        <sz val="10.5"/>
        <rFont val="宋体"/>
        <charset val="134"/>
      </rPr>
      <t>15</t>
    </r>
    <r>
      <rPr>
        <sz val="10.5"/>
        <rFont val="宋体"/>
        <charset val="134"/>
      </rPr>
      <t>h
3.完善放沉淀阀金属材料力学性能设计值、放沉淀阀制造验收技术条件、放沉淀阀工程数据清单、放沉淀阀电子样机（工程研制阶段、研制报告模板等五份材料-1</t>
    </r>
    <r>
      <rPr>
        <sz val="10.5"/>
        <rFont val="宋体"/>
        <charset val="134"/>
      </rPr>
      <t>0</t>
    </r>
    <r>
      <rPr>
        <sz val="10.5"/>
        <rFont val="宋体"/>
        <charset val="134"/>
      </rPr>
      <t>h；
4.校对完善方案阶段相应材料7份-10h；</t>
    </r>
  </si>
  <si>
    <t>1.新增文件放沉淀阀转阶段风险评估报告（工程研制阶段）编制——15h
2.新增文件放沉淀阀风险评审纪要（工程研制阶段）编制——15h
3.校对放沉淀阀尺寸外形图（工程研制阶段）——2h
4.校对放沉淀阀产品详细规范——2h
5.校对放沉淀阀协调单（系统—强度）并修改——4h
6.校对放沉淀阀风险识别分析（工程研制阶段）并修改——7.5h
7.校对放沉淀阀风险管理表（工程研制阶段）并修改——7.5h
8.校对放沉淀阀协调单（强度—系统）并修改——4h
9.校对放沉淀阀强度分析报告（工程研制阶段）并修改-4h</t>
  </si>
  <si>
    <t>1.修改产品研制（试制）技术报告-5
2.修改产品性能测试数据-2
3.修改产品质量评审结论报告-3
4.修改项目整体研制简介-3
5.修改工艺设计工作总结-2
6.修改项目首件鉴定报告数据库维护-3
7.修改制造记录或装配大纲-2
8.修改首件鉴定特性草图-2
9.修改首件鉴定审查报告-3</t>
  </si>
  <si>
    <t>质量工作</t>
  </si>
  <si>
    <t>1、组织完成质量文化手册宣贯培训，编制考试题，汇总上报宣贯情况；
2、组织完成质量承诺书签订；
3、组织完成穿透式检查自查报告；
4、完成军民机二季度基层审核报表；
5、协助完成航空质协QC成果申报。</t>
  </si>
  <si>
    <t xml:space="preserve">组织8号登机门项目GJB审计材料。
1.参加启动会，对接需求。
2.梳理审核时间线、项目计划、行动项、会议纪要、协调单等信息，制定任务计划。
3.组织校对概念、初步、详细阶段交付物，列出更改项。
4.梳理项目策划、计划、过程管控文件及输出物并更改。
5.组织中期评审、末期评审后的技术报告及模型的升版。
6.数据传递到六楼、打印交付物并更换。
7.组织2025年2季度二、三方审核问题进行内部自查。
</t>
  </si>
  <si>
    <t xml:space="preserve">GJB质量审核
1.参加启动会，对接需求
2.梳理审核时间线、项目计划、行动项等信息，制定补偿计划
3.校对概念、初步、详细阶段交付物，列出更改项
4.校对会议纪要、协调单等信息
</t>
  </si>
  <si>
    <t>1.完成型号项目结构详细设计报告、重量中心报告、安装调整报告更改；
2.完成会议纪要、协调单等补充、更改；
3.完成行动项重新整理，完成行动项列表更改；
4.完成挡块试验相关文件更改、编制，其中包括试验项目清单、试验任务书、试验跟产记录、试验总结报告等。</t>
  </si>
  <si>
    <t>8号登机门强度文件复查及更新</t>
  </si>
  <si>
    <t>散货舱门质量迎审</t>
  </si>
  <si>
    <t>编制《安全性分析工具型号应用总结报告》-20
散货舱门可靠性安全性相关报告的更新-80
8号登机门四性文件复查及更新-15</t>
  </si>
  <si>
    <t>散货舱门设计输入、设计评审等文件更新</t>
  </si>
  <si>
    <t>QC答辩</t>
  </si>
  <si>
    <t>于2025年6月4日至2025年6月6日前往宁夏银川参加沈阳市第44次质量管理小组代表会议并进行QC成果发表</t>
  </si>
  <si>
    <t>燃油成品件研制</t>
  </si>
  <si>
    <t>1.协助完成成品件课题采购申请流程审签-5h；
2.完成成品件课题两份报价材料的编制和完善-20h；
3.完成成品件课题试验费用与试验方案匹配两轮，与供应商协调试验项的可行性和合理性，并最终确认试验项-15h；
4.完成成品件与拉杆合并环境试验的材料准备，与供应商完成技术协调，完成试验件准备并发给供应商-5h
5.完成成品件课题报价税率问题的沟通-5h；
6.跟进、提交供应商询价相关的资料信息、与供应商协调试验细节问题-5h
7.完成成品件课题中期评审材料补充-5h</t>
  </si>
  <si>
    <t>整理并更改8#项目迎审文件3份，打印并替换；5h</t>
  </si>
  <si>
    <t>管理课题</t>
  </si>
  <si>
    <t>1.建立完整的正向系统研制流程。</t>
  </si>
  <si>
    <t>编制设计更改流程卡片、设计更改流程图、流程绩效指标表、流程目录；10h</t>
  </si>
  <si>
    <r>
      <rPr>
        <sz val="11"/>
        <rFont val="Times New Roman"/>
        <charset val="134"/>
      </rPr>
      <t>SIA</t>
    </r>
    <r>
      <rPr>
        <sz val="11"/>
        <rFont val="宋体"/>
        <charset val="134"/>
      </rPr>
      <t>无人机设计</t>
    </r>
    <r>
      <rPr>
        <sz val="11"/>
        <rFont val="Times New Roman"/>
        <charset val="134"/>
      </rPr>
      <t>-2</t>
    </r>
  </si>
  <si>
    <t>6200外翼结构设计</t>
  </si>
  <si>
    <t>1、机翼骨架模型设计
2、中央翼结构设计</t>
  </si>
  <si>
    <t>1、机翼骨架模型设计
2、中央翼结构设计
3、7600外翼结构设计
4、6200副翼结构设计
5、7600副翼结构设计
6、组织方案、制造及装配讨论</t>
  </si>
  <si>
    <t>有限元模型建立，载荷加载处理等</t>
  </si>
  <si>
    <t>梳理输入，沟通问题，有限元模型建立，载荷加载处理等</t>
  </si>
  <si>
    <t>C929设计（2025年上飞院）</t>
  </si>
  <si>
    <t>C929设计（2025年复材中心）</t>
  </si>
  <si>
    <r>
      <rPr>
        <sz val="11"/>
        <rFont val="Times New Roman"/>
        <charset val="134"/>
      </rPr>
      <t>C929</t>
    </r>
    <r>
      <rPr>
        <sz val="11"/>
        <rFont val="宋体"/>
        <charset val="134"/>
      </rPr>
      <t>设计（</t>
    </r>
    <r>
      <rPr>
        <sz val="11"/>
        <rFont val="Times New Roman"/>
        <charset val="134"/>
      </rPr>
      <t>2025</t>
    </r>
    <r>
      <rPr>
        <sz val="11"/>
        <rFont val="宋体"/>
        <charset val="134"/>
      </rPr>
      <t>年复材中心）</t>
    </r>
  </si>
  <si>
    <t>科研课题</t>
  </si>
  <si>
    <t>WH1项目燃油油量测量系统设计技术研究：
1.补充课题中期评审材料，完成中期答辩-10h；</t>
  </si>
  <si>
    <t>基于适航的WH1项目遥控台(站)系统设计技术研究：
1.补充课题中期评审材料，完成中期答辩-10h。</t>
  </si>
  <si>
    <t>WH1项目飞行控制与管理系统架构设计研究：
1.完成编制课题中期评审材料，并完成中期答辩-10h；
2.完成飞行传感器子系统选型文件编制-10h。</t>
  </si>
  <si>
    <t>WH1项目飞行控制与管理系统架构设计研究：
1.飞控课题相关报告编写-20h。</t>
  </si>
  <si>
    <t>WH1项目总体参数计算分析工具研究</t>
  </si>
  <si>
    <t>WH1项目翼身连接结构设计技术研究</t>
  </si>
  <si>
    <t>WH1项目尾门装载式后机身货舱门口框设计技术研究</t>
  </si>
  <si>
    <t>WH1项目机头结构设计技术研究</t>
  </si>
  <si>
    <t>技术攻关</t>
  </si>
  <si>
    <t>适用多型号的 MRB典型处置方案数据库搭建：
1、ACCESS数据库的设计应用 6h
2、中期评审材料编制 4h</t>
  </si>
  <si>
    <t>《C919项目预发放数据核查系统开发》编码开发工作</t>
  </si>
  <si>
    <t>面向维护性的宽体客机吊挂次级结构设计研究</t>
  </si>
  <si>
    <t>WH1项目面向维修性的涡桨发动机短舱结构设计研究</t>
  </si>
  <si>
    <t>WH1项目前起落架连接结构设计技术研究</t>
  </si>
  <si>
    <t>C929垂尾容差分析方法研究</t>
  </si>
  <si>
    <t>分块式方向舵的设计技术研究</t>
  </si>
  <si>
    <t>WH1项目方向舵悬挂设计技术研究</t>
  </si>
  <si>
    <t>权衡要素资料消化吸收讨论，从客户需求、性能、成本、进度、四性、环境保护影响、适航性、风险、制造工艺性和改装潜力等要素维度整理分析结合，将性能拆分细化，单独列出重量、工装、法规和技术成熟度四个要素维度，增加打分趋势列内容以说明各个要素何种趋势打分更高，并贯彻汇报部门领导专家提出的意见。
共享区存放地址链接:\\192.168.10.140\newnas\data\yanfadata\WH1项目结构强度综合\05 其他工作包\04=气动载荷\刘全\202506\权衡要素</t>
  </si>
  <si>
    <t>搜集权衡研究方法资料二十余篇论文（包括ANP方法、VIKOR方法和CRITIC方法等），对其中VIKOR排序方法进行研究计算，完成总结《权衡研究之VIKOR排序法》。
共享区存放地址链接:\\192.168.10.140\newnas\data\yanfadata\WH1项目结构强度综合\05 其他工作包\04=气动载荷\刘全\202505\权衡方法</t>
  </si>
  <si>
    <t/>
  </si>
  <si>
    <t>前机身</t>
  </si>
  <si>
    <t>中机身</t>
  </si>
  <si>
    <t>后压力框</t>
  </si>
  <si>
    <t>韩南逍</t>
  </si>
  <si>
    <t>黄文超</t>
  </si>
  <si>
    <t>孔婷婷</t>
  </si>
  <si>
    <t>机翼</t>
  </si>
  <si>
    <t>平尾</t>
  </si>
  <si>
    <t>林树德</t>
  </si>
  <si>
    <t>舵面</t>
  </si>
  <si>
    <t>货舱门</t>
  </si>
  <si>
    <t>起落架舱门</t>
  </si>
  <si>
    <t>3#登机门</t>
  </si>
  <si>
    <t>1#登机门</t>
  </si>
  <si>
    <t>散货舱门</t>
  </si>
  <si>
    <t>吕国成</t>
  </si>
  <si>
    <t>登机门</t>
  </si>
  <si>
    <t>工程项目</t>
  </si>
  <si>
    <t>内控工作</t>
  </si>
  <si>
    <t>任傲</t>
  </si>
  <si>
    <t>沈天齐</t>
  </si>
  <si>
    <t>孙红军</t>
  </si>
  <si>
    <t>唐铭远</t>
  </si>
  <si>
    <t>王猛</t>
  </si>
  <si>
    <t>张曾霞</t>
  </si>
  <si>
    <t>闫峰</t>
  </si>
  <si>
    <t>郑配云</t>
  </si>
  <si>
    <t>杨会宁</t>
  </si>
  <si>
    <t>赵东阳</t>
  </si>
  <si>
    <t>赵鹤群</t>
  </si>
  <si>
    <t>ARJ21货运型设计（2022年上飞院）</t>
  </si>
  <si>
    <t>编制1份文件</t>
  </si>
  <si>
    <t>编制4份</t>
  </si>
  <si>
    <t>TPUB</t>
  </si>
  <si>
    <t>结构识别</t>
  </si>
  <si>
    <t>1.编制4份-60。
2.校对6份-24。
3.编写模板-15.
4.联络工时-50</t>
  </si>
  <si>
    <t>SRM</t>
  </si>
  <si>
    <t>编制2份文件（前机身主货舱滑轨、中后机身地板支撑结构）；
校对3份文件（前机身主货舱地板面板、中后机身滑轨、中后机身主货舱地板排水结构）</t>
  </si>
  <si>
    <t>项目管理、实施方案评审</t>
  </si>
  <si>
    <t>结构识别编制、校对</t>
  </si>
  <si>
    <t>C919短舱结构识别、允许损伤、修理文件翻译</t>
  </si>
  <si>
    <t>修理更新</t>
  </si>
  <si>
    <t>允许损伤更新、CFM翻译</t>
  </si>
  <si>
    <t>静强度手册</t>
  </si>
  <si>
    <t>静强度手册报告更新</t>
  </si>
  <si>
    <t>舱门强度</t>
  </si>
  <si>
    <t>1.919登机门内饰板支架4个方案的设计及分析
2.919货舱门机构（2轴方案）Adams建模和卡滞工况分析及报告</t>
  </si>
  <si>
    <t>1.球面框适航总结-15h
2.APU连接适航总结-15h
3.做ppt、分解工时-10h</t>
  </si>
  <si>
    <t>1.C919平尾悬挂框适航总结-20h
2.C919平尾悬挂接头适航总结-17.5h</t>
  </si>
  <si>
    <t>1.C919后段壁板适航总结-20h
2.C919后机身工作分解工时-7.5h</t>
  </si>
  <si>
    <t>补发工时</t>
  </si>
  <si>
    <t>1.C919前后段对接适航总结-15h
2.C919垂尾连接适航总结-15h
3.任务单、验收单和工时汇总表填写-10h</t>
  </si>
  <si>
    <t>1.C919前段壁板适航总结-20h</t>
  </si>
  <si>
    <t>1.C919平尾开口梁适航总结-20h</t>
  </si>
  <si>
    <t>补发6月工时</t>
  </si>
  <si>
    <t>1.静强度修理报告—采用盲铆钉对长桁间蒙皮的外补修理-60h
2.静强度修理报告—采用实心铆钉对长桁间蒙皮的外补修理-80h
3.静强度修理报告—舱门梁间蒙皮外补修理-40h</t>
  </si>
  <si>
    <t>1.静强度修理报告—采用盲铆钉对长桁位置蒙皮的外补修理-40h
2.静强度修理报告—采用实心铆钉对长桁位置蒙皮的外补修理-60h</t>
  </si>
  <si>
    <t>鸟撞</t>
  </si>
  <si>
    <t xml:space="preserve">  1).C919风挡细节有限元建模</t>
  </si>
  <si>
    <t>手册允许损伤特性研究</t>
  </si>
  <si>
    <t>1 团队技术支持 2 客户沟通及技术讨论 3 允许损伤有限元报告编制（数据处理及交付） 4 跑道型表面损伤分析 5 表面损伤模型无损伤有孔模型分析</t>
  </si>
  <si>
    <t>1 有无表面损伤50mm裂纹扩展分析 2 六组表面损伤模型分析 3 两个耳片模型分析</t>
  </si>
  <si>
    <t>四组带孔缘条边缘损伤有限元分析</t>
  </si>
  <si>
    <t>第一组耳片边缘损伤模型修改分析</t>
  </si>
  <si>
    <t>1 四组无孔缘条边缘损伤及集中系数为1.5模型有限元分析 2 有无孔表面损伤模型、有无孔边缘损伤缘条模型等结果处理</t>
  </si>
  <si>
    <t>C919产品损伤容限报告</t>
  </si>
  <si>
    <t xml:space="preserve">前起舱及RAT舱结构损伤容限方法研究及整理并启动编写总结报告
</t>
  </si>
  <si>
    <t xml:space="preserve">登机门框结构损伤容限方法研究及整理并启动编写总结报告
</t>
  </si>
  <si>
    <t xml:space="preserve">天窗骨架结构损伤容限方法研究及整理并启动编写总结报告
</t>
  </si>
  <si>
    <r>
      <rPr>
        <sz val="10.5"/>
        <rFont val="Times New Roman"/>
        <charset val="134"/>
      </rPr>
      <t>C919</t>
    </r>
    <r>
      <rPr>
        <sz val="10.5"/>
        <rFont val="宋体"/>
        <charset val="134"/>
      </rPr>
      <t>机身结构损伤容限分析方法研究
整体总结报告适航条款及符合性研究并编写总结</t>
    </r>
  </si>
  <si>
    <t xml:space="preserve">E-E舱门/驾驶舱应急门结构损伤容限方法研究及整理并启动编写总结报告
</t>
  </si>
  <si>
    <t xml:space="preserve">拉伸接头典型结构损伤容限方法研究及整理并启动编写总结报告
旅客观察窗结构损伤容限方法研究及整理并启动编写总结报告
</t>
  </si>
  <si>
    <t xml:space="preserve">机身壁板结构损伤容限方法研究及整理并启动编写总结报告
</t>
  </si>
  <si>
    <t xml:space="preserve">货舱门框结构损伤容限方法研究及整理并启动编写总结报告
</t>
  </si>
  <si>
    <t xml:space="preserve">机身普通框结构损伤容限方法研究及整理并启动编写总结报告
</t>
  </si>
  <si>
    <t>中后机身长桁结构损伤容限方法研究及整理并启动编写总结报告</t>
  </si>
  <si>
    <t>SRM手册强度</t>
  </si>
  <si>
    <t>前机身-长桁允许损伤损伤容限报告编制及意见贯彻
中后机身-后登机门框允许损伤损伤容限报告更新</t>
  </si>
  <si>
    <t>前机身框允许损伤损伤容限报告更新及意见贯彻
机身长桁间蒙皮修理损伤容限报告编制</t>
  </si>
  <si>
    <t>机身长桁站位蒙皮修理损伤容限报告编制
中后机身框允许损伤损伤容限报告更新</t>
  </si>
  <si>
    <r>
      <rPr>
        <sz val="10.5"/>
        <rFont val="宋体"/>
        <charset val="134"/>
      </rPr>
      <t>机头</t>
    </r>
    <r>
      <rPr>
        <sz val="10.5"/>
        <rFont val="Times New Roman"/>
        <charset val="134"/>
      </rPr>
      <t>-</t>
    </r>
    <r>
      <rPr>
        <sz val="10.5"/>
        <rFont val="宋体"/>
        <charset val="134"/>
      </rPr>
      <t>前登机门框允许损伤损伤容限报告更新
典型修理损伤容限分析方法确认
本月提交报告校对并答复上海意见</t>
    </r>
  </si>
  <si>
    <r>
      <rPr>
        <sz val="10.5"/>
        <rFont val="宋体"/>
        <charset val="134"/>
      </rPr>
      <t>中后机身</t>
    </r>
    <r>
      <rPr>
        <sz val="10.5"/>
        <rFont val="Times New Roman"/>
        <charset val="134"/>
      </rPr>
      <t>-</t>
    </r>
    <r>
      <rPr>
        <sz val="10.5"/>
        <rFont val="宋体"/>
        <charset val="134"/>
      </rPr>
      <t>后货舱门框允许损伤损伤容限报告更新</t>
    </r>
  </si>
  <si>
    <t>舱门蒙皮小孔平补修理损伤容限报告编制</t>
  </si>
  <si>
    <t>机头长桁允许损伤损伤容限报告更新及意见贯彻</t>
  </si>
  <si>
    <t>舱门长桁间蒙皮修理损伤容限报告编制</t>
  </si>
  <si>
    <r>
      <rPr>
        <sz val="10.5"/>
        <rFont val="宋体"/>
        <charset val="134"/>
      </rPr>
      <t>机身</t>
    </r>
    <r>
      <rPr>
        <sz val="10.5"/>
        <rFont val="Times New Roman"/>
        <charset val="134"/>
      </rPr>
      <t>-</t>
    </r>
    <r>
      <rPr>
        <sz val="10.5"/>
        <rFont val="宋体"/>
        <charset val="134"/>
      </rPr>
      <t>蒙皮小孔平补修理损伤容限报告编制（含模型）</t>
    </r>
  </si>
  <si>
    <t>可达性</t>
  </si>
  <si>
    <t>301EWIS</t>
  </si>
  <si>
    <t>1.整理财务审计报告等</t>
  </si>
  <si>
    <r>
      <rPr>
        <sz val="11"/>
        <rFont val="Times New Roman"/>
        <charset val="134"/>
      </rPr>
      <t>1,919</t>
    </r>
    <r>
      <rPr>
        <sz val="11"/>
        <rFont val="宋体"/>
        <charset val="134"/>
      </rPr>
      <t>燃油箱闪电防护试验</t>
    </r>
    <r>
      <rPr>
        <sz val="11"/>
        <rFont val="Times New Roman"/>
        <charset val="134"/>
      </rPr>
      <t xml:space="preserve">
2,919</t>
    </r>
    <r>
      <rPr>
        <sz val="11"/>
        <rFont val="宋体"/>
        <charset val="134"/>
      </rPr>
      <t>燃油箱安全性分析</t>
    </r>
  </si>
  <si>
    <t>2.1例会及协调2h
2.2评审资料准备2h</t>
  </si>
  <si>
    <t>1.校对华小歌5759C22001G24/G25;5759C22002G25/G26-2h；
2.华小歌5369C51、52、53、54、55、57、58工作单-80h；
3.商飞第八批任务通知单及验收单编制-10；</t>
  </si>
  <si>
    <t>1.施任杰-5349C21000G22、5349C21000G23设计任务-26h;
2.施任杰-5349C21000G20、5349C21000G21校对任务-4h;
3.修改第八批验收单和通知单-2h。</t>
  </si>
  <si>
    <t>1.孙晨晨9月工作单2设计-4h；
2.陈锋-5319C82000G2设计-4h；
3.刘振芳-5349C16000G26设计-5h；
4.华小歌-5389C03000、5389C24000工作单校对-2h
5.刘振芳-5349C16000G25校对-2h；</t>
  </si>
  <si>
    <t>1孙晨晨9月工作单1设计-7h
2.华小歌-575922001G2*设计-14h
3.陈锋-5319C80000G2X设计-21h
4.华小歌-5389C03000/5389C24000G2*设计-18h</t>
  </si>
  <si>
    <t>1.施任杰-5349C21000G20、5349C21000G21设计任务-26h
2.施任杰-5349C21000G22、5349C21000G23校对任务-4h
3.刘振芳-5349C16000G25设计-5h
4.孙晨晨9月工作单1校对-2h
5.陈锋-5319C82000G2校对-1h
6.华小歌-5389C03000/5389C24000G2*校对-3h
7.华小歌5369C51、52、53、54、55、57、58校对-6h
8.刘振芳-5349C16000G26校对-2h；</t>
  </si>
  <si>
    <t>1.孙晨晨9月工作单2校对-2h</t>
  </si>
  <si>
    <t>1.陈锋-5319C82000G2校对-4h；</t>
  </si>
  <si>
    <t>应急门手柄更改方案设计、登机门扭力杆方案设计</t>
  </si>
  <si>
    <t>货舱门万向节方案更改、登机门内饰支架方案更改、舱门发图更改</t>
  </si>
  <si>
    <t>应急门飞行锁机构设计</t>
  </si>
  <si>
    <t>货舱门增压预防门方案设计、舱门发图更改</t>
  </si>
  <si>
    <t>应急门手柄方案设计、舱门发图更改</t>
  </si>
  <si>
    <t>舱门发图更改</t>
  </si>
  <si>
    <t>1.与上海沟通输入、方法文件等，研究分析方法
2.尾锥蒙皮允许损伤静强度分析及报告编制</t>
  </si>
  <si>
    <r>
      <rPr>
        <sz val="11"/>
        <rFont val="Times New Roman"/>
        <charset val="134"/>
      </rPr>
      <t>C919</t>
    </r>
    <r>
      <rPr>
        <sz val="11"/>
        <rFont val="宋体"/>
        <charset val="134"/>
      </rPr>
      <t>设计（</t>
    </r>
    <r>
      <rPr>
        <sz val="11"/>
        <rFont val="Times New Roman"/>
        <charset val="134"/>
      </rPr>
      <t>2022</t>
    </r>
    <r>
      <rPr>
        <sz val="11"/>
        <rFont val="宋体"/>
        <charset val="134"/>
      </rPr>
      <t>年上飞院）</t>
    </r>
  </si>
  <si>
    <t>手册疲劳更新</t>
  </si>
  <si>
    <t>其中允许损伤文件100，修理文件75，C919翻译25</t>
  </si>
  <si>
    <t xml:space="preserve">机身蒙皮小孔临时修理静强度分析温度载荷工况更新后多部段新增分析-90
机身蒙皮小孔临时修理静强度报告更新-30
</t>
  </si>
  <si>
    <t>机身蒙皮小孔临时修理静强度分析温度载荷工况更新后多部段新增分析</t>
  </si>
  <si>
    <t>强度建模练习</t>
  </si>
  <si>
    <t>C919项目允许损伤静强度报告、ARJ21结构识别</t>
  </si>
  <si>
    <r>
      <rPr>
        <sz val="12"/>
        <color theme="1"/>
        <rFont val="Times New Roman"/>
        <charset val="134"/>
      </rPr>
      <t>CR929</t>
    </r>
    <r>
      <rPr>
        <sz val="12"/>
        <color theme="1"/>
        <rFont val="宋体"/>
        <charset val="134"/>
      </rPr>
      <t>登机门可靠性分析</t>
    </r>
  </si>
  <si>
    <r>
      <rPr>
        <sz val="12"/>
        <color theme="1"/>
        <rFont val="Times New Roman"/>
        <charset val="134"/>
      </rPr>
      <t>CR929</t>
    </r>
    <r>
      <rPr>
        <sz val="12"/>
        <color theme="1"/>
        <rFont val="宋体"/>
        <charset val="134"/>
      </rPr>
      <t>登机门可靠性分析、</t>
    </r>
    <r>
      <rPr>
        <sz val="12"/>
        <color theme="1"/>
        <rFont val="Times New Roman"/>
        <charset val="134"/>
      </rPr>
      <t>ARJ21</t>
    </r>
    <r>
      <rPr>
        <sz val="12"/>
        <color theme="1"/>
        <rFont val="宋体"/>
        <charset val="134"/>
      </rPr>
      <t>结构识别</t>
    </r>
  </si>
  <si>
    <t>ARJ21结构识别</t>
  </si>
  <si>
    <t>C919项目允许损伤静强度报告</t>
  </si>
  <si>
    <t>强度培训</t>
  </si>
  <si>
    <t>CR929登机门有限元建模</t>
  </si>
  <si>
    <t>公司“雏鹰”培训</t>
  </si>
  <si>
    <t>静强度培训、强度建模练习</t>
  </si>
  <si>
    <t>纪录片制作</t>
  </si>
  <si>
    <t>撰写文化案例集</t>
  </si>
  <si>
    <t>党建工时</t>
  </si>
  <si>
    <t>1、组织开展党支部党课学习；
2、写季度党课学习记录；
3、三会一课检查。</t>
  </si>
  <si>
    <t>组织质量竞赛考试、组织观看红色电影团日活动、参加公司职场三观大讨论、青年突击队</t>
  </si>
  <si>
    <t>1.党小组会议材料准备、开会
2.党员学习笔记
3.写宣传稿《航空报国的先锋旗帜，研发战线的杰出代表》</t>
  </si>
  <si>
    <t>1、工程研发事业部电子月刊编辑制作
2、三会一课材料整理
3、沈飞民机简报投稿2篇
4、“文化案例集”材料编写
5、“我与公司共成长”剧本编写及修改</t>
  </si>
  <si>
    <t>三会一课记录本的填写及投稿一篇</t>
  </si>
  <si>
    <t>结构第二党小组组织召开党小组会议，记录会议纪要，梳理检查组内党建材料，编写宣传稿等工作</t>
  </si>
  <si>
    <t>党小组事务</t>
  </si>
  <si>
    <t>第三季度党小组会议，党小组笔记记录，党员笔记收集及签阅</t>
  </si>
  <si>
    <t>组织三会一课</t>
  </si>
  <si>
    <r>
      <rPr>
        <sz val="11"/>
        <color theme="1"/>
        <rFont val="宋体"/>
        <charset val="134"/>
      </rPr>
      <t>结构</t>
    </r>
  </si>
  <si>
    <r>
      <rPr>
        <sz val="11"/>
        <color theme="1"/>
        <rFont val="宋体"/>
        <charset val="134"/>
      </rPr>
      <t>机体结构设计</t>
    </r>
  </si>
  <si>
    <r>
      <rPr>
        <sz val="11"/>
        <color theme="1"/>
        <rFont val="宋体"/>
        <charset val="134"/>
      </rPr>
      <t>前机身结构设计</t>
    </r>
  </si>
  <si>
    <t>项目管控</t>
  </si>
  <si>
    <t>项目验收准备</t>
  </si>
  <si>
    <t>质量体系建设</t>
  </si>
  <si>
    <t>1）参加质量体系建设例会，各项资料传递，梳理Z-文件列表，标准化审核Z-文件 7.5
2）完成AS9100审计相关工作（准备、完善迎审相关文件资料，参与现场审计）22.5
3）完成质量月相关工作（编制计划、组织答题、统计人数、整理问题清单、编制培训教材、编写活动总结）45</t>
  </si>
  <si>
    <t>1）梳理M700迎审资料 24
2）编制军机迎审文件 15
3）问题沟通、参加会议等   5</t>
  </si>
  <si>
    <t>1.参加质量会议-5h；
2.完善电磁兼容性分析指南、电子元器件选用管理要求、安全性方法和程序、安全性设计准则文件-24h</t>
  </si>
  <si>
    <t>1.参加质量会议-5h；
2.完成蓄压器强度分析建模-24h；
3.完善 机载设备故障分析手册编制要求-16h：</t>
  </si>
  <si>
    <t>编写KK4文件，参加文件编制讨论会议</t>
  </si>
  <si>
    <t>编写KK4文件</t>
  </si>
  <si>
    <t>1.参加质量体系例会-8
2.KK3-JB2000-0035Rev-蓄压器研发项目维修性分析报告-15
3.KK4-可靠性工作计划-20</t>
  </si>
  <si>
    <t>质量例会、初稿文件修改完善：
1-04 修理级别分析 （ 15 页） 
2-01 综合保障程序和方法（通用要求） （ 14 页） 
2-02 综合保障工作计划编制要求 （ 9 页） 
2-03 综合保障评审 （ 23 页） 
2-04 保障方案和保障计划编制 （ 14 页） 
2-05 保障设备规划与研制要求 （ 10 页） 
3-01 环境适应性（环境工程）程序和方法 （ 19 页） 
3-02 环境工程文件编写要求 （ 58 页） 
3-03 装备实验室环境试验方法  通用要求 （ 9 页） 
4-01 腐蚀防护设计和控制要求 （ 25 页）</t>
  </si>
  <si>
    <t>1.按模板编制蓄压器性能试验任务书5h；
2.按模板编制蓄压器性能试验大纲5h；。</t>
  </si>
  <si>
    <t>编写《可靠性》相关文件</t>
  </si>
  <si>
    <t>参加质量体系例会，整理表中强度的交付物，识别查找文件列表</t>
  </si>
  <si>
    <t>1.质量会议5h
2.重量设计报告30h</t>
  </si>
  <si>
    <t>1.编制《蓄压器研发项目外形尺寸图和外部连接图》-8h</t>
  </si>
  <si>
    <t>1.编制风险管理计划。-5h。
2.编制武器装备研制项目风险管理指南。-5h
3.编制蓄压器风险管理计划及风险评估表。-8h</t>
  </si>
  <si>
    <t>1.修改蓄压器研发项目设计输出清单-初样设计阶段-5h
2.修改蓄压器研发项目设计输出清单-5h</t>
  </si>
  <si>
    <t>1.参加质量体系例会
2.维修性报告、安全性报告等六分KK3文件的技术要求参数贯彻
3.特性分类校对</t>
  </si>
  <si>
    <t>1.编制蓄压器需求分析报告报告</t>
  </si>
  <si>
    <t>1.编制蓄压器研发项目研制方案报告-16h</t>
  </si>
  <si>
    <t>1.编制蓄压器过载分析报告-5h
2.创建蓄压器有限元模型-5h</t>
  </si>
  <si>
    <t>1、EDRN、RFC、DCP文件整理
2、模块数模整理、陪审</t>
  </si>
  <si>
    <t>1、编制《可靠性方法和程序》文件-5h；
2、编制《可靠性准则》文件-5h</t>
  </si>
  <si>
    <t>GJB质量保证体系</t>
  </si>
  <si>
    <t>重点工作任务管控</t>
  </si>
  <si>
    <t>1、EDRN编制13份。</t>
  </si>
  <si>
    <t>AOS</t>
  </si>
  <si>
    <t>1.参加会议，2h
2.编制GLC12030201-A方案阶段设计实现管理程序，6h</t>
  </si>
  <si>
    <t>1.参加会议，2h
2.编制GLC12030202-A工程研制阶段设计实现管理程序，10h</t>
  </si>
  <si>
    <t>1.参加会议，2h
2.编制GLC12030203-A工程研制阶段设计实现管理程序，3h</t>
  </si>
  <si>
    <t>GLC120108产品设计和开发的更改管理程序</t>
  </si>
  <si>
    <t>GLC120110产品设计和开发的DRD交付过程管理程序</t>
  </si>
  <si>
    <t>ARJ灭火机RFP回复、方案更新</t>
  </si>
  <si>
    <t>GLC120204关键特性确定管理程序</t>
  </si>
  <si>
    <t>起落架舱门RFP回复编辑</t>
  </si>
  <si>
    <t>S-GD2000-0016Rev.A 产品支援工作流程文件编制、产品支援检查单编制</t>
  </si>
  <si>
    <t>经验教训案例库查询程序开发</t>
  </si>
  <si>
    <t>整理舱门设计经验教训库</t>
  </si>
  <si>
    <t>整理机身设计经验教训库</t>
  </si>
  <si>
    <t>GLC120202产品设计策划管理程序、GLC120203设计输入管理程序</t>
  </si>
  <si>
    <t>GLC120109产品设计和开发的试验管理程序、GLB12030101-01-A 工程数据集成熟度管理标准</t>
  </si>
  <si>
    <t>GLC120111产品设计风险识别与控制管理程序</t>
  </si>
  <si>
    <t>AOS文件编制会议讨论</t>
  </si>
  <si>
    <t>原材料、标准件验收试验项目表AOS文件编制</t>
  </si>
  <si>
    <t>AOS联络员工作</t>
  </si>
  <si>
    <t>GLC12030101  概念定义阶段设计实现管理程序</t>
  </si>
  <si>
    <t>编写复杂装配件容差分配管理标准</t>
  </si>
  <si>
    <t>详细定义阶段设计实现管理程序</t>
  </si>
  <si>
    <t>科技成果</t>
  </si>
  <si>
    <t>小型巡飞弹（巡飞无人机）平台技术研究和验证</t>
  </si>
  <si>
    <t>小型巡飞弹（巡飞无人机）平台技术研究和验证
电动垂直起降航空器（eVTOL）技术研究</t>
  </si>
  <si>
    <t>运输类飞机内滑式舱门设计技术</t>
  </si>
  <si>
    <t>民用飞机复合材料后机身适航符合性验证技术研究</t>
  </si>
  <si>
    <t>民用飞机结构损伤容限分析方法及适航验证流程研究</t>
  </si>
  <si>
    <t>大型商用飞机鸟撞强度分析技术研究</t>
  </si>
  <si>
    <t>飞机电子电气功能设备架集成设计技术的研究</t>
  </si>
  <si>
    <t>后机身前、后段对接结构优化设计研究（攻关）</t>
  </si>
  <si>
    <t>宽体飞机复合材料后压力框结构设计技术攻关</t>
  </si>
  <si>
    <t>基于性能等效理论的复合材料3D建模技术研究（攻关）</t>
  </si>
  <si>
    <t>重点任务-适航设计保证手册</t>
  </si>
  <si>
    <t>A220</t>
  </si>
  <si>
    <t>借调结构室</t>
  </si>
  <si>
    <t>转包</t>
  </si>
  <si>
    <t>商飞</t>
  </si>
  <si>
    <t>借调强度室</t>
  </si>
  <si>
    <t>转包国内</t>
  </si>
  <si>
    <t>国内</t>
  </si>
  <si>
    <t>数据</t>
  </si>
  <si>
    <t>借调人员，工作地点601所</t>
  </si>
  <si>
    <t>制造项目 AOS 党建 技改</t>
  </si>
  <si>
    <t>制造项目 国内项目支持</t>
  </si>
  <si>
    <t>国外项目支持</t>
  </si>
  <si>
    <t>标准组工程支持</t>
  </si>
  <si>
    <t>材料及工艺支持</t>
  </si>
  <si>
    <t>构型管理支持 MA700支持 适航管理</t>
  </si>
  <si>
    <t xml:space="preserve">构型管理支持 MA700支持 </t>
  </si>
  <si>
    <t>适航支持</t>
  </si>
  <si>
    <t>货舱门开口周边结构设计优化攻关</t>
  </si>
  <si>
    <t>基于框架式平尾悬挂框的平尾悬挂结构设计研究技术攻关</t>
  </si>
  <si>
    <t>孟凡力</t>
  </si>
  <si>
    <t>01720</t>
  </si>
  <si>
    <t>李勇</t>
  </si>
  <si>
    <t>宋凯（总体）</t>
  </si>
  <si>
    <r>
      <rPr>
        <sz val="12"/>
        <color theme="1"/>
        <rFont val="Times New Roman"/>
        <charset val="134"/>
      </rPr>
      <t>1</t>
    </r>
    <r>
      <rPr>
        <sz val="12"/>
        <color theme="1"/>
        <rFont val="宋体"/>
        <charset val="134"/>
      </rPr>
      <t>号</t>
    </r>
    <r>
      <rPr>
        <sz val="12"/>
        <color theme="1"/>
        <rFont val="Times New Roman"/>
        <charset val="134"/>
      </rPr>
      <t>-1.3</t>
    </r>
    <r>
      <rPr>
        <sz val="12"/>
        <color theme="1"/>
        <rFont val="宋体"/>
        <charset val="134"/>
      </rPr>
      <t>设计</t>
    </r>
  </si>
  <si>
    <t>YZ40000401</t>
  </si>
  <si>
    <r>
      <rPr>
        <sz val="12"/>
        <color theme="1"/>
        <rFont val="Times New Roman"/>
        <charset val="134"/>
      </rPr>
      <t>1</t>
    </r>
    <r>
      <rPr>
        <sz val="12"/>
        <color theme="1"/>
        <rFont val="宋体"/>
        <charset val="134"/>
      </rPr>
      <t>号</t>
    </r>
    <r>
      <rPr>
        <sz val="12"/>
        <color theme="1"/>
        <rFont val="Times New Roman"/>
        <charset val="134"/>
      </rPr>
      <t>-1.4</t>
    </r>
    <r>
      <rPr>
        <sz val="12"/>
        <color theme="1"/>
        <rFont val="宋体"/>
        <charset val="134"/>
      </rPr>
      <t>项目</t>
    </r>
  </si>
  <si>
    <t>YZ40000413</t>
  </si>
  <si>
    <r>
      <rPr>
        <sz val="12"/>
        <color theme="1"/>
        <rFont val="Times New Roman"/>
        <charset val="134"/>
      </rPr>
      <t>5</t>
    </r>
    <r>
      <rPr>
        <sz val="12"/>
        <color theme="1"/>
        <rFont val="宋体"/>
        <charset val="134"/>
      </rPr>
      <t>号</t>
    </r>
    <r>
      <rPr>
        <sz val="12"/>
        <color theme="1"/>
        <rFont val="Times New Roman"/>
        <charset val="134"/>
      </rPr>
      <t>5-2</t>
    </r>
    <r>
      <rPr>
        <sz val="12"/>
        <color theme="1"/>
        <rFont val="宋体"/>
        <charset val="134"/>
      </rPr>
      <t>设计</t>
    </r>
  </si>
  <si>
    <t>YZ40000734</t>
  </si>
  <si>
    <r>
      <rPr>
        <sz val="12"/>
        <color theme="1"/>
        <rFont val="Times New Roman"/>
        <charset val="134"/>
      </rPr>
      <t>6</t>
    </r>
    <r>
      <rPr>
        <sz val="12"/>
        <color theme="1"/>
        <rFont val="宋体"/>
        <charset val="134"/>
      </rPr>
      <t>号</t>
    </r>
    <r>
      <rPr>
        <sz val="12"/>
        <color theme="1"/>
        <rFont val="Times New Roman"/>
        <charset val="134"/>
      </rPr>
      <t>-2</t>
    </r>
    <r>
      <rPr>
        <sz val="12"/>
        <color theme="1"/>
        <rFont val="宋体"/>
        <charset val="134"/>
      </rPr>
      <t>设计</t>
    </r>
  </si>
  <si>
    <t>YZ40000762</t>
  </si>
  <si>
    <r>
      <rPr>
        <sz val="12"/>
        <color theme="1"/>
        <rFont val="Times New Roman"/>
        <charset val="134"/>
      </rPr>
      <t>6</t>
    </r>
    <r>
      <rPr>
        <sz val="12"/>
        <color theme="1"/>
        <rFont val="宋体"/>
        <charset val="134"/>
      </rPr>
      <t>号</t>
    </r>
    <r>
      <rPr>
        <sz val="12"/>
        <color theme="1"/>
        <rFont val="Times New Roman"/>
        <charset val="134"/>
      </rPr>
      <t>-3.1</t>
    </r>
    <r>
      <rPr>
        <sz val="12"/>
        <color theme="1"/>
        <rFont val="宋体"/>
        <charset val="134"/>
      </rPr>
      <t>设计</t>
    </r>
  </si>
  <si>
    <t>YZ40000701</t>
  </si>
  <si>
    <r>
      <rPr>
        <sz val="12"/>
        <color theme="1"/>
        <rFont val="Times New Roman"/>
        <charset val="134"/>
      </rPr>
      <t>6</t>
    </r>
    <r>
      <rPr>
        <sz val="12"/>
        <color theme="1"/>
        <rFont val="宋体"/>
        <charset val="134"/>
      </rPr>
      <t>号</t>
    </r>
    <r>
      <rPr>
        <sz val="12"/>
        <color theme="1"/>
        <rFont val="Times New Roman"/>
        <charset val="134"/>
      </rPr>
      <t>-3.2</t>
    </r>
    <r>
      <rPr>
        <sz val="12"/>
        <color theme="1"/>
        <rFont val="宋体"/>
        <charset val="134"/>
      </rPr>
      <t>设计</t>
    </r>
  </si>
  <si>
    <t>YZ40000763</t>
  </si>
  <si>
    <r>
      <rPr>
        <sz val="12"/>
        <color theme="1"/>
        <rFont val="Times New Roman"/>
        <charset val="134"/>
      </rPr>
      <t>6</t>
    </r>
    <r>
      <rPr>
        <sz val="12"/>
        <color theme="1"/>
        <rFont val="宋体"/>
        <charset val="134"/>
      </rPr>
      <t>号</t>
    </r>
    <r>
      <rPr>
        <sz val="12"/>
        <color theme="1"/>
        <rFont val="Times New Roman"/>
        <charset val="134"/>
      </rPr>
      <t>-3.3</t>
    </r>
    <r>
      <rPr>
        <sz val="12"/>
        <color theme="1"/>
        <rFont val="宋体"/>
        <charset val="134"/>
      </rPr>
      <t>设计</t>
    </r>
  </si>
  <si>
    <t>YZ40000728</t>
  </si>
  <si>
    <r>
      <rPr>
        <sz val="12"/>
        <color theme="1"/>
        <rFont val="Times New Roman"/>
        <charset val="134"/>
      </rPr>
      <t>6</t>
    </r>
    <r>
      <rPr>
        <sz val="12"/>
        <color theme="1"/>
        <rFont val="宋体"/>
        <charset val="134"/>
      </rPr>
      <t>号</t>
    </r>
    <r>
      <rPr>
        <sz val="12"/>
        <color theme="1"/>
        <rFont val="Times New Roman"/>
        <charset val="134"/>
      </rPr>
      <t>-4</t>
    </r>
    <r>
      <rPr>
        <sz val="12"/>
        <color theme="1"/>
        <rFont val="宋体"/>
        <charset val="134"/>
      </rPr>
      <t>设计</t>
    </r>
  </si>
  <si>
    <t>YZ40000764</t>
  </si>
  <si>
    <t>6号-5设计</t>
  </si>
  <si>
    <t>YZ40000411</t>
  </si>
  <si>
    <r>
      <rPr>
        <sz val="12"/>
        <color theme="1"/>
        <rFont val="Times New Roman"/>
        <charset val="134"/>
      </rPr>
      <t>6</t>
    </r>
    <r>
      <rPr>
        <sz val="12"/>
        <color theme="1"/>
        <rFont val="宋体"/>
        <charset val="134"/>
      </rPr>
      <t>号</t>
    </r>
    <r>
      <rPr>
        <sz val="12"/>
        <color theme="1"/>
        <rFont val="Times New Roman"/>
        <charset val="134"/>
      </rPr>
      <t>-6</t>
    </r>
    <r>
      <rPr>
        <sz val="12"/>
        <color theme="1"/>
        <rFont val="宋体"/>
        <charset val="134"/>
      </rPr>
      <t>设计</t>
    </r>
  </si>
  <si>
    <t>YZ40000402</t>
  </si>
  <si>
    <t>YZ-RD202428</t>
  </si>
  <si>
    <t>8号-1.1设计（垂尾）</t>
  </si>
  <si>
    <t>YZ40000759</t>
  </si>
  <si>
    <t>8号-1.2设计（舱门）</t>
  </si>
  <si>
    <t>YZ40000406</t>
  </si>
  <si>
    <t>8号-1.3设计</t>
  </si>
  <si>
    <t>YZ40000414</t>
  </si>
  <si>
    <r>
      <rPr>
        <sz val="12"/>
        <color theme="1"/>
        <rFont val="Times New Roman"/>
        <charset val="134"/>
      </rPr>
      <t>ARJ21</t>
    </r>
    <r>
      <rPr>
        <sz val="12"/>
        <color theme="1"/>
        <rFont val="宋体"/>
        <charset val="134"/>
      </rPr>
      <t>货运型设计（</t>
    </r>
    <r>
      <rPr>
        <sz val="12"/>
        <color theme="1"/>
        <rFont val="Times New Roman"/>
        <charset val="134"/>
      </rPr>
      <t>2022</t>
    </r>
    <r>
      <rPr>
        <sz val="12"/>
        <color theme="1"/>
        <rFont val="宋体"/>
        <charset val="134"/>
      </rPr>
      <t>年上飞院）</t>
    </r>
  </si>
  <si>
    <t>YZ40000741</t>
  </si>
  <si>
    <t>AG600设计（2024年）</t>
  </si>
  <si>
    <t>YZ40000412</t>
  </si>
  <si>
    <r>
      <rPr>
        <sz val="12"/>
        <color theme="1"/>
        <rFont val="Times New Roman"/>
        <charset val="134"/>
      </rPr>
      <t>C919</t>
    </r>
    <r>
      <rPr>
        <sz val="12"/>
        <color theme="1"/>
        <rFont val="宋体"/>
        <charset val="134"/>
      </rPr>
      <t>设计（</t>
    </r>
    <r>
      <rPr>
        <sz val="12"/>
        <color theme="1"/>
        <rFont val="Times New Roman"/>
        <charset val="134"/>
      </rPr>
      <t>2022</t>
    </r>
    <r>
      <rPr>
        <sz val="12"/>
        <color theme="1"/>
        <rFont val="宋体"/>
        <charset val="134"/>
      </rPr>
      <t>年上飞院）</t>
    </r>
  </si>
  <si>
    <t>YZ40000680</t>
  </si>
  <si>
    <r>
      <rPr>
        <sz val="12"/>
        <color theme="1"/>
        <rFont val="Times New Roman"/>
        <charset val="134"/>
      </rPr>
      <t>C919</t>
    </r>
    <r>
      <rPr>
        <sz val="12"/>
        <color theme="1"/>
        <rFont val="宋体"/>
        <charset val="134"/>
      </rPr>
      <t>设计（</t>
    </r>
    <r>
      <rPr>
        <sz val="12"/>
        <color theme="1"/>
        <rFont val="Times New Roman"/>
        <charset val="134"/>
      </rPr>
      <t>2023年上飞院）</t>
    </r>
  </si>
  <si>
    <r>
      <rPr>
        <sz val="12"/>
        <color theme="1"/>
        <rFont val="Times New Roman"/>
        <charset val="134"/>
      </rPr>
      <t>C919</t>
    </r>
    <r>
      <rPr>
        <sz val="12"/>
        <color theme="1"/>
        <rFont val="宋体"/>
        <charset val="134"/>
      </rPr>
      <t>高原型设计（</t>
    </r>
    <r>
      <rPr>
        <sz val="12"/>
        <color theme="1"/>
        <rFont val="Times New Roman"/>
        <charset val="134"/>
      </rPr>
      <t>2024</t>
    </r>
    <r>
      <rPr>
        <sz val="12"/>
        <color theme="1"/>
        <rFont val="宋体"/>
        <charset val="134"/>
      </rPr>
      <t>年上飞院）</t>
    </r>
  </si>
  <si>
    <t>YZ40000408</t>
  </si>
  <si>
    <r>
      <rPr>
        <sz val="12"/>
        <color theme="1"/>
        <rFont val="Times New Roman"/>
        <charset val="134"/>
      </rPr>
      <t>C919</t>
    </r>
    <r>
      <rPr>
        <sz val="12"/>
        <color theme="1"/>
        <rFont val="宋体"/>
        <charset val="134"/>
      </rPr>
      <t>高原型设计（</t>
    </r>
    <r>
      <rPr>
        <sz val="12"/>
        <color theme="1"/>
        <rFont val="Times New Roman"/>
        <charset val="134"/>
      </rPr>
      <t>2025</t>
    </r>
    <r>
      <rPr>
        <sz val="12"/>
        <color theme="1"/>
        <rFont val="宋体"/>
        <charset val="134"/>
      </rPr>
      <t>年上飞院）</t>
    </r>
  </si>
  <si>
    <t>YZ40000417</t>
  </si>
  <si>
    <r>
      <rPr>
        <sz val="12"/>
        <color theme="1"/>
        <rFont val="Times New Roman"/>
        <charset val="134"/>
      </rPr>
      <t>C919YJTD</t>
    </r>
    <r>
      <rPr>
        <sz val="12"/>
        <color theme="1"/>
        <rFont val="宋体"/>
        <charset val="134"/>
      </rPr>
      <t>设计</t>
    </r>
  </si>
  <si>
    <t>YZ40000410</t>
  </si>
  <si>
    <r>
      <rPr>
        <sz val="12"/>
        <color theme="1"/>
        <rFont val="Times New Roman"/>
        <charset val="134"/>
      </rPr>
      <t>C929</t>
    </r>
    <r>
      <rPr>
        <sz val="12"/>
        <color theme="1"/>
        <rFont val="宋体"/>
        <charset val="134"/>
      </rPr>
      <t>设计（</t>
    </r>
    <r>
      <rPr>
        <sz val="12"/>
        <color theme="1"/>
        <rFont val="Times New Roman"/>
        <charset val="134"/>
      </rPr>
      <t>2023</t>
    </r>
    <r>
      <rPr>
        <sz val="12"/>
        <color theme="1"/>
        <rFont val="宋体"/>
        <charset val="134"/>
      </rPr>
      <t>年上飞院）</t>
    </r>
  </si>
  <si>
    <t>YZ40000727</t>
  </si>
  <si>
    <r>
      <rPr>
        <sz val="12"/>
        <color theme="1"/>
        <rFont val="Times New Roman"/>
        <charset val="134"/>
      </rPr>
      <t>C929</t>
    </r>
    <r>
      <rPr>
        <sz val="12"/>
        <color theme="1"/>
        <rFont val="宋体"/>
        <charset val="134"/>
      </rPr>
      <t>设计（</t>
    </r>
    <r>
      <rPr>
        <sz val="12"/>
        <color theme="1"/>
        <rFont val="Times New Roman"/>
        <charset val="134"/>
      </rPr>
      <t>2024</t>
    </r>
    <r>
      <rPr>
        <sz val="12"/>
        <color theme="1"/>
        <rFont val="宋体"/>
        <charset val="134"/>
      </rPr>
      <t>年上飞院）</t>
    </r>
  </si>
  <si>
    <t>YZ40000407</t>
  </si>
  <si>
    <r>
      <rPr>
        <sz val="12"/>
        <color theme="1"/>
        <rFont val="Times New Roman"/>
        <charset val="134"/>
      </rPr>
      <t>C929</t>
    </r>
    <r>
      <rPr>
        <sz val="12"/>
        <color theme="1"/>
        <rFont val="宋体"/>
        <charset val="134"/>
      </rPr>
      <t>设计（</t>
    </r>
    <r>
      <rPr>
        <sz val="12"/>
        <color theme="1"/>
        <rFont val="Times New Roman"/>
        <charset val="134"/>
      </rPr>
      <t>2024</t>
    </r>
    <r>
      <rPr>
        <sz val="12"/>
        <color theme="1"/>
        <rFont val="宋体"/>
        <charset val="134"/>
      </rPr>
      <t>年复材中心）</t>
    </r>
  </si>
  <si>
    <t>YZ40000409</t>
  </si>
  <si>
    <r>
      <rPr>
        <sz val="12"/>
        <color theme="1"/>
        <rFont val="Times New Roman"/>
        <charset val="134"/>
      </rPr>
      <t>C929</t>
    </r>
    <r>
      <rPr>
        <sz val="12"/>
        <color theme="1"/>
        <rFont val="宋体"/>
        <charset val="134"/>
      </rPr>
      <t>设计（</t>
    </r>
    <r>
      <rPr>
        <sz val="12"/>
        <color theme="1"/>
        <rFont val="Times New Roman"/>
        <charset val="134"/>
      </rPr>
      <t>2025</t>
    </r>
    <r>
      <rPr>
        <sz val="12"/>
        <color theme="1"/>
        <rFont val="宋体"/>
        <charset val="134"/>
      </rPr>
      <t>年上飞院）</t>
    </r>
  </si>
  <si>
    <t>YZ40000415</t>
  </si>
  <si>
    <t>YZ40000416</t>
  </si>
  <si>
    <t>YZ40000418</t>
  </si>
  <si>
    <t>C919基本型设计（2025年上飞院）</t>
  </si>
  <si>
    <t>YZ40000419</t>
  </si>
  <si>
    <t>YZ40000403</t>
  </si>
  <si>
    <t>SIA无人机设计-2</t>
  </si>
  <si>
    <t>YZ40000422</t>
  </si>
  <si>
    <r>
      <rPr>
        <sz val="12"/>
        <color theme="1"/>
        <rFont val="宋体"/>
        <charset val="134"/>
      </rPr>
      <t>工程研发事业部</t>
    </r>
  </si>
  <si>
    <t>YZ40000724</t>
  </si>
  <si>
    <r>
      <rPr>
        <sz val="12"/>
        <color theme="1"/>
        <rFont val="宋体"/>
        <charset val="134"/>
      </rPr>
      <t>工程支持</t>
    </r>
  </si>
  <si>
    <t>工信部强度手册</t>
  </si>
  <si>
    <t>YZ40000481</t>
  </si>
  <si>
    <t>哈工程课题</t>
  </si>
  <si>
    <t>YZ40000487</t>
  </si>
  <si>
    <t>坠撞课题研究</t>
  </si>
  <si>
    <r>
      <rPr>
        <sz val="12"/>
        <color theme="1"/>
        <rFont val="Times New Roman"/>
        <charset val="134"/>
      </rPr>
      <t>SIA</t>
    </r>
    <r>
      <rPr>
        <sz val="12"/>
        <color theme="1"/>
        <rFont val="宋体"/>
        <charset val="134"/>
      </rPr>
      <t>某无人机设计</t>
    </r>
  </si>
  <si>
    <t>YZ40000405</t>
  </si>
  <si>
    <t>无人机论证与预研</t>
  </si>
  <si>
    <t>是否领导干部</t>
  </si>
  <si>
    <t>工程项目室 /适航工程室</t>
  </si>
  <si>
    <t>赵陈</t>
  </si>
  <si>
    <t>52123</t>
  </si>
</sst>
</file>

<file path=xl/styles.xml><?xml version="1.0" encoding="utf-8"?>
<styleSheet xmlns="http://schemas.openxmlformats.org/spreadsheetml/2006/main">
  <numFmts count="8">
    <numFmt numFmtId="41" formatCode="_ * #,##0_ ;_ * \-#,##0_ ;_ * &quot;-&quot;_ ;_ @_ "/>
    <numFmt numFmtId="176" formatCode="0_ "/>
    <numFmt numFmtId="42" formatCode="_ &quot;￥&quot;* #,##0_ ;_ &quot;￥&quot;* \-#,##0_ ;_ &quot;￥&quot;* &quot;-&quot;_ ;_ @_ "/>
    <numFmt numFmtId="177" formatCode="0.0_);[Red]\(0.0\)"/>
    <numFmt numFmtId="44" formatCode="_ &quot;￥&quot;* #,##0.00_ ;_ &quot;￥&quot;* \-#,##0.00_ ;_ &quot;￥&quot;* &quot;-&quot;??_ ;_ @_ "/>
    <numFmt numFmtId="43" formatCode="_ * #,##0.00_ ;_ * \-#,##0.00_ ;_ * &quot;-&quot;??_ ;_ @_ "/>
    <numFmt numFmtId="178" formatCode="0.0_);[Red]\(0.0\)"/>
    <numFmt numFmtId="179" formatCode="0.0_);[Red]\(0.0\)"/>
  </numFmts>
  <fonts count="46">
    <font>
      <sz val="11"/>
      <color theme="1"/>
      <name val="宋体"/>
      <charset val="134"/>
      <scheme val="minor"/>
    </font>
    <font>
      <sz val="11"/>
      <color theme="1"/>
      <name val="宋体"/>
      <charset val="134"/>
    </font>
    <font>
      <sz val="10"/>
      <color theme="1"/>
      <name val="宋体"/>
      <charset val="134"/>
      <scheme val="minor"/>
    </font>
    <font>
      <sz val="11"/>
      <color theme="1"/>
      <name val="Times New Roman"/>
      <charset val="134"/>
    </font>
    <font>
      <sz val="12"/>
      <color theme="1"/>
      <name val="Times New Roman"/>
      <charset val="134"/>
    </font>
    <font>
      <sz val="12"/>
      <color theme="1"/>
      <name val="宋体"/>
      <charset val="134"/>
    </font>
    <font>
      <sz val="12"/>
      <name val="宋体"/>
      <charset val="134"/>
    </font>
    <font>
      <sz val="12"/>
      <color theme="1"/>
      <name val="宋体"/>
      <charset val="134"/>
      <scheme val="minor"/>
    </font>
    <font>
      <b/>
      <sz val="11"/>
      <color theme="1"/>
      <name val="Times New Roman"/>
      <charset val="134"/>
    </font>
    <font>
      <b/>
      <sz val="11"/>
      <color theme="1"/>
      <name val="宋体"/>
      <charset val="134"/>
    </font>
    <font>
      <sz val="11"/>
      <name val="宋体"/>
      <charset val="134"/>
    </font>
    <font>
      <sz val="11"/>
      <name val="Times New Roman"/>
      <charset val="134"/>
    </font>
    <font>
      <sz val="10.5"/>
      <name val="宋体"/>
      <charset val="134"/>
    </font>
    <font>
      <b/>
      <sz val="11"/>
      <name val="宋体"/>
      <charset val="134"/>
    </font>
    <font>
      <sz val="11"/>
      <name val="宋体"/>
      <charset val="134"/>
      <scheme val="minor"/>
    </font>
    <font>
      <sz val="10.5"/>
      <name val="Times New Roman"/>
      <charset val="134"/>
    </font>
    <font>
      <sz val="10"/>
      <color rgb="FF000000"/>
      <name val="宋体"/>
      <charset val="134"/>
      <scheme val="minor"/>
    </font>
    <font>
      <sz val="11"/>
      <name val="Tahoma"/>
      <charset val="134"/>
    </font>
    <font>
      <sz val="10"/>
      <name val="宋体"/>
      <charset val="134"/>
      <scheme val="minor"/>
    </font>
    <font>
      <sz val="11"/>
      <color rgb="FFFF0000"/>
      <name val="Times New Roman"/>
      <charset val="134"/>
    </font>
    <font>
      <sz val="10.5"/>
      <color rgb="FFFF0000"/>
      <name val="Times New Roman"/>
      <charset val="134"/>
    </font>
    <font>
      <b/>
      <sz val="11"/>
      <name val="宋体"/>
      <charset val="134"/>
      <scheme val="minor"/>
    </font>
    <font>
      <b/>
      <sz val="11"/>
      <name val="Times New Roman"/>
      <charset val="134"/>
    </font>
    <font>
      <sz val="11"/>
      <color indexed="8"/>
      <name val="Times New Roman"/>
      <charset val="134"/>
    </font>
    <font>
      <sz val="11"/>
      <color theme="0"/>
      <name val="宋体"/>
      <charset val="0"/>
      <scheme val="minor"/>
    </font>
    <font>
      <sz val="11"/>
      <color theme="1"/>
      <name val="宋体"/>
      <charset val="0"/>
      <scheme val="minor"/>
    </font>
    <font>
      <b/>
      <sz val="11"/>
      <color rgb="FF3F3F3F"/>
      <name val="宋体"/>
      <charset val="0"/>
      <scheme val="minor"/>
    </font>
    <font>
      <sz val="11"/>
      <color rgb="FF9C0006"/>
      <name val="宋体"/>
      <charset val="0"/>
      <scheme val="minor"/>
    </font>
    <font>
      <b/>
      <sz val="13"/>
      <color theme="3"/>
      <name val="宋体"/>
      <charset val="134"/>
      <scheme val="minor"/>
    </font>
    <font>
      <u/>
      <sz val="11"/>
      <color rgb="FF800080"/>
      <name val="宋体"/>
      <charset val="0"/>
      <scheme val="minor"/>
    </font>
    <font>
      <i/>
      <sz val="11"/>
      <color rgb="FF7F7F7F"/>
      <name val="宋体"/>
      <charset val="0"/>
      <scheme val="minor"/>
    </font>
    <font>
      <sz val="11"/>
      <color rgb="FF3F3F76"/>
      <name val="宋体"/>
      <charset val="0"/>
      <scheme val="minor"/>
    </font>
    <font>
      <b/>
      <sz val="15"/>
      <color theme="3"/>
      <name val="宋体"/>
      <charset val="134"/>
      <scheme val="minor"/>
    </font>
    <font>
      <u/>
      <sz val="11"/>
      <color rgb="FF0000FF"/>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sz val="10"/>
      <name val="Arial"/>
      <charset val="134"/>
    </font>
    <font>
      <sz val="11"/>
      <color rgb="FF9C6500"/>
      <name val="宋体"/>
      <charset val="0"/>
      <scheme val="minor"/>
    </font>
    <font>
      <b/>
      <sz val="11"/>
      <color rgb="FFFA7D00"/>
      <name val="宋体"/>
      <charset val="0"/>
      <scheme val="minor"/>
    </font>
    <font>
      <sz val="11"/>
      <color rgb="FF0061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b/>
      <sz val="10"/>
      <name val="宋体"/>
      <charset val="134"/>
    </font>
    <font>
      <sz val="11"/>
      <color indexed="8"/>
      <name val="宋体"/>
      <charset val="134"/>
    </font>
  </fonts>
  <fills count="39">
    <fill>
      <patternFill patternType="none"/>
    </fill>
    <fill>
      <patternFill patternType="gray125"/>
    </fill>
    <fill>
      <patternFill patternType="solid">
        <fgColor rgb="FFFFFF00"/>
        <bgColor indexed="64"/>
      </patternFill>
    </fill>
    <fill>
      <patternFill patternType="solid">
        <fgColor theme="5" tint="0.399914548173467"/>
        <bgColor indexed="64"/>
      </patternFill>
    </fill>
    <fill>
      <patternFill patternType="solid">
        <fgColor theme="5" tint="0.399914548173467"/>
        <bgColor theme="4" tint="0.599993896298105"/>
      </patternFill>
    </fill>
    <fill>
      <patternFill patternType="solid">
        <fgColor theme="0" tint="-0.349986266670736"/>
        <bgColor indexed="64"/>
      </patternFill>
    </fill>
    <fill>
      <patternFill patternType="solid">
        <fgColor theme="0"/>
        <bgColor indexed="64"/>
      </patternFill>
    </fill>
    <fill>
      <patternFill patternType="solid">
        <fgColor theme="0" tint="-0.35"/>
        <bgColor indexed="64"/>
      </patternFill>
    </fill>
    <fill>
      <patternFill patternType="solid">
        <fgColor theme="9" tint="0.399975585192419"/>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rgb="FFF2F2F2"/>
        <bgColor indexed="64"/>
      </patternFill>
    </fill>
    <fill>
      <patternFill patternType="solid">
        <fgColor theme="6" tint="0.399975585192419"/>
        <bgColor indexed="64"/>
      </patternFill>
    </fill>
    <fill>
      <patternFill patternType="solid">
        <fgColor rgb="FFFFC7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4"/>
        <bgColor indexed="64"/>
      </patternFill>
    </fill>
    <fill>
      <patternFill patternType="solid">
        <fgColor rgb="FFFFCC99"/>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7"/>
        <bgColor indexed="64"/>
      </patternFill>
    </fill>
    <fill>
      <patternFill patternType="solid">
        <fgColor theme="5" tint="0.599993896298105"/>
        <bgColor indexed="64"/>
      </patternFill>
    </fill>
    <fill>
      <patternFill patternType="solid">
        <fgColor rgb="FFFFFFCC"/>
        <bgColor indexed="64"/>
      </patternFill>
    </fill>
    <fill>
      <patternFill patternType="solid">
        <fgColor theme="8"/>
        <bgColor indexed="64"/>
      </patternFill>
    </fill>
    <fill>
      <patternFill patternType="solid">
        <fgColor theme="7" tint="0.799981688894314"/>
        <bgColor indexed="64"/>
      </patternFill>
    </fill>
    <fill>
      <patternFill patternType="solid">
        <fgColor theme="5"/>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rgb="FFFFEB9C"/>
        <bgColor indexed="64"/>
      </patternFill>
    </fill>
    <fill>
      <patternFill patternType="solid">
        <fgColor rgb="FFC6EFCE"/>
        <bgColor indexed="64"/>
      </patternFill>
    </fill>
    <fill>
      <patternFill patternType="solid">
        <fgColor rgb="FFA5A5A5"/>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9"/>
        <bgColor indexed="64"/>
      </patternFill>
    </fill>
    <fill>
      <patternFill patternType="solid">
        <fgColor theme="6"/>
        <bgColor indexed="64"/>
      </patternFill>
    </fill>
    <fill>
      <patternFill patternType="solid">
        <fgColor theme="4" tint="0.799981688894314"/>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alignment vertical="center"/>
    </xf>
    <xf numFmtId="42" fontId="0" fillId="0" borderId="0" applyFont="0" applyFill="0" applyBorder="0" applyAlignment="0" applyProtection="0">
      <alignment vertical="center"/>
    </xf>
    <xf numFmtId="0" fontId="25" fillId="15" borderId="0" applyNumberFormat="0" applyBorder="0" applyAlignment="0" applyProtection="0">
      <alignment vertical="center"/>
    </xf>
    <xf numFmtId="0" fontId="31" fillId="17" borderId="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5" fillId="21" borderId="0" applyNumberFormat="0" applyBorder="0" applyAlignment="0" applyProtection="0">
      <alignment vertical="center"/>
    </xf>
    <xf numFmtId="0" fontId="27" fillId="13" borderId="0" applyNumberFormat="0" applyBorder="0" applyAlignment="0" applyProtection="0">
      <alignment vertical="center"/>
    </xf>
    <xf numFmtId="43" fontId="0" fillId="0" borderId="0" applyFont="0" applyFill="0" applyBorder="0" applyAlignment="0" applyProtection="0">
      <alignment vertical="center"/>
    </xf>
    <xf numFmtId="0" fontId="24" fillId="12" borderId="0" applyNumberFormat="0" applyBorder="0" applyAlignment="0" applyProtection="0">
      <alignment vertical="center"/>
    </xf>
    <xf numFmtId="0" fontId="33" fillId="0" borderId="0" applyNumberFormat="0" applyFill="0" applyBorder="0" applyAlignment="0" applyProtection="0">
      <alignment vertical="center"/>
    </xf>
    <xf numFmtId="9"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0" fillId="0" borderId="0">
      <alignment vertical="center"/>
    </xf>
    <xf numFmtId="0" fontId="0" fillId="25" borderId="8" applyNumberFormat="0" applyFont="0" applyAlignment="0" applyProtection="0">
      <alignment vertical="center"/>
    </xf>
    <xf numFmtId="0" fontId="24" fillId="20" borderId="0" applyNumberFormat="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lignment vertical="center"/>
    </xf>
    <xf numFmtId="0" fontId="30" fillId="0" borderId="0" applyNumberFormat="0" applyFill="0" applyBorder="0" applyAlignment="0" applyProtection="0">
      <alignment vertical="center"/>
    </xf>
    <xf numFmtId="0" fontId="32" fillId="0" borderId="5" applyNumberFormat="0" applyFill="0" applyAlignment="0" applyProtection="0">
      <alignment vertical="center"/>
    </xf>
    <xf numFmtId="0" fontId="37" fillId="0" borderId="0">
      <alignment vertical="center"/>
    </xf>
    <xf numFmtId="0" fontId="28" fillId="0" borderId="5" applyNumberFormat="0" applyFill="0" applyAlignment="0" applyProtection="0">
      <alignment vertical="center"/>
    </xf>
    <xf numFmtId="0" fontId="24" fillId="30" borderId="0" applyNumberFormat="0" applyBorder="0" applyAlignment="0" applyProtection="0">
      <alignment vertical="center"/>
    </xf>
    <xf numFmtId="0" fontId="34" fillId="0" borderId="7" applyNumberFormat="0" applyFill="0" applyAlignment="0" applyProtection="0">
      <alignment vertical="center"/>
    </xf>
    <xf numFmtId="0" fontId="24" fillId="29" borderId="0" applyNumberFormat="0" applyBorder="0" applyAlignment="0" applyProtection="0">
      <alignment vertical="center"/>
    </xf>
    <xf numFmtId="0" fontId="26" fillId="11" borderId="4" applyNumberFormat="0" applyAlignment="0" applyProtection="0">
      <alignment vertical="center"/>
    </xf>
    <xf numFmtId="0" fontId="39" fillId="11" borderId="6" applyNumberFormat="0" applyAlignment="0" applyProtection="0">
      <alignment vertical="center"/>
    </xf>
    <xf numFmtId="0" fontId="41" fillId="33" borderId="9" applyNumberFormat="0" applyAlignment="0" applyProtection="0">
      <alignment vertical="center"/>
    </xf>
    <xf numFmtId="0" fontId="25" fillId="14" borderId="0" applyNumberFormat="0" applyBorder="0" applyAlignment="0" applyProtection="0">
      <alignment vertical="center"/>
    </xf>
    <xf numFmtId="0" fontId="24" fillId="28" borderId="0" applyNumberFormat="0" applyBorder="0" applyAlignment="0" applyProtection="0">
      <alignment vertical="center"/>
    </xf>
    <xf numFmtId="0" fontId="42" fillId="0" borderId="10" applyNumberFormat="0" applyFill="0" applyAlignment="0" applyProtection="0">
      <alignment vertical="center"/>
    </xf>
    <xf numFmtId="0" fontId="43" fillId="0" borderId="11" applyNumberFormat="0" applyFill="0" applyAlignment="0" applyProtection="0">
      <alignment vertical="center"/>
    </xf>
    <xf numFmtId="0" fontId="40" fillId="32" borderId="0" applyNumberFormat="0" applyBorder="0" applyAlignment="0" applyProtection="0">
      <alignment vertical="center"/>
    </xf>
    <xf numFmtId="0" fontId="38" fillId="31" borderId="0" applyNumberFormat="0" applyBorder="0" applyAlignment="0" applyProtection="0">
      <alignment vertical="center"/>
    </xf>
    <xf numFmtId="0" fontId="25" fillId="10" borderId="0" applyNumberFormat="0" applyBorder="0" applyAlignment="0" applyProtection="0">
      <alignment vertical="center"/>
    </xf>
    <xf numFmtId="0" fontId="24" fillId="16" borderId="0" applyNumberFormat="0" applyBorder="0" applyAlignment="0" applyProtection="0">
      <alignment vertical="center"/>
    </xf>
    <xf numFmtId="0" fontId="25" fillId="38" borderId="0" applyNumberFormat="0" applyBorder="0" applyAlignment="0" applyProtection="0">
      <alignment vertical="center"/>
    </xf>
    <xf numFmtId="0" fontId="25" fillId="35" borderId="0" applyNumberFormat="0" applyBorder="0" applyAlignment="0" applyProtection="0">
      <alignment vertical="center"/>
    </xf>
    <xf numFmtId="0" fontId="25" fillId="9" borderId="0" applyNumberFormat="0" applyBorder="0" applyAlignment="0" applyProtection="0">
      <alignment vertical="center"/>
    </xf>
    <xf numFmtId="0" fontId="25" fillId="24" borderId="0" applyNumberFormat="0" applyBorder="0" applyAlignment="0" applyProtection="0">
      <alignment vertical="center"/>
    </xf>
    <xf numFmtId="0" fontId="24" fillId="37" borderId="0" applyNumberFormat="0" applyBorder="0" applyAlignment="0" applyProtection="0">
      <alignment vertical="center"/>
    </xf>
    <xf numFmtId="0" fontId="24" fillId="23" borderId="0" applyNumberFormat="0" applyBorder="0" applyAlignment="0" applyProtection="0">
      <alignment vertical="center"/>
    </xf>
    <xf numFmtId="0" fontId="25" fillId="27" borderId="0" applyNumberFormat="0" applyBorder="0" applyAlignment="0" applyProtection="0">
      <alignment vertical="center"/>
    </xf>
    <xf numFmtId="0" fontId="25" fillId="34" borderId="0" applyNumberFormat="0" applyBorder="0" applyAlignment="0" applyProtection="0">
      <alignment vertical="center"/>
    </xf>
    <xf numFmtId="0" fontId="24" fillId="26" borderId="0" applyNumberFormat="0" applyBorder="0" applyAlignment="0" applyProtection="0">
      <alignment vertical="center"/>
    </xf>
    <xf numFmtId="0" fontId="25" fillId="22" borderId="0" applyNumberFormat="0" applyBorder="0" applyAlignment="0" applyProtection="0">
      <alignment vertical="center"/>
    </xf>
    <xf numFmtId="0" fontId="24" fillId="19" borderId="0" applyNumberFormat="0" applyBorder="0" applyAlignment="0" applyProtection="0">
      <alignment vertical="center"/>
    </xf>
    <xf numFmtId="0" fontId="24" fillId="36" borderId="0" applyNumberFormat="0" applyBorder="0" applyAlignment="0" applyProtection="0">
      <alignment vertical="center"/>
    </xf>
    <xf numFmtId="0" fontId="25" fillId="18" borderId="0" applyNumberFormat="0" applyBorder="0" applyAlignment="0" applyProtection="0">
      <alignment vertical="center"/>
    </xf>
    <xf numFmtId="0" fontId="24" fillId="8" borderId="0" applyNumberFormat="0" applyBorder="0" applyAlignment="0" applyProtection="0">
      <alignment vertical="center"/>
    </xf>
    <xf numFmtId="0" fontId="37"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cellStyleXfs>
  <cellXfs count="139">
    <xf numFmtId="0" fontId="0" fillId="0" borderId="0" xfId="0">
      <alignment vertical="center"/>
    </xf>
    <xf numFmtId="0" fontId="1" fillId="0" borderId="0" xfId="0" applyFont="1" applyFill="1" applyAlignment="1">
      <alignment horizontal="left" vertical="center"/>
    </xf>
    <xf numFmtId="0" fontId="0" fillId="0" borderId="0" xfId="0" applyFill="1" applyAlignment="1">
      <alignment horizontal="left" vertical="center"/>
    </xf>
    <xf numFmtId="0" fontId="1" fillId="0" borderId="1" xfId="0" applyFont="1" applyFill="1" applyBorder="1" applyAlignment="1">
      <alignment horizontal="left" vertical="center"/>
    </xf>
    <xf numFmtId="0" fontId="1" fillId="0" borderId="1" xfId="0" applyNumberFormat="1" applyFont="1" applyFill="1" applyBorder="1" applyAlignment="1">
      <alignment horizontal="left" vertical="center"/>
    </xf>
    <xf numFmtId="0" fontId="1" fillId="0" borderId="0" xfId="0" applyNumberFormat="1" applyFont="1" applyFill="1" applyAlignment="1">
      <alignment horizontal="left" vertical="center"/>
    </xf>
    <xf numFmtId="0" fontId="1" fillId="0" borderId="2" xfId="0" applyFont="1" applyFill="1" applyBorder="1" applyAlignment="1">
      <alignment horizontal="left" vertical="center"/>
    </xf>
    <xf numFmtId="0" fontId="1" fillId="0" borderId="1" xfId="0" applyNumberFormat="1" applyFont="1" applyFill="1" applyBorder="1" applyAlignment="1">
      <alignment horizontal="center" vertical="center"/>
    </xf>
    <xf numFmtId="0" fontId="2" fillId="0" borderId="0" xfId="0" applyFont="1" applyFill="1" applyAlignment="1">
      <alignment horizontal="left" vertical="center"/>
    </xf>
    <xf numFmtId="0" fontId="0" fillId="0" borderId="0" xfId="0" applyFill="1" applyBorder="1" applyAlignment="1">
      <alignment horizontal="left" vertical="center"/>
    </xf>
    <xf numFmtId="0" fontId="0" fillId="0" borderId="1" xfId="0" applyNumberFormat="1" applyFill="1" applyBorder="1" applyAlignment="1">
      <alignment horizontal="left" vertical="center"/>
    </xf>
    <xf numFmtId="0" fontId="0" fillId="0" borderId="1" xfId="0" applyFont="1" applyFill="1" applyBorder="1" applyAlignment="1">
      <alignment horizontal="left" vertical="center"/>
    </xf>
    <xf numFmtId="0" fontId="0" fillId="0" borderId="1" xfId="0" applyFill="1" applyBorder="1" applyAlignment="1">
      <alignment horizontal="left" vertical="center"/>
    </xf>
    <xf numFmtId="0" fontId="3" fillId="0" borderId="1" xfId="0" applyNumberFormat="1" applyFont="1" applyFill="1" applyBorder="1" applyAlignment="1">
      <alignment horizontal="left" vertical="center"/>
    </xf>
    <xf numFmtId="0" fontId="1" fillId="0" borderId="3" xfId="0" applyFont="1" applyFill="1" applyBorder="1" applyAlignment="1">
      <alignment horizontal="left" vertical="center"/>
    </xf>
    <xf numFmtId="49" fontId="1" fillId="0" borderId="1" xfId="0" applyNumberFormat="1" applyFont="1" applyFill="1" applyBorder="1" applyAlignment="1">
      <alignment horizontal="left" vertical="center"/>
    </xf>
    <xf numFmtId="0" fontId="0" fillId="0" borderId="0" xfId="0" applyFill="1">
      <alignment vertical="center"/>
    </xf>
    <xf numFmtId="0" fontId="4" fillId="2" borderId="1" xfId="0" applyFont="1" applyFill="1" applyBorder="1" applyAlignment="1">
      <alignment horizontal="left" vertical="center" wrapText="1"/>
    </xf>
    <xf numFmtId="49" fontId="4" fillId="0" borderId="1" xfId="0" applyNumberFormat="1" applyFont="1" applyFill="1" applyBorder="1" applyAlignment="1">
      <alignment horizontal="center" vertical="center" wrapText="1"/>
    </xf>
    <xf numFmtId="0" fontId="4" fillId="0" borderId="1" xfId="0" applyFont="1" applyFill="1" applyBorder="1" applyAlignment="1">
      <alignment horizontal="left" vertical="center" wrapText="1"/>
    </xf>
    <xf numFmtId="0" fontId="0" fillId="2" borderId="1" xfId="0" applyFill="1" applyBorder="1" applyAlignment="1">
      <alignment vertical="center"/>
    </xf>
    <xf numFmtId="0" fontId="0" fillId="2" borderId="1" xfId="0" applyFont="1" applyFill="1" applyBorder="1" applyAlignment="1">
      <alignment vertical="center"/>
    </xf>
    <xf numFmtId="49" fontId="4" fillId="2" borderId="1" xfId="0" applyNumberFormat="1" applyFont="1" applyFill="1" applyBorder="1" applyAlignment="1">
      <alignment horizontal="center" vertical="center" wrapText="1"/>
    </xf>
    <xf numFmtId="0" fontId="0" fillId="2" borderId="1" xfId="0" applyFill="1" applyBorder="1">
      <alignment vertical="center"/>
    </xf>
    <xf numFmtId="0" fontId="5" fillId="2" borderId="1" xfId="0" applyFont="1" applyFill="1" applyBorder="1" applyAlignment="1">
      <alignment horizontal="left" vertical="center" wrapText="1"/>
    </xf>
    <xf numFmtId="0" fontId="0" fillId="0" borderId="1" xfId="0" applyFill="1" applyBorder="1" applyAlignment="1">
      <alignment vertical="center"/>
    </xf>
    <xf numFmtId="0" fontId="6" fillId="3" borderId="1" xfId="0" applyNumberFormat="1" applyFont="1" applyFill="1" applyBorder="1" applyAlignment="1">
      <alignment horizontal="center"/>
    </xf>
    <xf numFmtId="0" fontId="6" fillId="3" borderId="1" xfId="0" applyNumberFormat="1" applyFont="1" applyFill="1" applyBorder="1" applyAlignment="1">
      <alignment horizontal="center" vertical="center" wrapText="1"/>
    </xf>
    <xf numFmtId="0" fontId="0" fillId="0" borderId="1" xfId="0" applyBorder="1" applyAlignment="1">
      <alignment horizontal="left" vertical="center"/>
    </xf>
    <xf numFmtId="0" fontId="7" fillId="3" borderId="1" xfId="0" applyFont="1" applyFill="1" applyBorder="1" applyAlignment="1">
      <alignment horizontal="center" vertical="center"/>
    </xf>
    <xf numFmtId="0" fontId="0" fillId="3" borderId="1" xfId="0" applyNumberFormat="1" applyFill="1" applyBorder="1" applyAlignment="1">
      <alignment horizontal="center" vertical="center" wrapText="1"/>
    </xf>
    <xf numFmtId="176" fontId="6" fillId="3" borderId="1" xfId="0" applyNumberFormat="1" applyFont="1" applyFill="1" applyBorder="1" applyAlignment="1">
      <alignment horizontal="center"/>
    </xf>
    <xf numFmtId="0" fontId="0" fillId="3"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xf>
    <xf numFmtId="0" fontId="0" fillId="4" borderId="1" xfId="0" applyFill="1" applyBorder="1" applyAlignment="1">
      <alignment horizontal="center" vertical="center"/>
    </xf>
    <xf numFmtId="0" fontId="1" fillId="0" borderId="0" xfId="0" applyFont="1">
      <alignment vertical="center"/>
    </xf>
    <xf numFmtId="0" fontId="3" fillId="0" borderId="0" xfId="0" applyFont="1" applyFill="1">
      <alignment vertical="center"/>
    </xf>
    <xf numFmtId="0" fontId="3" fillId="0" borderId="0" xfId="0" applyFont="1" applyAlignment="1">
      <alignment horizontal="center" vertical="center"/>
    </xf>
    <xf numFmtId="49" fontId="3" fillId="0" borderId="0" xfId="0" applyNumberFormat="1" applyFont="1" applyFill="1" applyAlignment="1">
      <alignment horizontal="left" vertical="center"/>
    </xf>
    <xf numFmtId="0" fontId="3" fillId="0" borderId="0" xfId="0" applyFont="1" applyAlignment="1">
      <alignment vertical="center"/>
    </xf>
    <xf numFmtId="177" fontId="3" fillId="0" borderId="0" xfId="0" applyNumberFormat="1" applyFont="1" applyFill="1" applyAlignment="1">
      <alignment horizontal="left" vertical="center"/>
    </xf>
    <xf numFmtId="177" fontId="3" fillId="0" borderId="0" xfId="0" applyNumberFormat="1" applyFont="1" applyAlignment="1">
      <alignment horizontal="right" vertical="center"/>
    </xf>
    <xf numFmtId="0" fontId="8" fillId="5" borderId="1" xfId="0" applyFont="1" applyFill="1" applyBorder="1" applyAlignment="1">
      <alignment horizontal="center" vertical="center"/>
    </xf>
    <xf numFmtId="0" fontId="9" fillId="5" borderId="1" xfId="0" applyFont="1" applyFill="1" applyBorder="1" applyAlignment="1">
      <alignment horizontal="center" vertical="center"/>
    </xf>
    <xf numFmtId="49" fontId="9" fillId="5" borderId="1" xfId="0" applyNumberFormat="1" applyFont="1" applyFill="1" applyBorder="1" applyAlignment="1">
      <alignment horizontal="center" vertical="center" wrapText="1"/>
    </xf>
    <xf numFmtId="0" fontId="9" fillId="5" borderId="1" xfId="0" applyFont="1" applyFill="1" applyBorder="1" applyAlignment="1">
      <alignment horizontal="center" vertical="center" wrapText="1"/>
    </xf>
    <xf numFmtId="177" fontId="9" fillId="5" borderId="1" xfId="0" applyNumberFormat="1" applyFont="1" applyFill="1" applyBorder="1" applyAlignment="1">
      <alignment horizontal="center" vertical="center" wrapText="1"/>
    </xf>
    <xf numFmtId="0" fontId="3" fillId="5" borderId="1" xfId="0" applyFont="1" applyFill="1" applyBorder="1" applyAlignment="1">
      <alignment horizontal="center" vertical="center"/>
    </xf>
    <xf numFmtId="0" fontId="10" fillId="0" borderId="1" xfId="0" applyFont="1" applyFill="1" applyBorder="1" applyAlignment="1">
      <alignment horizontal="center" vertical="center"/>
    </xf>
    <xf numFmtId="0" fontId="3" fillId="5" borderId="1" xfId="0" applyNumberFormat="1" applyFont="1" applyFill="1" applyBorder="1" applyAlignment="1">
      <alignment horizontal="center" vertical="center"/>
    </xf>
    <xf numFmtId="0" fontId="1" fillId="5" borderId="1" xfId="0" applyFont="1" applyFill="1" applyBorder="1" applyAlignment="1">
      <alignment horizontal="center" vertical="center"/>
    </xf>
    <xf numFmtId="0" fontId="11" fillId="0" borderId="1" xfId="0" applyFont="1" applyBorder="1" applyAlignment="1">
      <alignment horizontal="center" vertical="center"/>
    </xf>
    <xf numFmtId="177" fontId="3" fillId="5" borderId="1" xfId="0" applyNumberFormat="1" applyFont="1" applyFill="1" applyBorder="1" applyAlignment="1">
      <alignment horizontal="center" vertical="center"/>
    </xf>
    <xf numFmtId="177" fontId="11" fillId="0" borderId="1" xfId="0" applyNumberFormat="1" applyFont="1" applyBorder="1" applyAlignment="1">
      <alignment horizontal="center" vertical="center"/>
    </xf>
    <xf numFmtId="0" fontId="12" fillId="0" borderId="1" xfId="0" applyFont="1" applyFill="1" applyBorder="1" applyAlignment="1">
      <alignment horizontal="center" vertical="center"/>
    </xf>
    <xf numFmtId="177" fontId="9" fillId="5" borderId="1" xfId="0" applyNumberFormat="1" applyFont="1" applyFill="1" applyBorder="1" applyAlignment="1">
      <alignment horizontal="center" vertical="center"/>
    </xf>
    <xf numFmtId="177" fontId="13" fillId="5" borderId="1" xfId="0" applyNumberFormat="1" applyFont="1" applyFill="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left" vertical="center"/>
    </xf>
    <xf numFmtId="0" fontId="14" fillId="0" borderId="1" xfId="0" applyFont="1" applyBorder="1" applyAlignment="1">
      <alignment horizontal="left" vertical="center" wrapText="1"/>
    </xf>
    <xf numFmtId="177" fontId="15" fillId="0" borderId="1" xfId="0" applyNumberFormat="1" applyFont="1" applyBorder="1" applyAlignment="1">
      <alignment horizontal="center" vertical="center"/>
    </xf>
    <xf numFmtId="0" fontId="12" fillId="0" borderId="1" xfId="0" applyFont="1" applyBorder="1" applyAlignment="1">
      <alignment horizontal="left" vertical="center" wrapText="1"/>
    </xf>
    <xf numFmtId="177" fontId="11" fillId="0" borderId="1" xfId="0" applyNumberFormat="1" applyFont="1" applyBorder="1" applyAlignment="1">
      <alignment horizontal="right" vertical="center"/>
    </xf>
    <xf numFmtId="0" fontId="0" fillId="0" borderId="1" xfId="0" applyBorder="1" applyAlignment="1">
      <alignment horizontal="center" vertical="center"/>
    </xf>
    <xf numFmtId="0" fontId="14" fillId="0" borderId="1" xfId="0" applyFont="1" applyBorder="1">
      <alignment vertical="center"/>
    </xf>
    <xf numFmtId="0" fontId="10"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4" fillId="0" borderId="1" xfId="0" applyFont="1" applyBorder="1" applyAlignment="1">
      <alignment vertical="center" wrapText="1"/>
    </xf>
    <xf numFmtId="0" fontId="10" fillId="0" borderId="1" xfId="0" applyFont="1" applyBorder="1" applyAlignment="1">
      <alignment horizontal="center" vertical="center" wrapText="1"/>
    </xf>
    <xf numFmtId="0" fontId="0" fillId="0" borderId="1" xfId="0" applyFill="1" applyBorder="1" applyAlignment="1">
      <alignment horizontal="center" vertical="center"/>
    </xf>
    <xf numFmtId="177" fontId="11" fillId="0" borderId="1" xfId="0" applyNumberFormat="1" applyFont="1" applyFill="1" applyBorder="1" applyAlignment="1">
      <alignment horizontal="right" vertical="center"/>
    </xf>
    <xf numFmtId="177" fontId="11" fillId="0" borderId="1" xfId="0" applyNumberFormat="1" applyFont="1" applyFill="1" applyBorder="1" applyAlignment="1">
      <alignment horizontal="center" vertical="center"/>
    </xf>
    <xf numFmtId="0" fontId="11" fillId="0" borderId="1" xfId="0" applyFont="1" applyFill="1" applyBorder="1" applyAlignment="1">
      <alignment horizontal="center" vertical="center"/>
    </xf>
    <xf numFmtId="0" fontId="15" fillId="0" borderId="1" xfId="0" applyFont="1" applyFill="1" applyBorder="1" applyAlignment="1">
      <alignment horizontal="center" vertical="center"/>
    </xf>
    <xf numFmtId="177" fontId="15" fillId="0" borderId="1" xfId="0" applyNumberFormat="1" applyFont="1" applyFill="1" applyBorder="1" applyAlignment="1">
      <alignment horizontal="center" vertical="center"/>
    </xf>
    <xf numFmtId="0" fontId="15" fillId="0" borderId="1" xfId="0" applyFont="1" applyBorder="1" applyAlignment="1">
      <alignment horizontal="center" vertical="center"/>
    </xf>
    <xf numFmtId="0" fontId="10" fillId="0" borderId="0" xfId="0" applyFont="1" applyAlignment="1">
      <alignment horizontal="center" vertical="center"/>
    </xf>
    <xf numFmtId="0" fontId="10" fillId="0" borderId="1" xfId="0" applyFont="1" applyFill="1" applyBorder="1" applyAlignment="1" applyProtection="1">
      <alignment horizontal="center" vertical="center"/>
      <protection locked="0"/>
    </xf>
    <xf numFmtId="177" fontId="11" fillId="0" borderId="1" xfId="0" applyNumberFormat="1" applyFont="1" applyFill="1" applyBorder="1" applyAlignment="1" applyProtection="1">
      <alignment horizontal="right" vertical="center"/>
      <protection locked="0"/>
    </xf>
    <xf numFmtId="0" fontId="10" fillId="0" borderId="2" xfId="0" applyFont="1" applyFill="1" applyBorder="1" applyAlignment="1">
      <alignment horizontal="center" vertical="center"/>
    </xf>
    <xf numFmtId="0" fontId="14" fillId="0" borderId="1"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12" fillId="0" borderId="1" xfId="0" applyFont="1" applyFill="1" applyBorder="1" applyAlignment="1">
      <alignment horizontal="left" vertical="center" wrapText="1"/>
    </xf>
    <xf numFmtId="0" fontId="15" fillId="0" borderId="1" xfId="0" applyFont="1" applyFill="1" applyBorder="1" applyAlignment="1">
      <alignment horizontal="left" vertical="center" wrapText="1"/>
    </xf>
    <xf numFmtId="0" fontId="12" fillId="0" borderId="1" xfId="0" applyFont="1" applyBorder="1" applyAlignment="1">
      <alignment horizontal="center" vertical="center"/>
    </xf>
    <xf numFmtId="0" fontId="12" fillId="0" borderId="1" xfId="0" applyFont="1" applyFill="1" applyBorder="1" applyAlignment="1">
      <alignment vertical="center"/>
    </xf>
    <xf numFmtId="0" fontId="10" fillId="0" borderId="1" xfId="0" applyFont="1" applyFill="1" applyBorder="1" applyAlignment="1">
      <alignment vertical="center"/>
    </xf>
    <xf numFmtId="0" fontId="10" fillId="0" borderId="1" xfId="0" applyFont="1" applyBorder="1" applyAlignment="1">
      <alignment vertical="center"/>
    </xf>
    <xf numFmtId="0" fontId="11" fillId="0" borderId="1" xfId="0" applyFont="1" applyBorder="1" applyAlignment="1">
      <alignment vertical="center" wrapText="1"/>
    </xf>
    <xf numFmtId="0" fontId="14" fillId="6" borderId="1" xfId="0" applyFont="1" applyFill="1" applyBorder="1" applyAlignment="1">
      <alignment horizontal="left" vertical="center" wrapText="1"/>
    </xf>
    <xf numFmtId="0" fontId="11" fillId="0" borderId="1" xfId="0" applyFont="1" applyBorder="1" applyAlignment="1">
      <alignment vertical="center"/>
    </xf>
    <xf numFmtId="0" fontId="0" fillId="0" borderId="1" xfId="0" applyFont="1" applyBorder="1" applyAlignment="1">
      <alignment horizontal="center" vertical="center"/>
    </xf>
    <xf numFmtId="0" fontId="1" fillId="0" borderId="1" xfId="0" applyFont="1" applyFill="1" applyBorder="1" applyAlignment="1">
      <alignment horizontal="center" vertical="center"/>
    </xf>
    <xf numFmtId="0" fontId="10" fillId="0" borderId="1" xfId="0" applyFont="1" applyBorder="1">
      <alignment vertical="center"/>
    </xf>
    <xf numFmtId="0" fontId="4" fillId="0" borderId="1" xfId="0" applyFont="1" applyFill="1" applyBorder="1" applyAlignment="1">
      <alignment horizontal="left" vertical="center"/>
    </xf>
    <xf numFmtId="0" fontId="3" fillId="0" borderId="1" xfId="0" applyFont="1" applyFill="1" applyBorder="1" applyAlignment="1">
      <alignment horizontal="center" vertical="center"/>
    </xf>
    <xf numFmtId="177"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3" fillId="0" borderId="1" xfId="0" applyFont="1" applyFill="1" applyBorder="1">
      <alignment vertical="center"/>
    </xf>
    <xf numFmtId="0" fontId="1" fillId="0" borderId="1" xfId="0" applyFont="1" applyBorder="1" applyAlignment="1">
      <alignment horizontal="center" vertical="center"/>
    </xf>
    <xf numFmtId="0" fontId="1" fillId="0" borderId="1" xfId="0" applyFont="1" applyFill="1" applyBorder="1">
      <alignment vertical="center"/>
    </xf>
    <xf numFmtId="177" fontId="3" fillId="0" borderId="1" xfId="0" applyNumberFormat="1" applyFont="1" applyFill="1" applyBorder="1" applyAlignment="1">
      <alignment horizontal="center" vertical="center"/>
    </xf>
    <xf numFmtId="0" fontId="12" fillId="0" borderId="1" xfId="0" applyFont="1" applyBorder="1" applyAlignment="1">
      <alignment horizontal="left" vertical="center"/>
    </xf>
    <xf numFmtId="0" fontId="16" fillId="0" borderId="1" xfId="0" applyFont="1" applyBorder="1">
      <alignment vertical="center"/>
    </xf>
    <xf numFmtId="0" fontId="16" fillId="0" borderId="1" xfId="0" applyFont="1" applyBorder="1" applyAlignment="1">
      <alignment vertical="center" wrapText="1"/>
    </xf>
    <xf numFmtId="0" fontId="10" fillId="0" borderId="1" xfId="19" applyFont="1" applyFill="1" applyBorder="1" applyAlignment="1">
      <alignment horizontal="center" vertical="center" wrapText="1"/>
    </xf>
    <xf numFmtId="0" fontId="10" fillId="0" borderId="1" xfId="22" applyFont="1" applyFill="1" applyBorder="1" applyAlignment="1">
      <alignment horizontal="center" vertical="center" wrapText="1"/>
    </xf>
    <xf numFmtId="177" fontId="9" fillId="0" borderId="1" xfId="0" applyNumberFormat="1" applyFont="1" applyFill="1" applyBorder="1" applyAlignment="1">
      <alignment horizontal="center" vertical="center"/>
    </xf>
    <xf numFmtId="0" fontId="17" fillId="0" borderId="0" xfId="0" applyFont="1" applyFill="1" applyAlignment="1">
      <alignment horizontal="left" vertical="center"/>
    </xf>
    <xf numFmtId="0" fontId="0" fillId="0" borderId="1" xfId="0" applyBorder="1">
      <alignment vertical="center"/>
    </xf>
    <xf numFmtId="0" fontId="0" fillId="0" borderId="1" xfId="0" applyFont="1" applyBorder="1">
      <alignment vertical="center"/>
    </xf>
    <xf numFmtId="0" fontId="8" fillId="5" borderId="1" xfId="0" applyFont="1" applyFill="1" applyBorder="1" applyAlignment="1">
      <alignment horizontal="center" vertical="center" wrapText="1"/>
    </xf>
    <xf numFmtId="177" fontId="9" fillId="7" borderId="1" xfId="0" applyNumberFormat="1" applyFont="1" applyFill="1" applyBorder="1" applyAlignment="1">
      <alignment horizontal="center" vertical="center" wrapText="1"/>
    </xf>
    <xf numFmtId="0" fontId="18" fillId="0" borderId="1" xfId="0" applyFont="1" applyBorder="1" applyAlignment="1">
      <alignment horizontal="left" vertical="center" wrapText="1"/>
    </xf>
    <xf numFmtId="176" fontId="11" fillId="0" borderId="1" xfId="0" applyNumberFormat="1" applyFont="1" applyFill="1" applyBorder="1" applyAlignment="1">
      <alignment horizontal="center" vertical="center"/>
    </xf>
    <xf numFmtId="0" fontId="0" fillId="0" borderId="1" xfId="0" applyFont="1" applyFill="1" applyBorder="1" applyAlignment="1">
      <alignment vertical="center" wrapText="1"/>
    </xf>
    <xf numFmtId="0" fontId="0" fillId="0" borderId="1" xfId="0" applyBorder="1" applyAlignment="1">
      <alignment vertical="center" wrapText="1"/>
    </xf>
    <xf numFmtId="0" fontId="0" fillId="0" borderId="0" xfId="0" applyAlignment="1">
      <alignment horizontal="left" vertical="center"/>
    </xf>
    <xf numFmtId="177" fontId="19" fillId="0" borderId="1" xfId="0" applyNumberFormat="1" applyFont="1" applyFill="1" applyBorder="1" applyAlignment="1">
      <alignment horizontal="center" vertical="center"/>
    </xf>
    <xf numFmtId="0" fontId="12" fillId="0" borderId="1"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xf>
    <xf numFmtId="177" fontId="20" fillId="0" borderId="1" xfId="0" applyNumberFormat="1" applyFont="1" applyFill="1" applyBorder="1" applyAlignment="1">
      <alignment horizontal="center" vertical="center"/>
    </xf>
    <xf numFmtId="9" fontId="10" fillId="0" borderId="1" xfId="0" applyNumberFormat="1" applyFont="1" applyFill="1" applyBorder="1" applyAlignment="1">
      <alignment horizontal="left" vertical="center" wrapText="1"/>
    </xf>
    <xf numFmtId="176" fontId="19" fillId="0" borderId="1" xfId="0" applyNumberFormat="1" applyFont="1" applyFill="1" applyBorder="1" applyAlignment="1">
      <alignment horizontal="center" vertical="center"/>
    </xf>
    <xf numFmtId="0" fontId="10" fillId="0" borderId="1" xfId="0" applyFont="1" applyBorder="1" applyAlignment="1">
      <alignment vertical="center" wrapText="1"/>
    </xf>
    <xf numFmtId="0" fontId="1" fillId="0" borderId="1" xfId="0" applyFont="1" applyBorder="1" applyAlignment="1">
      <alignment vertical="center" wrapText="1"/>
    </xf>
    <xf numFmtId="177" fontId="11" fillId="6" borderId="1" xfId="0" applyNumberFormat="1" applyFont="1" applyFill="1" applyBorder="1" applyAlignment="1">
      <alignment horizontal="center" vertical="center"/>
    </xf>
    <xf numFmtId="177" fontId="3" fillId="6" borderId="1" xfId="0" applyNumberFormat="1" applyFont="1" applyFill="1" applyBorder="1" applyAlignment="1">
      <alignment horizontal="center" vertical="center"/>
    </xf>
    <xf numFmtId="0" fontId="0" fillId="0" borderId="0" xfId="0" applyFill="1" applyAlignment="1">
      <alignment vertical="center"/>
    </xf>
    <xf numFmtId="0" fontId="0" fillId="0" borderId="0" xfId="0" applyFont="1" applyFill="1" applyAlignment="1">
      <alignment vertical="center"/>
    </xf>
    <xf numFmtId="0" fontId="3" fillId="0" borderId="0" xfId="0" applyFont="1" applyFill="1" applyAlignment="1">
      <alignment horizontal="center" vertical="center"/>
    </xf>
    <xf numFmtId="0" fontId="21" fillId="5" borderId="1" xfId="56" applyFont="1" applyFill="1" applyBorder="1" applyAlignment="1">
      <alignment horizontal="center" vertical="center"/>
    </xf>
    <xf numFmtId="0" fontId="22" fillId="5" borderId="1" xfId="0" applyFont="1" applyFill="1" applyBorder="1" applyAlignment="1">
      <alignment horizontal="center" vertical="center"/>
    </xf>
    <xf numFmtId="0" fontId="11" fillId="5" borderId="1" xfId="56" applyFont="1" applyFill="1" applyBorder="1" applyAlignment="1">
      <alignment horizontal="center" vertical="center"/>
    </xf>
    <xf numFmtId="0" fontId="11" fillId="5" borderId="1" xfId="22" applyFont="1" applyFill="1" applyBorder="1" applyAlignment="1">
      <alignment horizontal="center" vertical="center" wrapText="1"/>
    </xf>
    <xf numFmtId="0" fontId="11" fillId="5" borderId="1" xfId="19" applyFont="1" applyFill="1" applyBorder="1" applyAlignment="1">
      <alignment horizontal="center" vertical="center" wrapText="1"/>
    </xf>
    <xf numFmtId="0" fontId="23" fillId="5" borderId="1" xfId="0" applyFont="1" applyFill="1" applyBorder="1" applyAlignment="1">
      <alignment horizontal="center" vertical="center" wrapText="1"/>
    </xf>
    <xf numFmtId="0" fontId="10" fillId="5" borderId="1" xfId="19" applyFont="1" applyFill="1" applyBorder="1" applyAlignment="1">
      <alignment horizontal="center" vertical="center" wrapText="1"/>
    </xf>
    <xf numFmtId="0" fontId="3" fillId="5" borderId="1" xfId="0" applyNumberFormat="1" applyFont="1" applyFill="1" applyBorder="1" applyAlignment="1" quotePrefix="1">
      <alignment horizontal="center" vertical="center"/>
    </xf>
    <xf numFmtId="0" fontId="0" fillId="0" borderId="1" xfId="0" applyBorder="1" applyAlignment="1" quotePrefix="1">
      <alignment horizontal="left" vertical="center"/>
    </xf>
  </cellXfs>
  <cellStyles count="57">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常规 6" xfId="13"/>
    <cellStyle name="注释" xfId="14" builtinId="10"/>
    <cellStyle name="60% - 强调文字颜色 2" xfId="15" builtinId="36"/>
    <cellStyle name="标题 4" xfId="16" builtinId="19"/>
    <cellStyle name="警告文本" xfId="17" builtinId="11"/>
    <cellStyle name="标题" xfId="18" builtinId="15"/>
    <cellStyle name="常规 12" xfId="19"/>
    <cellStyle name="解释性文本" xfId="20" builtinId="53"/>
    <cellStyle name="标题 1" xfId="21" builtinId="16"/>
    <cellStyle name="常规 9" xfId="22"/>
    <cellStyle name="标题 2" xfId="23" builtinId="17"/>
    <cellStyle name="60% - 强调文字颜色 1" xfId="24" builtinId="32"/>
    <cellStyle name="标题 3" xfId="25" builtinId="18"/>
    <cellStyle name="60% - 强调文字颜色 4" xfId="26" builtinId="44"/>
    <cellStyle name="输出" xfId="27" builtinId="21"/>
    <cellStyle name="计算" xfId="28" builtinId="22"/>
    <cellStyle name="检查单元格" xfId="29" builtinId="23"/>
    <cellStyle name="20% - 强调文字颜色 6" xfId="30" builtinId="50"/>
    <cellStyle name="强调文字颜色 2" xfId="31" builtinId="33"/>
    <cellStyle name="链接单元格" xfId="32" builtinId="24"/>
    <cellStyle name="汇总" xfId="33" builtinId="25"/>
    <cellStyle name="好" xfId="34" builtinId="26"/>
    <cellStyle name="适中" xfId="35" builtinId="28"/>
    <cellStyle name="20% - 强调文字颜色 5" xfId="36" builtinId="46"/>
    <cellStyle name="强调文字颜色 1" xfId="37" builtinId="29"/>
    <cellStyle name="20% - 强调文字颜色 1" xfId="38" builtinId="30"/>
    <cellStyle name="40% - 强调文字颜色 1" xfId="39" builtinId="31"/>
    <cellStyle name="20% - 强调文字颜色 2" xfId="40" builtinId="34"/>
    <cellStyle name="40% - 强调文字颜色 2" xfId="41" builtinId="35"/>
    <cellStyle name="强调文字颜色 3" xfId="42" builtinId="37"/>
    <cellStyle name="强调文字颜色 4" xfId="43" builtinId="41"/>
    <cellStyle name="20% - 强调文字颜色 4" xfId="44" builtinId="42"/>
    <cellStyle name="40% - 强调文字颜色 4" xfId="45" builtinId="43"/>
    <cellStyle name="强调文字颜色 5" xfId="46" builtinId="45"/>
    <cellStyle name="40% - 强调文字颜色 5" xfId="47" builtinId="47"/>
    <cellStyle name="60% - 强调文字颜色 5" xfId="48" builtinId="48"/>
    <cellStyle name="强调文字颜色 6" xfId="49" builtinId="49"/>
    <cellStyle name="40% - 强调文字颜色 6" xfId="50" builtinId="51"/>
    <cellStyle name="60% - 强调文字颜色 6" xfId="51" builtinId="52"/>
    <cellStyle name="常规 2" xfId="52"/>
    <cellStyle name="常规 3" xfId="53"/>
    <cellStyle name="常规 4" xfId="54"/>
    <cellStyle name="常规 5" xfId="55"/>
    <cellStyle name="常规 7" xfId="56"/>
  </cellStyles>
  <dxfs count="2">
    <dxf>
      <fill>
        <patternFill patternType="solid">
          <bgColor rgb="FFFF9900"/>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pivotCacheDefinition" Target="pivotCache/pivotCacheDefinition2.xml"/><Relationship Id="rId83" Type="http://schemas.openxmlformats.org/officeDocument/2006/relationships/sharedStrings" Target="sharedStrings.xml"/><Relationship Id="rId82" Type="http://schemas.openxmlformats.org/officeDocument/2006/relationships/styles" Target="styles.xml"/><Relationship Id="rId81" Type="http://schemas.openxmlformats.org/officeDocument/2006/relationships/theme" Target="theme/theme1.xml"/><Relationship Id="rId80" Type="http://schemas.openxmlformats.org/officeDocument/2006/relationships/externalLink" Target="externalLinks/externalLink71.xml"/><Relationship Id="rId8" Type="http://schemas.openxmlformats.org/officeDocument/2006/relationships/pivotCacheDefinition" Target="pivotCache/pivotCacheDefinition1.xml"/><Relationship Id="rId79" Type="http://schemas.openxmlformats.org/officeDocument/2006/relationships/externalLink" Target="externalLinks/externalLink70.xml"/><Relationship Id="rId78" Type="http://schemas.openxmlformats.org/officeDocument/2006/relationships/externalLink" Target="externalLinks/externalLink69.xml"/><Relationship Id="rId77" Type="http://schemas.openxmlformats.org/officeDocument/2006/relationships/externalLink" Target="externalLinks/externalLink68.xml"/><Relationship Id="rId76" Type="http://schemas.openxmlformats.org/officeDocument/2006/relationships/externalLink" Target="externalLinks/externalLink67.xml"/><Relationship Id="rId75" Type="http://schemas.openxmlformats.org/officeDocument/2006/relationships/externalLink" Target="externalLinks/externalLink66.xml"/><Relationship Id="rId74" Type="http://schemas.openxmlformats.org/officeDocument/2006/relationships/externalLink" Target="externalLinks/externalLink65.xml"/><Relationship Id="rId73" Type="http://schemas.openxmlformats.org/officeDocument/2006/relationships/externalLink" Target="externalLinks/externalLink64.xml"/><Relationship Id="rId72" Type="http://schemas.openxmlformats.org/officeDocument/2006/relationships/externalLink" Target="externalLinks/externalLink63.xml"/><Relationship Id="rId71" Type="http://schemas.openxmlformats.org/officeDocument/2006/relationships/externalLink" Target="externalLinks/externalLink62.xml"/><Relationship Id="rId70" Type="http://schemas.openxmlformats.org/officeDocument/2006/relationships/externalLink" Target="externalLinks/externalLink61.xml"/><Relationship Id="rId7" Type="http://schemas.openxmlformats.org/officeDocument/2006/relationships/worksheet" Target="worksheets/sheet7.xml"/><Relationship Id="rId69" Type="http://schemas.openxmlformats.org/officeDocument/2006/relationships/externalLink" Target="externalLinks/externalLink60.xml"/><Relationship Id="rId68" Type="http://schemas.openxmlformats.org/officeDocument/2006/relationships/externalLink" Target="externalLinks/externalLink59.xml"/><Relationship Id="rId67" Type="http://schemas.openxmlformats.org/officeDocument/2006/relationships/externalLink" Target="externalLinks/externalLink58.xml"/><Relationship Id="rId66" Type="http://schemas.openxmlformats.org/officeDocument/2006/relationships/externalLink" Target="externalLinks/externalLink57.xml"/><Relationship Id="rId65" Type="http://schemas.openxmlformats.org/officeDocument/2006/relationships/externalLink" Target="externalLinks/externalLink56.xml"/><Relationship Id="rId64" Type="http://schemas.openxmlformats.org/officeDocument/2006/relationships/externalLink" Target="externalLinks/externalLink55.xml"/><Relationship Id="rId63" Type="http://schemas.openxmlformats.org/officeDocument/2006/relationships/externalLink" Target="externalLinks/externalLink54.xml"/><Relationship Id="rId62" Type="http://schemas.openxmlformats.org/officeDocument/2006/relationships/externalLink" Target="externalLinks/externalLink53.xml"/><Relationship Id="rId61" Type="http://schemas.openxmlformats.org/officeDocument/2006/relationships/externalLink" Target="externalLinks/externalLink52.xml"/><Relationship Id="rId60" Type="http://schemas.openxmlformats.org/officeDocument/2006/relationships/externalLink" Target="externalLinks/externalLink51.xml"/><Relationship Id="rId6" Type="http://schemas.openxmlformats.org/officeDocument/2006/relationships/worksheet" Target="worksheets/sheet6.xml"/><Relationship Id="rId59" Type="http://schemas.openxmlformats.org/officeDocument/2006/relationships/externalLink" Target="externalLinks/externalLink50.xml"/><Relationship Id="rId58" Type="http://schemas.openxmlformats.org/officeDocument/2006/relationships/externalLink" Target="externalLinks/externalLink49.xml"/><Relationship Id="rId57" Type="http://schemas.openxmlformats.org/officeDocument/2006/relationships/externalLink" Target="externalLinks/externalLink48.xml"/><Relationship Id="rId56" Type="http://schemas.openxmlformats.org/officeDocument/2006/relationships/externalLink" Target="externalLinks/externalLink47.xml"/><Relationship Id="rId55" Type="http://schemas.openxmlformats.org/officeDocument/2006/relationships/externalLink" Target="externalLinks/externalLink46.xml"/><Relationship Id="rId54" Type="http://schemas.openxmlformats.org/officeDocument/2006/relationships/externalLink" Target="externalLinks/externalLink45.xml"/><Relationship Id="rId53" Type="http://schemas.openxmlformats.org/officeDocument/2006/relationships/externalLink" Target="externalLinks/externalLink44.xml"/><Relationship Id="rId52" Type="http://schemas.openxmlformats.org/officeDocument/2006/relationships/externalLink" Target="externalLinks/externalLink43.xml"/><Relationship Id="rId51" Type="http://schemas.openxmlformats.org/officeDocument/2006/relationships/externalLink" Target="externalLinks/externalLink42.xml"/><Relationship Id="rId50" Type="http://schemas.openxmlformats.org/officeDocument/2006/relationships/externalLink" Target="externalLinks/externalLink41.xml"/><Relationship Id="rId5" Type="http://schemas.openxmlformats.org/officeDocument/2006/relationships/worksheet" Target="worksheets/sheet5.xml"/><Relationship Id="rId49" Type="http://schemas.openxmlformats.org/officeDocument/2006/relationships/externalLink" Target="externalLinks/externalLink40.xml"/><Relationship Id="rId48" Type="http://schemas.openxmlformats.org/officeDocument/2006/relationships/externalLink" Target="externalLinks/externalLink39.xml"/><Relationship Id="rId47" Type="http://schemas.openxmlformats.org/officeDocument/2006/relationships/externalLink" Target="externalLinks/externalLink38.xml"/><Relationship Id="rId46" Type="http://schemas.openxmlformats.org/officeDocument/2006/relationships/externalLink" Target="externalLinks/externalLink37.xml"/><Relationship Id="rId45" Type="http://schemas.openxmlformats.org/officeDocument/2006/relationships/externalLink" Target="externalLinks/externalLink36.xml"/><Relationship Id="rId44" Type="http://schemas.openxmlformats.org/officeDocument/2006/relationships/externalLink" Target="externalLinks/externalLink35.xml"/><Relationship Id="rId43" Type="http://schemas.openxmlformats.org/officeDocument/2006/relationships/externalLink" Target="externalLinks/externalLink34.xml"/><Relationship Id="rId42" Type="http://schemas.openxmlformats.org/officeDocument/2006/relationships/externalLink" Target="externalLinks/externalLink33.xml"/><Relationship Id="rId41" Type="http://schemas.openxmlformats.org/officeDocument/2006/relationships/externalLink" Target="externalLinks/externalLink32.xml"/><Relationship Id="rId40" Type="http://schemas.openxmlformats.org/officeDocument/2006/relationships/externalLink" Target="externalLinks/externalLink31.xml"/><Relationship Id="rId4" Type="http://schemas.openxmlformats.org/officeDocument/2006/relationships/worksheet" Target="worksheets/sheet4.xml"/><Relationship Id="rId39" Type="http://schemas.openxmlformats.org/officeDocument/2006/relationships/externalLink" Target="externalLinks/externalLink30.xml"/><Relationship Id="rId38" Type="http://schemas.openxmlformats.org/officeDocument/2006/relationships/externalLink" Target="externalLinks/externalLink29.xml"/><Relationship Id="rId37" Type="http://schemas.openxmlformats.org/officeDocument/2006/relationships/externalLink" Target="externalLinks/externalLink28.xml"/><Relationship Id="rId36" Type="http://schemas.openxmlformats.org/officeDocument/2006/relationships/externalLink" Target="externalLinks/externalLink27.xml"/><Relationship Id="rId35" Type="http://schemas.openxmlformats.org/officeDocument/2006/relationships/externalLink" Target="externalLinks/externalLink26.xml"/><Relationship Id="rId34" Type="http://schemas.openxmlformats.org/officeDocument/2006/relationships/externalLink" Target="externalLinks/externalLink25.xml"/><Relationship Id="rId33" Type="http://schemas.openxmlformats.org/officeDocument/2006/relationships/externalLink" Target="externalLinks/externalLink24.xml"/><Relationship Id="rId32" Type="http://schemas.openxmlformats.org/officeDocument/2006/relationships/externalLink" Target="externalLinks/externalLink23.xml"/><Relationship Id="rId31" Type="http://schemas.openxmlformats.org/officeDocument/2006/relationships/externalLink" Target="externalLinks/externalLink22.xml"/><Relationship Id="rId30" Type="http://schemas.openxmlformats.org/officeDocument/2006/relationships/externalLink" Target="externalLinks/externalLink21.xml"/><Relationship Id="rId3" Type="http://schemas.openxmlformats.org/officeDocument/2006/relationships/worksheet" Target="worksheets/sheet3.xml"/><Relationship Id="rId29" Type="http://schemas.openxmlformats.org/officeDocument/2006/relationships/externalLink" Target="externalLinks/externalLink20.xml"/><Relationship Id="rId28" Type="http://schemas.openxmlformats.org/officeDocument/2006/relationships/externalLink" Target="externalLinks/externalLink19.xml"/><Relationship Id="rId27" Type="http://schemas.openxmlformats.org/officeDocument/2006/relationships/externalLink" Target="externalLinks/externalLink18.xml"/><Relationship Id="rId26" Type="http://schemas.openxmlformats.org/officeDocument/2006/relationships/externalLink" Target="externalLinks/externalLink17.xml"/><Relationship Id="rId25" Type="http://schemas.openxmlformats.org/officeDocument/2006/relationships/externalLink" Target="externalLinks/externalLink16.xml"/><Relationship Id="rId24" Type="http://schemas.openxmlformats.org/officeDocument/2006/relationships/externalLink" Target="externalLinks/externalLink15.xml"/><Relationship Id="rId23" Type="http://schemas.openxmlformats.org/officeDocument/2006/relationships/externalLink" Target="externalLinks/externalLink14.xml"/><Relationship Id="rId22" Type="http://schemas.openxmlformats.org/officeDocument/2006/relationships/externalLink" Target="externalLinks/externalLink13.xml"/><Relationship Id="rId21" Type="http://schemas.openxmlformats.org/officeDocument/2006/relationships/externalLink" Target="externalLinks/externalLink12.xml"/><Relationship Id="rId20" Type="http://schemas.openxmlformats.org/officeDocument/2006/relationships/externalLink" Target="externalLinks/externalLink11.xml"/><Relationship Id="rId2" Type="http://schemas.openxmlformats.org/officeDocument/2006/relationships/worksheet" Target="worksheets/sheet2.xml"/><Relationship Id="rId19" Type="http://schemas.openxmlformats.org/officeDocument/2006/relationships/externalLink" Target="externalLinks/externalLink10.xml"/><Relationship Id="rId18" Type="http://schemas.openxmlformats.org/officeDocument/2006/relationships/externalLink" Target="externalLinks/externalLink9.xml"/><Relationship Id="rId17" Type="http://schemas.openxmlformats.org/officeDocument/2006/relationships/externalLink" Target="externalLinks/externalLink8.xml"/><Relationship Id="rId16" Type="http://schemas.openxmlformats.org/officeDocument/2006/relationships/externalLink" Target="externalLinks/externalLink7.xml"/><Relationship Id="rId15" Type="http://schemas.openxmlformats.org/officeDocument/2006/relationships/externalLink" Target="externalLinks/externalLink6.xml"/><Relationship Id="rId14" Type="http://schemas.openxmlformats.org/officeDocument/2006/relationships/externalLink" Target="externalLinks/externalLink5.xml"/><Relationship Id="rId13" Type="http://schemas.openxmlformats.org/officeDocument/2006/relationships/externalLink" Target="externalLinks/externalLink4.xml"/><Relationship Id="rId12" Type="http://schemas.openxmlformats.org/officeDocument/2006/relationships/externalLink" Target="externalLinks/externalLink3.xml"/><Relationship Id="rId11" Type="http://schemas.openxmlformats.org/officeDocument/2006/relationships/externalLink" Target="externalLinks/externalLink2.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dministrator\Desktop\&#39033;&#30446;&#24037;&#26102;\08-2022&#24180;9&#26376;CR929&#26376;&#39033;&#30446;&#24037;&#26102;&#32479;&#35745;&#34920;-&#20135;&#21697;&#25439;&#20260;&#23481;&#38480;&#25253;&#21578;&#65288;&#23391;&#32500;&#23431;&#65289;.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Administrator\Desktop\&#39033;&#30446;&#24037;&#26102;\01-2022&#24180;09&#26376;&#39033;&#30446;&#24037;&#26102;&#32479;&#35745;&#34920;(ARJ21&#65289;%20(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dministrator\Desktop\&#39033;&#30446;&#24037;&#26102;\01-2022&#24180;09&#26376;&#39033;&#30446;&#24037;&#26102;&#32479;&#35745;&#34920;(1&#21495;&#25552;&#20132;&#6528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Administrator\Desktop\&#39033;&#30446;&#24037;&#26102;\01-2022&#24180;09&#26376;&#39033;&#30446;&#24037;&#26102;&#32479;&#35745;&#34920;(ARJ21&#65289;(&#25552;&#2013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Administrator\Desktop\&#39033;&#30446;&#24037;&#26102;\01-2022&#24180;09&#26376;&#39033;&#30446;&#24037;&#26102;&#32479;&#35745;&#34920;&#29579;&#22823;&#26161;&#36127;&#36131;&#37096;&#20998;.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Administrator\Desktop\&#39033;&#30446;&#24037;&#26102;\15-2022&#24180;09&#26376;&#39033;&#30446;&#24037;&#26102;&#32479;&#35745;&#34920;_C919&#22797;&#26448;SRM&#24378;&#24230;(&#26446;&#24544;&#38678;).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dministrator\Desktop\&#39033;&#30446;&#24037;&#26102;\01-2022&#24180;09&#26376;&#39033;&#30446;&#24037;&#26102;&#32479;&#35745;&#34920;&#65288;ARJ21&#65289;-&#27784;&#22825;&#40784;.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Administrator\Desktop\&#39033;&#30446;&#24037;&#26102;\01-2022&#24180;09&#26376;&#39033;&#30446;&#24037;&#26102;&#32479;&#35745;&#34920;(ARJ21&#65289;--&#21016;&#2084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Administrator\Desktop\&#39033;&#30446;&#24037;&#26102;\01-2022&#24180;09&#26376;&#39033;&#30446;&#24037;&#26102;&#32479;&#35745;&#34920;(ARJ21&#65289;%20(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Administrator\Desktop\&#39033;&#30446;&#24037;&#26102;\03-2022&#24180;9&#26376;C919&#39033;&#30446;&#24037;&#26102;&#32479;&#35745;&#34920;-&#33329;&#38376;&#24378;&#24230;&#65288;&#38472;&#29790;&#19996;&#65289;.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Administrator\Desktop\&#39033;&#30446;&#24037;&#26102;\06-2022&#24180;9&#26376;C919&#39033;&#30446;&#24037;&#26102;&#32479;&#35745;&#34920;-&#40479;&#25758;&#65288;&#38472;&#29790;&#19996;&#65289;.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Administrator\Desktop\&#39033;&#30446;&#24037;&#26102;\09-2022&#24180;9&#26376;CR929&#26376;&#39033;&#30446;&#24037;&#26102;&#32479;&#35745;&#34920;-&#20801;&#35768;&#25439;&#20260;&#25439;&#20260;&#23481;&#38480;&#65288;&#23391;&#32500;&#23431;&#65289;.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Administrator\Desktop\&#39033;&#30446;&#24037;&#26102;\10-2022&#24180;9&#26376;&#39033;&#30446;&#24037;&#26102;&#32479;&#35745;&#34920;_C919&#21487;&#36798;&#24615;&#65288;2022&#24180;&#65289;&#65288;&#22799;&#26032;&#37995;&#65289;.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Administrator\Desktop\&#39033;&#30446;&#24037;&#26102;\0=2022&#24180;09&#26376;&#39033;&#30446;&#24037;&#26102;&#32479;&#35745;&#34920;-CR929-20221008.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1016;&#37995;&#24037;&#20316;\05-&#25104;&#26412;&#20013;&#24515;&#20154;&#21592;&#21517;&#21333;(&#24196;&#28009;)\2022&#24180;\2022&#24180;9&#26376;\01-2022&#24180;09&#26376;&#39033;&#30446;&#24037;&#26102;&#32479;&#35745;&#34920;(PMO%20to&#21016;&#37995;&#65289;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Administrator\Desktop\&#39033;&#30446;&#24037;&#26102;\01-2022&#24180;09&#26376;&#39033;&#30446;&#24037;&#26102;&#32479;&#35745;&#34920;(ARJ21&#65289;%20(1).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Administrator\Desktop\&#39033;&#30446;&#24037;&#26102;\01-2022&#24180;09&#26376;&#39033;&#30446;&#24037;&#26102;&#32479;&#35745;&#34920;(C919&#65289;%20(1).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Administrator\Desktop\&#39033;&#30446;&#24037;&#26102;\2022&#24180;09&#26376;&#39033;&#30446;&#24037;&#26102;&#32479;&#35745;&#34920;&#8212;&#8212;&#38745;&#24378;&#24230;&#20801;&#35768;&#25439;&#20260;&#25163;&#20876;&#65288;&#26446;&#29233;&#29615;&#65289;.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Administrator\Desktop\&#39033;&#30446;&#24037;&#26102;\01-2022&#24180;09&#26376;&#39033;&#30446;&#24037;&#26102;&#32479;&#35745;&#34920;(PMO%20to&#21016;&#37995;&#65289;xinzeng.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Administrator\Desktop\&#39033;&#30446;&#24037;&#26102;\C919&#31995;&#32479;&#23433;&#35013;&#39033;&#30446;&#24037;&#26102;&#38378;&#30005;&#38450;&#25252;&#20197;&#21450;301&#35838;&#39064;\13-C919&#31995;&#32479;&#23433;&#35013;&#39033;&#30446;2022&#24180;9&#26376;&#39033;&#30446;&#24037;&#26102;_&#31995;&#32479;&#23460;&#65288;&#21016;&#27915;&#65289;.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sers\Administrator\Desktop\&#39033;&#30446;&#24037;&#26102;\04-2022&#24180;9&#26376;C919&#39033;&#30446;&#24037;&#26102;&#32479;&#35745;&#34920;-&#21518;&#26426;&#36523;&#24378;&#24230;(&#35768;&#32654;&#23071;).xlsm"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sers\Administrator\Desktop\&#39033;&#30446;&#24037;&#26102;\05-2022&#24180;9&#26376;C919&#39033;&#30446;&#24037;&#26102;&#32479;&#35745;&#34920;-&#38745;&#24378;&#24230;&#20462;&#29702;&#65288;&#21016;&#21487;&#20339;&#65289;.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Administrator\Desktop\&#39033;&#30446;&#24037;&#26102;\01-2022&#24180;09&#26376;&#39033;&#30446;&#24037;&#26102;&#32479;&#35745;&#34920;(&#20826;&#24314;&#65289;--&#25552;&#20132;.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Administrator\Desktop\&#39033;&#30446;&#24037;&#26102;\07-2022&#24180;9&#26376;C919&#26376;&#39033;&#30446;&#24037;&#26102;&#32479;&#35745;&#34920;-&#25163;&#20876;&#20801;&#35768;&#25439;&#20260;&#29305;&#24615;&#30740;&#31350;&#65288;&#25903;&#26199;&#65289;.xlsm"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s\Administrator\Desktop\&#39033;&#30446;&#24037;&#26102;\14-2022&#24180;09&#26376;&#39033;&#30446;&#24037;&#26102;&#32479;&#35745;&#34920;(C919&#65289;-&#33329;&#38376;&#32467;&#26500;&#65288;&#39532;&#23721;&#65289;.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sers\Administrator\Desktop\&#39033;&#30446;&#24037;&#26102;\17-2022&#24180;9&#26376;CR929&#26376;&#39033;&#30446;&#24037;&#26102;&#32479;&#35745;&#34920;-&#20801;&#35768;&#25439;&#20260;&#38745;&#24378;&#24230;.xlsm"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sers\Administrator\Desktop\&#39033;&#30446;&#24037;&#26102;\01-2022&#24180;09&#26376;&#39033;&#30446;&#24037;&#26102;&#32479;&#35745;&#34920;(PMO_to&#21016;&#37995;&#65289;-&#22521;&#35757;&#24037;&#20316;.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sers\Administrator\Desktop\&#39033;&#30446;&#24037;&#26102;\01-2022&#24180;9&#26376;&#39033;&#30446;&#24037;&#26102;&#32479;&#35745;&#34920;(PMO_to&#21016;&#37995;&#65289;-&#32831;&#29840;&#29840;.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24196;&#28009;-&#39033;&#30446;&#23460;\&#35268;&#31456;&#21046;&#24230;\01-&#25104;&#26412;&#20013;&#24515;&#20154;&#21592;&#21517;&#21333;\2022&#24180;\2022&#24180;4&#26376;\&#39033;&#30446;&#24037;&#26102;\0-2022&#24180;4&#26376;&#39033;&#30446;&#24037;&#26102;&#32479;&#35745;&#34920;-&#24196;&#28009;&#27719;&#24635;.xlsm"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21016;&#37995;&#24037;&#20316;\05-&#25104;&#26412;&#20013;&#24515;\2025&#24180;\202504\01-2024&#24180;06&#26376;&#39033;&#30446;&#24037;&#26102;&#32479;&#35745;&#34920;&#65288;PMO%20to&#21016;&#37995;&#65289;.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21016;&#37995;&#24037;&#20316;\05-&#25104;&#26412;&#20013;&#24515;\2025&#24180;\202504\01-2024&#24180;07&#26376;&#39033;&#30446;&#24037;&#26102;&#32479;&#35745;&#34920;&#65288;PMO%20to&#21016;&#37995;&#65289;.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21016;&#37995;&#24037;&#20316;\05-&#25104;&#26412;&#20013;&#24515;\2025&#24180;\202504\01-2024&#24180;08&#26376;&#39033;&#30446;&#24037;&#26102;&#32479;&#35745;&#34920;&#65288;PMO%20to&#21016;&#37995;&#65289;.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21016;&#37995;&#24037;&#20316;\05-&#25104;&#26412;&#20013;&#24515;\2025&#24180;\202504\01-2025&#24180;02&#26376;&#39033;&#30446;&#24037;&#26102;&#32479;&#35745;&#34920;&#65288;PMO%20to&#21016;&#37995;&#65289;.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Program%20files\feiq\AutoRecv%20Files\&#24352;&#25104;(A4AE1118E42A)\01-2025&#24180;03&#26376;&#39033;&#30446;&#24037;&#26102;&#32479;&#35745;&#34920;&#65288;WH1&#39033;&#30446;&#26426;&#22836;&#19982;&#21069;&#26426;&#36523;&#32452;&#65289;.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26080;&#20154;&#26426;\&#26080;&#20154;&#26426;&#24037;&#26102;2025&#24180;\3&#26376;&#20221;\&#26032;&#24314;&#25991;&#20214;&#22841;\01-2025&#24180;03&#26376;&#39033;&#30446;&#24037;&#26102;&#32479;&#35745;&#34920;&#65288;PMO_to&#21016;&#37995;&#65289;-&#21457;&#21160;&#26426;&#33329;.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Users\50843\Desktop\01-2025&#24180;03&#26376;&#39033;&#30446;&#24037;&#26102;&#32479;&#35745;&#34920;&#65288;PMO%20to&#21016;&#37995;&#65289;.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Documents%20and%20Settings\51166\&#26700;&#38754;\2025&#24180;2&#26376;&#39033;&#30446;&#24037;&#26102;&#32479;&#35745;&#34920;&#65288;PMO_to&#21016;&#37995;&#65289;-&#21518;&#26426;&#36523;.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Documents%20and%20Settings\51166\&#26700;&#38754;\2025&#24180;02&#26376;&#39033;&#30446;&#24037;&#26102;&#32479;&#35745;&#34920;&#65288;WH1&#39033;&#30446;&#26426;&#22836;&#19982;&#21069;&#26426;&#36523;&#32452;&#6528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Documents%20and%20Settings\51166\&#26700;&#38754;\&#26426;&#36523;\01-2025&#24180;3&#26376;&#39033;&#30446;&#24037;&#26102;&#32479;&#35745;&#34920;&#65288;PMO_to&#21016;&#37995;&#65289;-&#21518;&#26426;&#36523;.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21016;&#37995;&#24037;&#20316;\01-&#24037;&#26102;&#32479;&#35745;\2025\202505\&#39033;&#30446;&#24037;&#26102;\01-2025&#24180;04&#26376;&#39033;&#30446;&#24037;&#26102;&#32479;&#35745;&#34920;&#65288;PMO_to&#21016;&#37995;&#65289;-&#37325;&#28857;&#20219;&#21153;&#65288;&#25289;&#26438;&#21450;&#31185;&#25216;&#21019;&#26032;&#65289;.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24037;&#31243;&#39033;&#30446;&#23460;\&#24037;&#26102;&#32479;&#35745;\04=&#37325;&#28857;&#20219;&#21153;&#24037;&#26102;\2025&#24180;\5&#26376;\2025-06-02_&#38468;&#20214;\01-2025&#24180;5&#26376;&#39033;&#30446;&#24037;&#26102;&#32479;&#35745;&#34920;&#65288;PMO_to&#21016;&#37995;&#65289;-&#25104;&#21697;&#20214;-&#26446;&#22925;.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21016;&#37995;&#24037;&#20316;\01-&#24037;&#26102;&#32479;&#35745;\2025\202505\&#39033;&#30446;&#24037;&#26102;\02-2025&#24180;05&#26376;&#39033;&#30446;&#24037;&#26102;&#32479;&#35745;&#34920;&#65288;PMO_to&#21016;&#37995;&#65289;-6-5.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21016;&#37995;&#24037;&#20316;\01-&#24037;&#26102;&#32479;&#35745;\2025\202505\&#39033;&#30446;&#24037;&#26102;\02-2025&#24180;05&#26376;&#39033;&#30446;&#24037;&#26102;&#32479;&#35745;&#34920;&#65288;PMO_to&#21016;&#37995;&#65289;-&#20826;&#24314;.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21016;&#37995;&#24037;&#20316;\01-&#24037;&#26102;&#32479;&#35745;\2025\202505\&#20986;&#21220;&#21152;&#29677;\02-2025&#24180;5&#26376;&#21592;&#24037;&#39033;&#30446;&#32489;&#25928;&#31995;&#25968;K3&#27719;&#24635;&#34920;&#65288;&#21508;&#23460;to&#21016;&#37995;&#65289;-&#32508;&#21512;&#25216;&#26415;&#23460;.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21016;&#37995;&#24037;&#20316;\01-&#24037;&#26102;&#32479;&#35745;\2025\202506\&#39033;&#30446;&#24037;&#26102;\01-2025&#24180;6&#26376;&#39033;&#30446;&#24037;&#26102;&#32479;&#35745;&#34920;&#65288;PMO_to&#21016;&#37995;&#65289;-C919&#39640;&#21407;&#22411;+&#22797;&#26448;&#20013;&#24515;+&#20010;&#20154;&#36866;&#33322;&#24037;&#26102;.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21016;&#37995;&#24037;&#20316;\01-&#24037;&#26102;&#32479;&#35745;\2025\202506\&#39033;&#30446;&#24037;&#26102;\01-2025&#24180;04&#26376;&#39033;&#30446;&#24037;&#26102;&#32479;&#35745;&#34920;&#65288;PMO_to&#21016;&#37995;&#65289;-WH1&#39033;&#30446;&#32467;&#26500;&#24378;&#24230;&#32508;&#21512;(&#36866;&#33322;).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21016;&#37995;&#24037;&#20316;\01-&#24037;&#26102;&#32479;&#35745;\2025\202506\&#39033;&#30446;&#24037;&#26102;\01-2025&#24180;06&#26376;&#39033;&#30446;&#24037;&#26102;&#32479;&#35745;&#34920;&#65288;PMO_to&#21016;&#37995;&#65289;-WH1&#23398;&#20064;-&#22799;&#26032;&#37995;&#25253;0701.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D:\&#21016;&#37995;&#24037;&#20316;\01-&#24037;&#26102;&#32479;&#35745;\2025\202506\&#39033;&#30446;&#24037;&#26102;\01-2025&#24180;6&#26376;&#39033;&#30446;&#24037;&#26102;&#32479;&#35745;&#34920;-WH1&#36866;&#33322;-&#32831;&#29840;&#29840;.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21016;&#37995;&#24037;&#20316;\01-&#24037;&#26102;&#32479;&#35745;\2025\202506\&#39033;&#30446;&#24037;&#26102;\01-2025&#24180;06&#26376;&#39033;&#30446;&#24037;&#26102;&#32479;&#35745;&#34920;&#65288;PMO_to&#21016;&#37995;&#65289;-&#37325;&#28857;&#20219;&#21153;-PMA&#20214;.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21016;&#37995;&#24037;&#20316;\01-&#24037;&#26102;&#32479;&#35745;\2025\202506\&#39033;&#30446;&#24037;&#26102;\01-2025&#24180;06&#26376;&#39033;&#30446;&#24037;&#26102;&#32479;&#35745;&#34920;&#65288;PMO_to&#21016;&#37995;&#65289;-8-1.3&#35774;&#35745;.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21016;&#37995;&#24037;&#20316;\01-&#24037;&#26102;&#32479;&#35745;\2025\202506\&#39033;&#30446;&#24037;&#26102;\2025&#24180;6&#26376;919YJTD&#22402;&#23614;&#24037;&#26102;&#32479;&#35745;&#34920;.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21016;&#37995;&#24037;&#20316;\01-&#24037;&#26102;&#32479;&#35745;\2025\202506\&#39033;&#30446;&#24037;&#26102;\2025&#24180;6&#26376;919YJTD&#21518;&#26426;&#36523;&#24037;&#26102;&#32479;&#35745;&#34920;.xlsx"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D:\&#21016;&#37995;&#24037;&#20316;\01-&#24037;&#26102;&#32479;&#35745;\2025\202506\&#39033;&#30446;&#24037;&#26102;\01-2025&#24180;06&#26376;&#39033;&#30446;&#24037;&#26102;&#32479;&#35745;&#34920;&#65288;PMO_to&#21016;&#37995;&#65289;-&#37325;&#28857;&#20219;&#21153;-&#24033;&#39134;&#26080;&#20154;&#26426;.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21016;&#37995;&#24037;&#20316;\01-&#24037;&#26102;&#32479;&#35745;\2025\202506\&#39033;&#30446;&#24037;&#26102;\02-2025&#24180;06&#26376;&#39033;&#30446;&#24037;&#26102;&#32479;&#35745;&#34920;&#65288;PMO_to&#21016;&#37995;&#65289;-&#20826;&#24314;.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26080;&#20154;&#26426;\&#26080;&#20154;&#26426;&#24037;&#26102;2025&#24180;\4&#26376;&#20221;\01-2025&#24180;03&#26376;&#39033;&#30446;&#24037;&#26102;&#32479;&#35745;&#34920;&#65288;PMO_to&#21016;&#37995;&#65289;-WH1&#26426;&#36523;&#21457;&#21160;&#26426;&#33329;&#24378;&#24230;.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26080;&#20154;&#26426;\&#26080;&#20154;&#26426;&#24037;&#26102;2025&#24180;\4&#26376;&#20221;\01-2025&#24180;3&#26376;&#39033;&#30446;&#24037;&#26102;&#32479;&#35745;&#34920;&#65288;PMO_to&#21016;&#37995;&#65289;-&#32508;&#21512;.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Program%20files\feiq\AutoRecv%20Files\&#26519;&#26641;&#24503;(14FEB5F10BAF)\01-2025&#24180;6&#26376;&#39033;&#30446;&#24037;&#26102;&#32479;&#35745;&#34920;&#65288;PMO_to&#21016;&#37995;&#65289;-&#32508;&#21512;&#65288;&#21457;&#30707;&#33635;&#33635;&#65289;.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Users\50079\AppData\Local\Temp\Temp2_2025-06-30_&#38468;&#20214;%20(1)&#21525;&#22269;&#25104;.zip\01-2025&#24180;6&#26376;&#39033;&#30446;&#24037;&#26102;&#32479;&#35745;&#34920;&#65288;PMO_to&#21016;&#37995;&#65289;-WH1&#39033;&#30446;-&#20219;&#25996;.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D:\&#21016;&#37995;&#24037;&#20316;\01-&#24037;&#26102;&#32479;&#35745;\2025\202506\&#39033;&#30446;&#24037;&#26102;\&#26032;&#24314;&#25991;&#20214;&#22841;\01-2025&#24180;6&#26376;&#39033;&#30446;&#24037;&#26102;&#32479;&#35745;&#34920;&#65288;PMO_to&#21016;&#37995;&#65289;-&#32508;&#21512;&#65288;WH1&#39033;&#30446;&#20854;&#23427;&#19987;&#19994;&#65289;.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D:\&#21016;&#37995;&#24037;&#20316;\01-&#24037;&#26102;&#32479;&#35745;\2025\202506\&#39033;&#30446;&#24037;&#26102;\&#26032;&#24314;&#25991;&#20214;&#22841;\01-2025&#24180;6&#26376;&#39033;&#30446;&#24037;&#26102;&#32479;&#35745;&#34920;&#65288;PMO_to&#21016;&#37995;&#65289;_-_WH1&#39033;&#30446;-&#31995;&#32479;&#23460;.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Users\51389\Desktop\01-2025&#24180;6&#26376;&#39033;&#30446;&#24037;&#26102;&#32479;&#35745;&#34920;&#65288;PMO_to&#21016;&#37995;&#65289;_-_WH1&#36213;&#23376;&#32500;.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1xln\03-C919&#22522;&#26412;&#22411;&#35774;&#35745;&#65288;2025&#24180;&#19978;&#39134;&#38498;&#65289;\02-2025&#24180;06&#26376;&#39033;&#30446;&#24037;&#26102;&#32479;&#35745;&#34920;&#65288;PMO_to&#21016;&#37995;&#65289;-&#24635;&#20307;WH1.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D:\1xln\03-C919&#22522;&#26412;&#22411;&#35774;&#35745;&#65288;2025&#24180;&#19978;&#39134;&#38498;&#65289;\02-2025&#24180;06&#26376;&#39033;&#30446;&#24037;&#26102;&#32479;&#35745;&#34920;&#65288;PMO_to&#21016;&#37995;&#65289;-&#24635;&#20307;WH1_&#36213;&#38271;&#36745;.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1xln\03-C919&#22522;&#26412;&#22411;&#35774;&#35745;&#65288;2025&#24180;&#19978;&#39134;&#38498;&#65289;\2025&#24180;06&#26376;&#39033;&#30446;&#24037;&#26102;&#32479;&#35745;&#34920;&#65288;PMO_to&#21016;&#37995;&#65289;-&#39033;&#30446;_&#21016;&#2510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D:\&#21016;&#37995;&#24037;&#20316;\01-&#24037;&#26102;&#32479;&#35745;\2025\202506\01-2025&#24180;03&#26376;&#39033;&#30446;&#24037;&#26102;&#32479;&#35745;&#34920;&#65288;PMO%20to&#21016;&#37995;&#65289;.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D:\&#21016;&#37995;&#24037;&#20316;\01-&#24037;&#26102;&#32479;&#35745;\2025\202506\&#39033;&#30446;&#24037;&#26102;\01-2025&#24180;06&#26376;&#39033;&#30446;&#24037;&#26102;&#32479;&#35745;&#34920;&#65288;PMO_to&#21016;&#37995;&#65289;-SIA&#26576;&#26080;&#20154;&#26426;&#35774;&#35745;-2_-&#22799;&#26032;&#37995;&#25253;0704.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D:\&#21016;&#37995;&#24037;&#20316;\01-&#24037;&#26102;&#32479;&#35745;\2025\202506\&#39033;&#30446;&#24037;&#26102;\01-2025&#24180;06&#26376;&#39033;&#30446;&#24037;&#26102;&#32479;&#35745;&#34920;&#65288;PMO_to&#21016;&#37995;&#65289;-C929-&#22799;&#26032;&#37995;&#25253;-0704.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D:\&#21016;&#37995;&#24037;&#20316;\01-&#24037;&#26102;&#32479;&#35745;\2025\202506\&#39033;&#30446;&#24037;&#26102;\01-2025&#24180;4&#26376;&#39033;&#30446;&#24037;&#26102;&#32479;&#35745;&#34920;&#65288;PMO_to&#21016;&#37995;&#65289;-&#37325;&#28857;&#20219;&#21153;-&#35838;&#39064;&amp;&#25915;&#20851;-&#32852;&#32476;&#24037;&#31243;&#23460;&#35098;&#27704;&#37995;_&#29275;&#24314;&#24196;_&#26519;&#26976;.xlsx"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21016;&#37995;&#24037;&#20316;\01-&#24037;&#26102;&#32479;&#35745;\2025\202506\&#39033;&#30446;&#24037;&#26102;\01-2025&#24180;6&#26376;&#39033;&#30446;&#24037;&#26102;&#32479;&#35745;&#34920;&#65288;PMO_to&#21016;&#37995;&#65289;-&#37325;&#28857;&#20219;&#21153;-&#35838;&#39064;&amp;&#25915;&#20851;-&#32852;&#32476;&#24037;&#31243;&#23460;&#29579;&#19990;&#28165;_&#35098;&#27704;&#37995;.xlsx"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21016;&#37995;&#24037;&#20316;\01-&#24037;&#26102;&#32479;&#35745;\2025\202506\&#39033;&#30446;&#24037;&#26102;\01-2025&#24180;06&#26376;&#39033;&#30446;&#24037;&#26102;&#32479;&#35745;&#34920;&#65288;PMO_to&#21016;&#37995;&#65289;_&#31185;&#30740;&#35838;&#39064;&#25915;&#2085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ow r="1">
          <cell r="B1" t="str">
            <v>姓名</v>
          </cell>
          <cell r="C1" t="str">
            <v>胸卡号</v>
          </cell>
          <cell r="D1" t="str">
            <v>专业室</v>
          </cell>
        </row>
        <row r="2">
          <cell r="B2" t="str">
            <v>刘杰</v>
          </cell>
          <cell r="C2">
            <v>17242</v>
          </cell>
          <cell r="D2" t="str">
            <v>办公室</v>
          </cell>
        </row>
        <row r="3">
          <cell r="B3" t="str">
            <v>陶金库</v>
          </cell>
          <cell r="C3">
            <v>50508</v>
          </cell>
          <cell r="D3" t="str">
            <v>办公室</v>
          </cell>
        </row>
        <row r="4">
          <cell r="B4" t="str">
            <v>宋凯（总体）</v>
          </cell>
          <cell r="C4">
            <v>22260</v>
          </cell>
          <cell r="D4" t="str">
            <v>总体室</v>
          </cell>
        </row>
        <row r="5">
          <cell r="B5" t="str">
            <v>张继斌</v>
          </cell>
          <cell r="C5">
            <v>17243</v>
          </cell>
          <cell r="D5" t="str">
            <v>总体室</v>
          </cell>
        </row>
        <row r="6">
          <cell r="B6" t="str">
            <v>赵婷</v>
          </cell>
          <cell r="C6">
            <v>50702</v>
          </cell>
          <cell r="D6" t="str">
            <v>总体室</v>
          </cell>
        </row>
        <row r="7">
          <cell r="B7" t="str">
            <v>刘聪</v>
          </cell>
          <cell r="C7">
            <v>52018</v>
          </cell>
          <cell r="D7" t="str">
            <v>总体室</v>
          </cell>
        </row>
        <row r="8">
          <cell r="B8" t="str">
            <v>刘全</v>
          </cell>
          <cell r="C8">
            <v>50874</v>
          </cell>
          <cell r="D8" t="str">
            <v>总体室</v>
          </cell>
        </row>
        <row r="9">
          <cell r="B9" t="str">
            <v>王猛</v>
          </cell>
          <cell r="C9">
            <v>23481</v>
          </cell>
          <cell r="D9" t="str">
            <v>总体室</v>
          </cell>
        </row>
        <row r="10">
          <cell r="B10" t="str">
            <v>秦超</v>
          </cell>
          <cell r="C10">
            <v>51591</v>
          </cell>
          <cell r="D10" t="str">
            <v>总体室</v>
          </cell>
        </row>
        <row r="11">
          <cell r="B11" t="str">
            <v>尤宏良</v>
          </cell>
          <cell r="C11">
            <v>18550</v>
          </cell>
          <cell r="D11" t="str">
            <v>总体室</v>
          </cell>
        </row>
        <row r="12">
          <cell r="B12" t="str">
            <v>晨曦</v>
          </cell>
          <cell r="C12">
            <v>50030</v>
          </cell>
          <cell r="D12" t="str">
            <v>总体室</v>
          </cell>
        </row>
        <row r="13">
          <cell r="B13" t="str">
            <v>章亮</v>
          </cell>
          <cell r="C13">
            <v>50028</v>
          </cell>
          <cell r="D13" t="str">
            <v>总体室</v>
          </cell>
        </row>
        <row r="14">
          <cell r="B14" t="str">
            <v>任璐璐</v>
          </cell>
          <cell r="C14">
            <v>50032</v>
          </cell>
          <cell r="D14" t="str">
            <v>总体室</v>
          </cell>
        </row>
        <row r="15">
          <cell r="B15" t="str">
            <v>赵长辉</v>
          </cell>
          <cell r="C15">
            <v>17725</v>
          </cell>
          <cell r="D15" t="str">
            <v>总体室</v>
          </cell>
        </row>
        <row r="16">
          <cell r="B16" t="str">
            <v>吴静轩</v>
          </cell>
          <cell r="C16">
            <v>51946</v>
          </cell>
          <cell r="D16" t="str">
            <v>总体室</v>
          </cell>
        </row>
        <row r="17">
          <cell r="B17" t="str">
            <v>刘成</v>
          </cell>
          <cell r="C17">
            <v>51860</v>
          </cell>
          <cell r="D17" t="str">
            <v>总体室</v>
          </cell>
        </row>
        <row r="18">
          <cell r="B18" t="str">
            <v>刘洋</v>
          </cell>
          <cell r="C18">
            <v>50709</v>
          </cell>
          <cell r="D18" t="str">
            <v>系统室</v>
          </cell>
        </row>
        <row r="19">
          <cell r="B19" t="str">
            <v>魏春生</v>
          </cell>
          <cell r="C19">
            <v>51389</v>
          </cell>
          <cell r="D19" t="str">
            <v>系统室</v>
          </cell>
        </row>
        <row r="20">
          <cell r="B20" t="str">
            <v>刘媛媛</v>
          </cell>
          <cell r="C20">
            <v>51385</v>
          </cell>
          <cell r="D20" t="str">
            <v>系统室</v>
          </cell>
        </row>
        <row r="21">
          <cell r="B21" t="str">
            <v>骆美玲</v>
          </cell>
          <cell r="C21">
            <v>50713</v>
          </cell>
          <cell r="D21" t="str">
            <v>系统室</v>
          </cell>
        </row>
        <row r="22">
          <cell r="B22" t="str">
            <v>刘超</v>
          </cell>
          <cell r="C22">
            <v>51430</v>
          </cell>
          <cell r="D22" t="str">
            <v>系统室</v>
          </cell>
        </row>
        <row r="23">
          <cell r="B23" t="str">
            <v>任斌</v>
          </cell>
          <cell r="C23">
            <v>51517</v>
          </cell>
          <cell r="D23" t="str">
            <v>系统室</v>
          </cell>
        </row>
        <row r="24">
          <cell r="B24" t="str">
            <v>吴晓莉</v>
          </cell>
          <cell r="C24">
            <v>50872</v>
          </cell>
          <cell r="D24" t="str">
            <v>系统室</v>
          </cell>
        </row>
        <row r="25">
          <cell r="B25" t="str">
            <v>宋凯</v>
          </cell>
          <cell r="C25">
            <v>51951</v>
          </cell>
          <cell r="D25" t="str">
            <v>系统室</v>
          </cell>
        </row>
        <row r="26">
          <cell r="B26" t="str">
            <v>万方</v>
          </cell>
          <cell r="C26">
            <v>51387</v>
          </cell>
          <cell r="D26" t="str">
            <v>系统室</v>
          </cell>
        </row>
        <row r="27">
          <cell r="B27" t="str">
            <v>李妍</v>
          </cell>
          <cell r="C27">
            <v>51435</v>
          </cell>
          <cell r="D27" t="str">
            <v>系统室</v>
          </cell>
        </row>
        <row r="28">
          <cell r="B28" t="str">
            <v>刘凯男</v>
          </cell>
          <cell r="C28">
            <v>52156</v>
          </cell>
          <cell r="D28" t="str">
            <v>系统室</v>
          </cell>
        </row>
        <row r="29">
          <cell r="B29" t="str">
            <v>任傲</v>
          </cell>
          <cell r="C29">
            <v>52166</v>
          </cell>
          <cell r="D29" t="str">
            <v>系统室</v>
          </cell>
        </row>
        <row r="30">
          <cell r="B30" t="str">
            <v>刘旭</v>
          </cell>
          <cell r="C30">
            <v>22296</v>
          </cell>
          <cell r="D30" t="str">
            <v>强度室</v>
          </cell>
        </row>
        <row r="31">
          <cell r="B31" t="str">
            <v>吕国成</v>
          </cell>
          <cell r="C31">
            <v>51188</v>
          </cell>
          <cell r="D31" t="str">
            <v>强度室</v>
          </cell>
        </row>
        <row r="32">
          <cell r="B32" t="str">
            <v>许美娟</v>
          </cell>
          <cell r="C32">
            <v>51194</v>
          </cell>
          <cell r="D32" t="str">
            <v>强度室</v>
          </cell>
        </row>
        <row r="33">
          <cell r="B33" t="str">
            <v>何续斌</v>
          </cell>
          <cell r="C33">
            <v>50871</v>
          </cell>
          <cell r="D33" t="str">
            <v>强度室</v>
          </cell>
        </row>
        <row r="34">
          <cell r="B34" t="str">
            <v>孔婷婷</v>
          </cell>
          <cell r="C34">
            <v>23525</v>
          </cell>
          <cell r="D34" t="str">
            <v>强度室</v>
          </cell>
        </row>
        <row r="35">
          <cell r="B35" t="str">
            <v>徐君升</v>
          </cell>
          <cell r="C35">
            <v>50716</v>
          </cell>
          <cell r="D35" t="str">
            <v>强度室</v>
          </cell>
        </row>
        <row r="36">
          <cell r="B36" t="str">
            <v>靳海丰</v>
          </cell>
          <cell r="C36">
            <v>51158</v>
          </cell>
          <cell r="D36" t="str">
            <v>强度室</v>
          </cell>
        </row>
        <row r="37">
          <cell r="B37" t="str">
            <v>王呈呈</v>
          </cell>
          <cell r="C37">
            <v>51196</v>
          </cell>
          <cell r="D37" t="str">
            <v>强度室</v>
          </cell>
        </row>
        <row r="38">
          <cell r="B38" t="str">
            <v>王岩</v>
          </cell>
          <cell r="C38">
            <v>51175</v>
          </cell>
          <cell r="D38" t="str">
            <v>强度室</v>
          </cell>
        </row>
        <row r="39">
          <cell r="B39" t="str">
            <v>张文静</v>
          </cell>
          <cell r="C39">
            <v>22259</v>
          </cell>
          <cell r="D39" t="str">
            <v>强度室</v>
          </cell>
        </row>
        <row r="40">
          <cell r="B40" t="str">
            <v>郑石</v>
          </cell>
          <cell r="C40">
            <v>26766</v>
          </cell>
          <cell r="D40" t="str">
            <v>强度室</v>
          </cell>
        </row>
        <row r="41">
          <cell r="B41" t="str">
            <v>陈瑞东</v>
          </cell>
          <cell r="C41">
            <v>51181</v>
          </cell>
          <cell r="D41" t="str">
            <v>强度室</v>
          </cell>
        </row>
        <row r="42">
          <cell r="B42" t="str">
            <v>王伟俊</v>
          </cell>
          <cell r="C42">
            <v>51945</v>
          </cell>
          <cell r="D42" t="str">
            <v>强度室</v>
          </cell>
        </row>
        <row r="43">
          <cell r="B43" t="str">
            <v>刘可佳</v>
          </cell>
          <cell r="C43">
            <v>51793</v>
          </cell>
          <cell r="D43" t="str">
            <v>强度室</v>
          </cell>
        </row>
        <row r="44">
          <cell r="B44" t="str">
            <v>纪可</v>
          </cell>
          <cell r="C44">
            <v>26689</v>
          </cell>
          <cell r="D44" t="str">
            <v>强度室</v>
          </cell>
        </row>
        <row r="45">
          <cell r="B45" t="str">
            <v>孟维宇</v>
          </cell>
          <cell r="C45">
            <v>50722</v>
          </cell>
          <cell r="D45" t="str">
            <v>强度室</v>
          </cell>
        </row>
        <row r="46">
          <cell r="B46" t="str">
            <v>支晗</v>
          </cell>
          <cell r="C46">
            <v>51589</v>
          </cell>
          <cell r="D46" t="str">
            <v>强度室</v>
          </cell>
        </row>
        <row r="47">
          <cell r="B47" t="str">
            <v>刘曦</v>
          </cell>
          <cell r="C47">
            <v>52130</v>
          </cell>
          <cell r="D47" t="str">
            <v>强度室</v>
          </cell>
        </row>
        <row r="48">
          <cell r="B48" t="str">
            <v>何苗苗</v>
          </cell>
          <cell r="C48">
            <v>51174</v>
          </cell>
          <cell r="D48" t="str">
            <v>强度室</v>
          </cell>
        </row>
        <row r="49">
          <cell r="B49" t="str">
            <v>赵永利</v>
          </cell>
          <cell r="C49">
            <v>28161</v>
          </cell>
          <cell r="D49" t="str">
            <v>强度室</v>
          </cell>
        </row>
        <row r="50">
          <cell r="B50" t="str">
            <v>焦凯</v>
          </cell>
          <cell r="C50">
            <v>52342</v>
          </cell>
          <cell r="D50" t="str">
            <v>强度室</v>
          </cell>
        </row>
        <row r="51">
          <cell r="B51" t="str">
            <v>黄文超</v>
          </cell>
          <cell r="C51">
            <v>51200</v>
          </cell>
          <cell r="D51" t="str">
            <v>强度室</v>
          </cell>
        </row>
        <row r="52">
          <cell r="B52" t="str">
            <v>李爱环</v>
          </cell>
          <cell r="C52">
            <v>50726</v>
          </cell>
          <cell r="D52" t="str">
            <v>强度室</v>
          </cell>
        </row>
        <row r="53">
          <cell r="B53" t="str">
            <v>李忠霖</v>
          </cell>
          <cell r="C53">
            <v>23524</v>
          </cell>
          <cell r="D53" t="str">
            <v>强度室</v>
          </cell>
        </row>
        <row r="54">
          <cell r="B54" t="str">
            <v>朱照泽</v>
          </cell>
          <cell r="C54">
            <v>51763</v>
          </cell>
          <cell r="D54" t="str">
            <v>强度室</v>
          </cell>
        </row>
        <row r="55">
          <cell r="B55" t="str">
            <v>柴宝</v>
          </cell>
          <cell r="C55">
            <v>51944</v>
          </cell>
          <cell r="D55" t="str">
            <v>强度室</v>
          </cell>
        </row>
        <row r="56">
          <cell r="B56" t="str">
            <v>闫洪乐</v>
          </cell>
          <cell r="C56">
            <v>52347</v>
          </cell>
          <cell r="D56" t="str">
            <v>强度室</v>
          </cell>
        </row>
        <row r="57">
          <cell r="B57" t="str">
            <v>马雪菲</v>
          </cell>
          <cell r="C57">
            <v>52560</v>
          </cell>
          <cell r="D57" t="str">
            <v>强度室</v>
          </cell>
        </row>
        <row r="58">
          <cell r="B58" t="str">
            <v>赵鹤群</v>
          </cell>
          <cell r="C58">
            <v>52561</v>
          </cell>
          <cell r="D58" t="str">
            <v>强度室</v>
          </cell>
        </row>
        <row r="59">
          <cell r="B59" t="str">
            <v>陈诗春</v>
          </cell>
          <cell r="C59">
            <v>52153</v>
          </cell>
          <cell r="D59" t="str">
            <v>强度室</v>
          </cell>
        </row>
        <row r="60">
          <cell r="B60" t="str">
            <v>乔志斌</v>
          </cell>
          <cell r="C60">
            <v>53422</v>
          </cell>
          <cell r="D60" t="str">
            <v>强度室</v>
          </cell>
        </row>
        <row r="61">
          <cell r="B61" t="str">
            <v>祝堃</v>
          </cell>
          <cell r="C61">
            <v>52256</v>
          </cell>
          <cell r="D61" t="str">
            <v>强度室</v>
          </cell>
        </row>
        <row r="62">
          <cell r="B62" t="str">
            <v>毛磊凯</v>
          </cell>
          <cell r="C62">
            <v>51184</v>
          </cell>
          <cell r="D62" t="str">
            <v>结构一室</v>
          </cell>
        </row>
        <row r="63">
          <cell r="B63" t="str">
            <v>张智浩</v>
          </cell>
          <cell r="C63">
            <v>52063</v>
          </cell>
          <cell r="D63" t="str">
            <v>结构一室</v>
          </cell>
        </row>
        <row r="64">
          <cell r="B64" t="str">
            <v>张熙尧</v>
          </cell>
          <cell r="C64">
            <v>52017</v>
          </cell>
          <cell r="D64" t="str">
            <v>结构一室</v>
          </cell>
        </row>
        <row r="65">
          <cell r="B65" t="str">
            <v>丛家勇</v>
          </cell>
          <cell r="C65">
            <v>50281</v>
          </cell>
          <cell r="D65" t="str">
            <v>结构一室</v>
          </cell>
        </row>
        <row r="66">
          <cell r="B66" t="str">
            <v>王健</v>
          </cell>
          <cell r="C66">
            <v>51784</v>
          </cell>
          <cell r="D66" t="str">
            <v>结构一室</v>
          </cell>
        </row>
        <row r="67">
          <cell r="B67" t="str">
            <v>张秀丽</v>
          </cell>
          <cell r="C67">
            <v>51165</v>
          </cell>
          <cell r="D67" t="str">
            <v>结构一室</v>
          </cell>
        </row>
        <row r="68">
          <cell r="B68" t="str">
            <v>李金鹰</v>
          </cell>
          <cell r="C68">
            <v>51227</v>
          </cell>
          <cell r="D68" t="str">
            <v>结构一室</v>
          </cell>
        </row>
        <row r="69">
          <cell r="B69" t="str">
            <v>沈天齐</v>
          </cell>
          <cell r="C69">
            <v>52016</v>
          </cell>
          <cell r="D69" t="str">
            <v>结构一室</v>
          </cell>
        </row>
        <row r="70">
          <cell r="B70" t="str">
            <v>付容容</v>
          </cell>
          <cell r="C70">
            <v>51183</v>
          </cell>
          <cell r="D70" t="str">
            <v>结构一室</v>
          </cell>
        </row>
        <row r="71">
          <cell r="B71" t="str">
            <v>陈磊</v>
          </cell>
          <cell r="C71">
            <v>52180</v>
          </cell>
          <cell r="D71" t="str">
            <v>结构一室</v>
          </cell>
        </row>
        <row r="72">
          <cell r="B72" t="str">
            <v>马岩</v>
          </cell>
          <cell r="C72">
            <v>50730</v>
          </cell>
          <cell r="D72" t="str">
            <v>结构一室</v>
          </cell>
        </row>
        <row r="73">
          <cell r="B73" t="str">
            <v>郭晓庆</v>
          </cell>
          <cell r="C73">
            <v>50275</v>
          </cell>
          <cell r="D73" t="str">
            <v>结构一室</v>
          </cell>
        </row>
        <row r="74">
          <cell r="B74" t="str">
            <v>于磊</v>
          </cell>
          <cell r="C74">
            <v>51400</v>
          </cell>
          <cell r="D74" t="str">
            <v>结构一室</v>
          </cell>
        </row>
        <row r="75">
          <cell r="B75" t="str">
            <v>杨炎通</v>
          </cell>
          <cell r="C75">
            <v>51955</v>
          </cell>
          <cell r="D75" t="str">
            <v>结构一室</v>
          </cell>
        </row>
        <row r="76">
          <cell r="B76" t="str">
            <v>栾鹏</v>
          </cell>
          <cell r="C76">
            <v>51781</v>
          </cell>
          <cell r="D76" t="str">
            <v>结构一室</v>
          </cell>
        </row>
        <row r="77">
          <cell r="B77" t="str">
            <v>塔拉</v>
          </cell>
          <cell r="C77">
            <v>25548</v>
          </cell>
          <cell r="D77" t="str">
            <v>结构一室</v>
          </cell>
        </row>
        <row r="78">
          <cell r="B78" t="str">
            <v>魏士礼</v>
          </cell>
          <cell r="C78">
            <v>22294</v>
          </cell>
          <cell r="D78" t="str">
            <v>结构一室</v>
          </cell>
        </row>
        <row r="79">
          <cell r="B79" t="str">
            <v>葛春生</v>
          </cell>
          <cell r="C79">
            <v>51410</v>
          </cell>
          <cell r="D79" t="str">
            <v>结构一室</v>
          </cell>
        </row>
        <row r="80">
          <cell r="B80" t="str">
            <v>董晓莉</v>
          </cell>
          <cell r="C80">
            <v>51211</v>
          </cell>
          <cell r="D80" t="str">
            <v>结构一室</v>
          </cell>
        </row>
        <row r="81">
          <cell r="B81" t="str">
            <v>李守玺</v>
          </cell>
          <cell r="C81">
            <v>25763</v>
          </cell>
          <cell r="D81" t="str">
            <v>结构一室</v>
          </cell>
        </row>
        <row r="82">
          <cell r="B82" t="str">
            <v>杨春</v>
          </cell>
          <cell r="C82">
            <v>51624</v>
          </cell>
          <cell r="D82" t="str">
            <v>结构一室</v>
          </cell>
        </row>
        <row r="83">
          <cell r="B83" t="str">
            <v>马壮</v>
          </cell>
          <cell r="C83">
            <v>51640</v>
          </cell>
          <cell r="D83" t="str">
            <v>结构一室</v>
          </cell>
        </row>
        <row r="84">
          <cell r="B84" t="str">
            <v>康志明</v>
          </cell>
          <cell r="C84">
            <v>25765</v>
          </cell>
          <cell r="D84" t="str">
            <v>结构一室</v>
          </cell>
        </row>
        <row r="85">
          <cell r="B85" t="str">
            <v>王哲</v>
          </cell>
          <cell r="C85">
            <v>25071</v>
          </cell>
          <cell r="D85" t="str">
            <v>结构一室</v>
          </cell>
        </row>
        <row r="86">
          <cell r="B86" t="str">
            <v>孟祥瑞</v>
          </cell>
          <cell r="C86">
            <v>51615</v>
          </cell>
          <cell r="D86" t="str">
            <v>结构一室</v>
          </cell>
        </row>
        <row r="87">
          <cell r="B87" t="str">
            <v>周弘扬</v>
          </cell>
          <cell r="C87">
            <v>52124</v>
          </cell>
          <cell r="D87" t="str">
            <v>结构一室</v>
          </cell>
        </row>
        <row r="88">
          <cell r="B88" t="str">
            <v>曲汝文</v>
          </cell>
          <cell r="C88">
            <v>52133</v>
          </cell>
          <cell r="D88" t="str">
            <v>结构一室</v>
          </cell>
        </row>
        <row r="89">
          <cell r="B89" t="str">
            <v>孙录</v>
          </cell>
          <cell r="C89">
            <v>52230</v>
          </cell>
          <cell r="D89" t="str">
            <v>结构一室</v>
          </cell>
        </row>
        <row r="90">
          <cell r="B90" t="str">
            <v>马佳</v>
          </cell>
          <cell r="C90">
            <v>52236</v>
          </cell>
          <cell r="D90" t="str">
            <v>结构一室</v>
          </cell>
        </row>
        <row r="91">
          <cell r="B91" t="str">
            <v>卢伟</v>
          </cell>
          <cell r="C91">
            <v>51844</v>
          </cell>
          <cell r="D91" t="str">
            <v>结构一室</v>
          </cell>
        </row>
        <row r="92">
          <cell r="B92" t="str">
            <v>周天一</v>
          </cell>
          <cell r="C92">
            <v>52345</v>
          </cell>
          <cell r="D92" t="str">
            <v>结构一室</v>
          </cell>
        </row>
        <row r="93">
          <cell r="B93" t="str">
            <v>崔建军</v>
          </cell>
          <cell r="C93">
            <v>51647</v>
          </cell>
          <cell r="D93" t="str">
            <v>结构一室</v>
          </cell>
        </row>
        <row r="94">
          <cell r="B94" t="str">
            <v>杨帆</v>
          </cell>
          <cell r="C94">
            <v>25078</v>
          </cell>
          <cell r="D94" t="str">
            <v>结构一室</v>
          </cell>
        </row>
        <row r="95">
          <cell r="B95" t="str">
            <v>王君元</v>
          </cell>
          <cell r="C95">
            <v>50735</v>
          </cell>
          <cell r="D95" t="str">
            <v>结构一室</v>
          </cell>
        </row>
        <row r="96">
          <cell r="B96" t="str">
            <v>刘磊</v>
          </cell>
          <cell r="C96">
            <v>23527</v>
          </cell>
          <cell r="D96" t="str">
            <v>结构二室</v>
          </cell>
        </row>
        <row r="97">
          <cell r="B97" t="str">
            <v>张成</v>
          </cell>
          <cell r="C97">
            <v>18548</v>
          </cell>
          <cell r="D97" t="str">
            <v>结构二室</v>
          </cell>
        </row>
        <row r="98">
          <cell r="B98" t="str">
            <v>张刚</v>
          </cell>
          <cell r="C98">
            <v>50278</v>
          </cell>
          <cell r="D98" t="str">
            <v>结构二室</v>
          </cell>
        </row>
        <row r="99">
          <cell r="B99" t="str">
            <v>牛福春</v>
          </cell>
          <cell r="C99">
            <v>50710</v>
          </cell>
          <cell r="D99" t="str">
            <v>结构二室</v>
          </cell>
        </row>
        <row r="100">
          <cell r="B100" t="str">
            <v>赵艳秦</v>
          </cell>
          <cell r="C100">
            <v>50022</v>
          </cell>
          <cell r="D100" t="str">
            <v>结构二室</v>
          </cell>
        </row>
        <row r="101">
          <cell r="B101" t="str">
            <v>罗贵骞</v>
          </cell>
          <cell r="C101">
            <v>51186</v>
          </cell>
          <cell r="D101" t="str">
            <v>结构二室</v>
          </cell>
        </row>
        <row r="102">
          <cell r="B102" t="str">
            <v>徐丹</v>
          </cell>
          <cell r="C102">
            <v>51407</v>
          </cell>
          <cell r="D102" t="str">
            <v>结构二室</v>
          </cell>
        </row>
        <row r="103">
          <cell r="B103" t="str">
            <v>孟玲俊</v>
          </cell>
          <cell r="C103">
            <v>22298</v>
          </cell>
          <cell r="D103" t="str">
            <v>结构二室</v>
          </cell>
        </row>
        <row r="104">
          <cell r="B104" t="str">
            <v>周莫普</v>
          </cell>
          <cell r="C104">
            <v>51397</v>
          </cell>
          <cell r="D104" t="str">
            <v>结构二室</v>
          </cell>
        </row>
        <row r="105">
          <cell r="B105" t="str">
            <v>孟力华</v>
          </cell>
          <cell r="C105">
            <v>51234</v>
          </cell>
          <cell r="D105" t="str">
            <v>结构二室</v>
          </cell>
        </row>
        <row r="106">
          <cell r="B106" t="str">
            <v>赵莉</v>
          </cell>
          <cell r="C106">
            <v>50065</v>
          </cell>
          <cell r="D106" t="str">
            <v>结构二室</v>
          </cell>
        </row>
        <row r="107">
          <cell r="B107" t="str">
            <v>李森</v>
          </cell>
          <cell r="C107">
            <v>17238</v>
          </cell>
          <cell r="D107" t="str">
            <v>结构二室</v>
          </cell>
        </row>
        <row r="108">
          <cell r="B108" t="str">
            <v>杜洪雨</v>
          </cell>
          <cell r="C108">
            <v>51170</v>
          </cell>
          <cell r="D108" t="str">
            <v>结构二室</v>
          </cell>
        </row>
        <row r="109">
          <cell r="B109" t="str">
            <v>刘金晶</v>
          </cell>
          <cell r="C109">
            <v>51641</v>
          </cell>
          <cell r="D109" t="str">
            <v>结构二室</v>
          </cell>
        </row>
        <row r="110">
          <cell r="B110" t="str">
            <v>陈杰</v>
          </cell>
          <cell r="C110">
            <v>25600</v>
          </cell>
          <cell r="D110" t="str">
            <v>结构二室</v>
          </cell>
        </row>
        <row r="111">
          <cell r="B111" t="str">
            <v>马爽</v>
          </cell>
          <cell r="C111">
            <v>51642</v>
          </cell>
          <cell r="D111" t="str">
            <v>结构二室</v>
          </cell>
        </row>
        <row r="112">
          <cell r="B112" t="str">
            <v>康霞</v>
          </cell>
          <cell r="C112">
            <v>52132</v>
          </cell>
          <cell r="D112" t="str">
            <v>结构二室</v>
          </cell>
        </row>
        <row r="113">
          <cell r="B113" t="str">
            <v>贾永亮</v>
          </cell>
          <cell r="C113">
            <v>52131</v>
          </cell>
          <cell r="D113" t="str">
            <v>结构二室</v>
          </cell>
        </row>
        <row r="114">
          <cell r="B114" t="str">
            <v>朱海</v>
          </cell>
          <cell r="C114">
            <v>52232</v>
          </cell>
          <cell r="D114" t="str">
            <v>结构二室</v>
          </cell>
        </row>
        <row r="115">
          <cell r="B115" t="str">
            <v>赵陈</v>
          </cell>
          <cell r="C115">
            <v>52123</v>
          </cell>
          <cell r="D115" t="str">
            <v>结构二室</v>
          </cell>
        </row>
        <row r="116">
          <cell r="B116" t="str">
            <v>郑配云</v>
          </cell>
          <cell r="C116">
            <v>52029</v>
          </cell>
          <cell r="D116" t="str">
            <v>结构二室</v>
          </cell>
        </row>
        <row r="117">
          <cell r="B117" t="str">
            <v>刘朕</v>
          </cell>
          <cell r="C117">
            <v>51190</v>
          </cell>
          <cell r="D117" t="str">
            <v>结构二室</v>
          </cell>
        </row>
        <row r="118">
          <cell r="B118" t="str">
            <v>王艺霖</v>
          </cell>
          <cell r="C118">
            <v>25762</v>
          </cell>
          <cell r="D118" t="str">
            <v>结构二室</v>
          </cell>
        </row>
        <row r="119">
          <cell r="B119" t="str">
            <v>王大昱</v>
          </cell>
          <cell r="C119">
            <v>51162</v>
          </cell>
          <cell r="D119" t="str">
            <v>工程项目室</v>
          </cell>
        </row>
        <row r="120">
          <cell r="B120" t="str">
            <v>庄浩</v>
          </cell>
          <cell r="C120">
            <v>51531</v>
          </cell>
          <cell r="D120" t="str">
            <v>工程项目室</v>
          </cell>
        </row>
        <row r="121">
          <cell r="B121" t="str">
            <v>石荣荣</v>
          </cell>
          <cell r="C121">
            <v>51166</v>
          </cell>
          <cell r="D121" t="str">
            <v>工程项目室</v>
          </cell>
        </row>
        <row r="122">
          <cell r="B122" t="str">
            <v>赵东阳</v>
          </cell>
          <cell r="C122">
            <v>51792</v>
          </cell>
          <cell r="D122" t="str">
            <v>工程项目室</v>
          </cell>
        </row>
        <row r="123">
          <cell r="B123" t="str">
            <v>夏新鑫</v>
          </cell>
          <cell r="C123">
            <v>50876</v>
          </cell>
          <cell r="D123" t="str">
            <v>工程项目室</v>
          </cell>
        </row>
        <row r="124">
          <cell r="B124" t="str">
            <v>徐丽娜</v>
          </cell>
          <cell r="C124">
            <v>50079</v>
          </cell>
          <cell r="D124" t="str">
            <v>工程项目室</v>
          </cell>
        </row>
        <row r="125">
          <cell r="B125" t="str">
            <v>刘岩东</v>
          </cell>
          <cell r="C125">
            <v>50245</v>
          </cell>
          <cell r="D125" t="str">
            <v>综合技术室</v>
          </cell>
        </row>
        <row r="126">
          <cell r="B126" t="str">
            <v>孙红军</v>
          </cell>
          <cell r="C126" t="str">
            <v>02501</v>
          </cell>
          <cell r="D126" t="str">
            <v>综合技术室</v>
          </cell>
        </row>
        <row r="127">
          <cell r="B127" t="str">
            <v>陈志禹</v>
          </cell>
          <cell r="C127">
            <v>17787</v>
          </cell>
          <cell r="D127" t="str">
            <v>综合技术室</v>
          </cell>
        </row>
        <row r="128">
          <cell r="B128" t="str">
            <v>王琛</v>
          </cell>
          <cell r="C128">
            <v>22291</v>
          </cell>
          <cell r="D128" t="str">
            <v>综合技术室</v>
          </cell>
        </row>
        <row r="129">
          <cell r="B129" t="str">
            <v>林树德</v>
          </cell>
          <cell r="C129">
            <v>51202</v>
          </cell>
          <cell r="D129" t="str">
            <v>综合技术室</v>
          </cell>
        </row>
        <row r="130">
          <cell r="B130" t="str">
            <v>王勇</v>
          </cell>
          <cell r="C130">
            <v>51226</v>
          </cell>
          <cell r="D130" t="str">
            <v>综合技术室</v>
          </cell>
        </row>
        <row r="131">
          <cell r="B131" t="str">
            <v>闫峰</v>
          </cell>
          <cell r="C131">
            <v>52027</v>
          </cell>
          <cell r="D131" t="str">
            <v>综合技术室</v>
          </cell>
        </row>
        <row r="132">
          <cell r="B132" t="str">
            <v>潘英</v>
          </cell>
          <cell r="C132">
            <v>50864</v>
          </cell>
          <cell r="D132" t="str">
            <v>综合技术室</v>
          </cell>
        </row>
        <row r="133">
          <cell r="B133" t="str">
            <v>杨琼</v>
          </cell>
          <cell r="C133">
            <v>26828</v>
          </cell>
          <cell r="D133" t="str">
            <v>综合技术室</v>
          </cell>
        </row>
        <row r="134">
          <cell r="B134" t="str">
            <v>宋建毅</v>
          </cell>
          <cell r="C134">
            <v>27100</v>
          </cell>
          <cell r="D134" t="str">
            <v>综合技术室</v>
          </cell>
        </row>
        <row r="135">
          <cell r="B135" t="str">
            <v>孙盘滔</v>
          </cell>
          <cell r="C135">
            <v>50686</v>
          </cell>
          <cell r="D135" t="str">
            <v>综合技术室</v>
          </cell>
        </row>
        <row r="136">
          <cell r="B136" t="str">
            <v>吕冬兰</v>
          </cell>
          <cell r="C136">
            <v>51160</v>
          </cell>
          <cell r="D136" t="str">
            <v>综合技术室</v>
          </cell>
        </row>
        <row r="137">
          <cell r="B137" t="str">
            <v>刘红双</v>
          </cell>
          <cell r="C137">
            <v>51151</v>
          </cell>
          <cell r="D137" t="str">
            <v>综合技术室</v>
          </cell>
        </row>
        <row r="138">
          <cell r="B138" t="str">
            <v>李其鹏</v>
          </cell>
          <cell r="C138">
            <v>51429</v>
          </cell>
          <cell r="D138" t="str">
            <v>综合技术室</v>
          </cell>
        </row>
        <row r="139">
          <cell r="B139" t="str">
            <v>耿璐璐</v>
          </cell>
          <cell r="C139">
            <v>51405</v>
          </cell>
          <cell r="D139" t="str">
            <v>综合技术室</v>
          </cell>
        </row>
        <row r="140">
          <cell r="B140" t="str">
            <v>韩南逍</v>
          </cell>
          <cell r="C140">
            <v>50029</v>
          </cell>
          <cell r="D140" t="str">
            <v>综合技术室</v>
          </cell>
        </row>
        <row r="141">
          <cell r="B141" t="str">
            <v>崔明慧</v>
          </cell>
          <cell r="C141">
            <v>14901</v>
          </cell>
          <cell r="D141" t="str">
            <v>联络工程室</v>
          </cell>
        </row>
        <row r="142">
          <cell r="B142" t="str">
            <v>杨会宁</v>
          </cell>
          <cell r="C142" t="str">
            <v>01728</v>
          </cell>
          <cell r="D142" t="str">
            <v>联络工程室</v>
          </cell>
        </row>
        <row r="143">
          <cell r="B143" t="str">
            <v>高奇</v>
          </cell>
          <cell r="C143">
            <v>17732</v>
          </cell>
          <cell r="D143" t="str">
            <v>联络工程室</v>
          </cell>
        </row>
        <row r="144">
          <cell r="B144" t="str">
            <v>姚庆丰</v>
          </cell>
          <cell r="C144">
            <v>18672</v>
          </cell>
          <cell r="D144" t="str">
            <v>联络工程室</v>
          </cell>
        </row>
        <row r="145">
          <cell r="B145" t="str">
            <v>李湘芝</v>
          </cell>
          <cell r="C145">
            <v>50019</v>
          </cell>
          <cell r="D145" t="str">
            <v>联络工程室</v>
          </cell>
        </row>
        <row r="146">
          <cell r="B146" t="str">
            <v>郭静</v>
          </cell>
          <cell r="C146">
            <v>50027</v>
          </cell>
          <cell r="D146" t="str">
            <v>联络工程室</v>
          </cell>
        </row>
        <row r="147">
          <cell r="B147" t="str">
            <v>梁枫</v>
          </cell>
          <cell r="C147">
            <v>50316</v>
          </cell>
          <cell r="D147" t="str">
            <v>联络工程室</v>
          </cell>
        </row>
        <row r="148">
          <cell r="B148" t="str">
            <v>赵海</v>
          </cell>
          <cell r="C148">
            <v>50323</v>
          </cell>
          <cell r="D148" t="str">
            <v>联络工程室</v>
          </cell>
        </row>
        <row r="149">
          <cell r="B149" t="str">
            <v>赵书凯</v>
          </cell>
          <cell r="C149">
            <v>50832</v>
          </cell>
          <cell r="D149" t="str">
            <v>联络工程室</v>
          </cell>
        </row>
        <row r="150">
          <cell r="B150" t="str">
            <v>刘志秀</v>
          </cell>
          <cell r="C150">
            <v>51395</v>
          </cell>
          <cell r="D150" t="str">
            <v>联络工程室</v>
          </cell>
        </row>
        <row r="151">
          <cell r="B151" t="str">
            <v>王连斌</v>
          </cell>
          <cell r="C151">
            <v>51396</v>
          </cell>
          <cell r="D151" t="str">
            <v>联络工程室</v>
          </cell>
        </row>
        <row r="152">
          <cell r="B152" t="str">
            <v>付泉铭</v>
          </cell>
          <cell r="C152">
            <v>51555</v>
          </cell>
          <cell r="D152" t="str">
            <v>联络工程室</v>
          </cell>
        </row>
        <row r="153">
          <cell r="B153" t="str">
            <v>霍东旭</v>
          </cell>
          <cell r="C153">
            <v>51941</v>
          </cell>
          <cell r="D153" t="str">
            <v>联络工程室</v>
          </cell>
        </row>
        <row r="154">
          <cell r="B154" t="str">
            <v>张一峤</v>
          </cell>
          <cell r="C154">
            <v>50853</v>
          </cell>
          <cell r="D154" t="str">
            <v>联络工程室</v>
          </cell>
        </row>
        <row r="155">
          <cell r="B155" t="str">
            <v>臧爱丽</v>
          </cell>
          <cell r="C155">
            <v>51428</v>
          </cell>
          <cell r="D155" t="str">
            <v>联络工程室</v>
          </cell>
        </row>
        <row r="156">
          <cell r="B156" t="str">
            <v>唐铭远</v>
          </cell>
          <cell r="C156">
            <v>52161</v>
          </cell>
          <cell r="D156" t="str">
            <v>联络工程室</v>
          </cell>
        </row>
        <row r="157">
          <cell r="B157" t="str">
            <v>王世清</v>
          </cell>
          <cell r="C157">
            <v>50317</v>
          </cell>
          <cell r="D157" t="str">
            <v>联络工程室</v>
          </cell>
        </row>
        <row r="158">
          <cell r="B158" t="str">
            <v>马艺丹</v>
          </cell>
          <cell r="C158">
            <v>51665</v>
          </cell>
          <cell r="D158" t="str">
            <v>联络工程室</v>
          </cell>
        </row>
        <row r="159">
          <cell r="B159" t="str">
            <v>杨珺涵</v>
          </cell>
          <cell r="C159">
            <v>51570</v>
          </cell>
          <cell r="D159" t="str">
            <v>联络工程室</v>
          </cell>
        </row>
        <row r="160">
          <cell r="B160" t="str">
            <v>陈坤</v>
          </cell>
          <cell r="C160">
            <v>51576</v>
          </cell>
          <cell r="D160" t="str">
            <v>联络工程室</v>
          </cell>
        </row>
        <row r="161">
          <cell r="B161" t="str">
            <v>韦杰琼</v>
          </cell>
          <cell r="C161">
            <v>25599</v>
          </cell>
          <cell r="D161" t="str">
            <v>联络工程室</v>
          </cell>
        </row>
        <row r="162">
          <cell r="B162" t="str">
            <v>张曾霞</v>
          </cell>
          <cell r="C162">
            <v>27680</v>
          </cell>
          <cell r="D162" t="str">
            <v>联络工程室</v>
          </cell>
        </row>
        <row r="163">
          <cell r="B163" t="str">
            <v>付强</v>
          </cell>
          <cell r="C163">
            <v>25549</v>
          </cell>
          <cell r="D163" t="str">
            <v>联络工程室</v>
          </cell>
        </row>
        <row r="164">
          <cell r="B164" t="str">
            <v>王超</v>
          </cell>
          <cell r="C164">
            <v>26621</v>
          </cell>
          <cell r="D164" t="str">
            <v>联络工程室</v>
          </cell>
        </row>
        <row r="165">
          <cell r="B165" t="str">
            <v>王川</v>
          </cell>
          <cell r="C165">
            <v>22250</v>
          </cell>
          <cell r="D165" t="str">
            <v>联络工程室</v>
          </cell>
        </row>
        <row r="166">
          <cell r="B166" t="str">
            <v>褚永鑫</v>
          </cell>
          <cell r="C166">
            <v>22253</v>
          </cell>
          <cell r="D166" t="str">
            <v>联络工程室</v>
          </cell>
        </row>
        <row r="167">
          <cell r="B167" t="str">
            <v>高秉芳</v>
          </cell>
          <cell r="C167">
            <v>26688</v>
          </cell>
          <cell r="D167" t="str">
            <v>联络工程室</v>
          </cell>
        </row>
        <row r="168">
          <cell r="B168" t="str">
            <v>王立庆</v>
          </cell>
          <cell r="C168">
            <v>27106</v>
          </cell>
          <cell r="D168" t="str">
            <v>联络工程室</v>
          </cell>
        </row>
        <row r="169">
          <cell r="B169" t="str">
            <v>林楠</v>
          </cell>
          <cell r="C169">
            <v>25603</v>
          </cell>
          <cell r="D169" t="str">
            <v>联络工程室</v>
          </cell>
        </row>
        <row r="170">
          <cell r="B170" t="str">
            <v>牛建庄</v>
          </cell>
          <cell r="C170">
            <v>17090</v>
          </cell>
          <cell r="D170" t="str">
            <v>联络工程室</v>
          </cell>
        </row>
        <row r="171">
          <cell r="B171" t="str">
            <v>孙永光</v>
          </cell>
          <cell r="C171">
            <v>25601</v>
          </cell>
          <cell r="D171" t="str">
            <v>联络工程室</v>
          </cell>
        </row>
        <row r="172">
          <cell r="B172" t="str">
            <v>王瑞龙</v>
          </cell>
          <cell r="C172">
            <v>26654</v>
          </cell>
          <cell r="D172" t="str">
            <v>联络工程室</v>
          </cell>
        </row>
      </sheetData>
      <sheetData sheetId="1" refreshError="1"/>
      <sheetData sheetId="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9月项目工时"/>
    </sheetNames>
    <sheetDataSet>
      <sheetData sheetId="0"/>
      <sheetData sheetId="1"/>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sheetData sheetId="1"/>
      <sheetData sheetId="2"/>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sheetData sheetId="1"/>
      <sheetData sheetId="2"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sheetData sheetId="1"/>
      <sheetData sheetId="2"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sheetData sheetId="1"/>
      <sheetData sheetId="2"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9月项目工时"/>
    </sheetNames>
    <sheetDataSet>
      <sheetData sheetId="0"/>
      <sheetData sheetId="1"/>
      <sheetData sheetId="2"/>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sheetData sheetId="1"/>
      <sheetData sheetId="2"/>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sheetData sheetId="1"/>
      <sheetData sheetId="2"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sheetData sheetId="1"/>
      <sheetData sheetId="2"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sheetData sheetId="1"/>
      <sheetData sheetId="2"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sheetData sheetId="1"/>
      <sheetData sheetId="2"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9月项目工时"/>
    </sheetNames>
    <sheetDataSet>
      <sheetData sheetId="0"/>
      <sheetData sheetId="1"/>
      <sheetData sheetId="2"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8月项目工时"/>
    </sheetNames>
    <sheetDataSet>
      <sheetData sheetId="0"/>
      <sheetData sheetId="1"/>
      <sheetData sheetId="2"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9月项目工时"/>
    </sheetNames>
    <sheetDataSet>
      <sheetData sheetId="0" refreshError="1"/>
      <sheetData sheetId="1"/>
      <sheetData sheetId="2"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sheetData sheetId="1"/>
      <sheetData sheetId="2"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sheetData sheetId="1"/>
      <sheetData sheetId="2"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sheetData sheetId="1"/>
      <sheetData sheetId="2"/>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9月项目工时"/>
    </sheetNames>
    <sheetDataSet>
      <sheetData sheetId="0"/>
      <sheetData sheetId="1"/>
      <sheetData sheetId="2"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9月项目工时"/>
      <sheetName val="Sheet1"/>
    </sheetNames>
    <sheetDataSet>
      <sheetData sheetId="0" refreshError="1"/>
      <sheetData sheetId="1"/>
      <sheetData sheetId="2" refreshError="1"/>
      <sheetData sheetId="3"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8月项目工时"/>
    </sheetNames>
    <sheetDataSet>
      <sheetData sheetId="0"/>
      <sheetData sheetId="1"/>
      <sheetData sheetId="2"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sheetData sheetId="1"/>
      <sheetData sheetId="2"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sheetData sheetId="1"/>
      <sheetData sheetId="2"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sheetData sheetId="1"/>
      <sheetData sheetId="2"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X月项目工时"/>
    </sheetNames>
    <sheetDataSet>
      <sheetData sheetId="0"/>
      <sheetData sheetId="1"/>
      <sheetData sheetId="2"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sheetData sheetId="1"/>
      <sheetData sheetId="2"/>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9月项目工时"/>
    </sheetNames>
    <sheetDataSet>
      <sheetData sheetId="0"/>
      <sheetData sheetId="1"/>
      <sheetData sheetId="2"/>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9月项目工时"/>
    </sheetNames>
    <sheetDataSet>
      <sheetData sheetId="0" refreshError="1"/>
      <sheetData sheetId="1"/>
      <sheetData sheetId="2"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sheetData sheetId="1"/>
      <sheetData sheetId="2"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4月项目工时"/>
    </sheetNames>
    <sheetDataSet>
      <sheetData sheetId="0"/>
      <sheetData sheetId="1"/>
      <sheetData sheetId="2"/>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ow r="1">
          <cell r="B1" t="str">
            <v>姓名</v>
          </cell>
          <cell r="C1" t="str">
            <v>胸卡号</v>
          </cell>
          <cell r="D1" t="str">
            <v>专业室</v>
          </cell>
        </row>
        <row r="2">
          <cell r="B2" t="str">
            <v>刘杰</v>
          </cell>
          <cell r="C2">
            <v>17242</v>
          </cell>
          <cell r="D2" t="str">
            <v>办公室</v>
          </cell>
        </row>
        <row r="3">
          <cell r="B3" t="str">
            <v>陶金库</v>
          </cell>
          <cell r="C3">
            <v>50508</v>
          </cell>
          <cell r="D3" t="str">
            <v>办公室</v>
          </cell>
        </row>
        <row r="4">
          <cell r="B4" t="str">
            <v>宋凯（总体）</v>
          </cell>
          <cell r="C4">
            <v>22260</v>
          </cell>
          <cell r="D4" t="str">
            <v>总体室</v>
          </cell>
        </row>
        <row r="5">
          <cell r="B5" t="str">
            <v>张继斌</v>
          </cell>
          <cell r="C5">
            <v>17243</v>
          </cell>
          <cell r="D5" t="str">
            <v>总体室</v>
          </cell>
        </row>
        <row r="6">
          <cell r="B6" t="str">
            <v>赵婷</v>
          </cell>
          <cell r="C6">
            <v>50702</v>
          </cell>
          <cell r="D6" t="str">
            <v>总体室</v>
          </cell>
        </row>
        <row r="7">
          <cell r="B7" t="str">
            <v>刘聪</v>
          </cell>
          <cell r="C7">
            <v>52018</v>
          </cell>
          <cell r="D7" t="str">
            <v>总体室</v>
          </cell>
        </row>
        <row r="8">
          <cell r="B8" t="str">
            <v>刘全</v>
          </cell>
          <cell r="C8">
            <v>50874</v>
          </cell>
          <cell r="D8" t="str">
            <v>总体室</v>
          </cell>
        </row>
        <row r="9">
          <cell r="B9" t="str">
            <v>秦超</v>
          </cell>
          <cell r="C9">
            <v>51591</v>
          </cell>
          <cell r="D9" t="str">
            <v>总体室</v>
          </cell>
        </row>
        <row r="10">
          <cell r="B10" t="str">
            <v>尤宏良</v>
          </cell>
          <cell r="C10">
            <v>18550</v>
          </cell>
          <cell r="D10" t="str">
            <v>总体室</v>
          </cell>
        </row>
        <row r="11">
          <cell r="B11" t="str">
            <v>任璐璐</v>
          </cell>
          <cell r="C11">
            <v>50032</v>
          </cell>
          <cell r="D11" t="str">
            <v>总体室</v>
          </cell>
        </row>
        <row r="12">
          <cell r="B12" t="str">
            <v>赵长辉</v>
          </cell>
          <cell r="C12">
            <v>17725</v>
          </cell>
          <cell r="D12" t="str">
            <v>总体室</v>
          </cell>
        </row>
        <row r="13">
          <cell r="B13" t="str">
            <v>刘成</v>
          </cell>
          <cell r="C13">
            <v>51860</v>
          </cell>
          <cell r="D13" t="str">
            <v>总体室</v>
          </cell>
        </row>
        <row r="14">
          <cell r="B14" t="str">
            <v>刘洋</v>
          </cell>
          <cell r="C14">
            <v>50709</v>
          </cell>
          <cell r="D14" t="str">
            <v>系统室</v>
          </cell>
        </row>
        <row r="15">
          <cell r="B15" t="str">
            <v>魏春生</v>
          </cell>
          <cell r="C15">
            <v>51389</v>
          </cell>
          <cell r="D15" t="str">
            <v>系统室</v>
          </cell>
        </row>
        <row r="16">
          <cell r="B16" t="str">
            <v>刘媛媛</v>
          </cell>
          <cell r="C16">
            <v>51385</v>
          </cell>
          <cell r="D16" t="str">
            <v>系统室</v>
          </cell>
        </row>
        <row r="17">
          <cell r="B17" t="str">
            <v>骆美玲</v>
          </cell>
          <cell r="C17">
            <v>50713</v>
          </cell>
          <cell r="D17" t="str">
            <v>系统室</v>
          </cell>
        </row>
        <row r="18">
          <cell r="B18" t="str">
            <v>刘超</v>
          </cell>
          <cell r="C18">
            <v>51430</v>
          </cell>
          <cell r="D18" t="str">
            <v>系统室</v>
          </cell>
        </row>
        <row r="19">
          <cell r="B19" t="str">
            <v>任斌</v>
          </cell>
          <cell r="C19">
            <v>51517</v>
          </cell>
          <cell r="D19" t="str">
            <v>系统室</v>
          </cell>
        </row>
        <row r="20">
          <cell r="B20" t="str">
            <v>吴晓莉</v>
          </cell>
          <cell r="C20">
            <v>50872</v>
          </cell>
          <cell r="D20" t="str">
            <v>系统室</v>
          </cell>
        </row>
        <row r="21">
          <cell r="B21" t="str">
            <v>宋凯</v>
          </cell>
          <cell r="C21">
            <v>51951</v>
          </cell>
          <cell r="D21" t="str">
            <v>系统室</v>
          </cell>
        </row>
        <row r="22">
          <cell r="B22" t="str">
            <v>万方</v>
          </cell>
          <cell r="C22">
            <v>51387</v>
          </cell>
          <cell r="D22" t="str">
            <v>系统室</v>
          </cell>
        </row>
        <row r="23">
          <cell r="B23" t="str">
            <v>李妍</v>
          </cell>
          <cell r="C23">
            <v>51435</v>
          </cell>
          <cell r="D23" t="str">
            <v>系统室</v>
          </cell>
        </row>
        <row r="24">
          <cell r="B24" t="str">
            <v>刘凯男</v>
          </cell>
          <cell r="C24">
            <v>52156</v>
          </cell>
          <cell r="D24" t="str">
            <v>系统室</v>
          </cell>
        </row>
        <row r="25">
          <cell r="B25" t="str">
            <v>任傲</v>
          </cell>
          <cell r="C25">
            <v>52166</v>
          </cell>
          <cell r="D25" t="str">
            <v>系统室</v>
          </cell>
        </row>
        <row r="26">
          <cell r="B26" t="str">
            <v>刘旭</v>
          </cell>
          <cell r="C26">
            <v>22296</v>
          </cell>
          <cell r="D26" t="str">
            <v>强度室</v>
          </cell>
        </row>
        <row r="27">
          <cell r="B27" t="str">
            <v>吕国成</v>
          </cell>
          <cell r="C27">
            <v>51188</v>
          </cell>
          <cell r="D27" t="str">
            <v>强度室</v>
          </cell>
        </row>
        <row r="28">
          <cell r="B28" t="str">
            <v>许美娟</v>
          </cell>
          <cell r="C28">
            <v>51194</v>
          </cell>
          <cell r="D28" t="str">
            <v>强度室</v>
          </cell>
        </row>
        <row r="29">
          <cell r="B29" t="str">
            <v>何续斌</v>
          </cell>
          <cell r="C29">
            <v>50871</v>
          </cell>
          <cell r="D29" t="str">
            <v>强度室</v>
          </cell>
        </row>
        <row r="30">
          <cell r="B30" t="str">
            <v>孔婷婷</v>
          </cell>
          <cell r="C30">
            <v>23525</v>
          </cell>
          <cell r="D30" t="str">
            <v>强度室</v>
          </cell>
        </row>
        <row r="31">
          <cell r="B31" t="str">
            <v>徐君升</v>
          </cell>
          <cell r="C31">
            <v>50716</v>
          </cell>
          <cell r="D31" t="str">
            <v>强度室</v>
          </cell>
        </row>
        <row r="32">
          <cell r="B32" t="str">
            <v>靳海丰</v>
          </cell>
          <cell r="C32">
            <v>51158</v>
          </cell>
          <cell r="D32" t="str">
            <v>强度室</v>
          </cell>
        </row>
        <row r="33">
          <cell r="B33" t="str">
            <v>王呈呈</v>
          </cell>
          <cell r="C33">
            <v>51196</v>
          </cell>
          <cell r="D33" t="str">
            <v>强度室</v>
          </cell>
        </row>
        <row r="34">
          <cell r="B34" t="str">
            <v>王岩</v>
          </cell>
          <cell r="C34">
            <v>51175</v>
          </cell>
          <cell r="D34" t="str">
            <v>强度室</v>
          </cell>
        </row>
        <row r="35">
          <cell r="B35" t="str">
            <v>张文静</v>
          </cell>
          <cell r="C35">
            <v>22259</v>
          </cell>
          <cell r="D35" t="str">
            <v>强度室</v>
          </cell>
        </row>
        <row r="36">
          <cell r="B36" t="str">
            <v>郑石</v>
          </cell>
          <cell r="C36">
            <v>26766</v>
          </cell>
          <cell r="D36" t="str">
            <v>强度室</v>
          </cell>
        </row>
        <row r="37">
          <cell r="B37" t="str">
            <v>陈瑞东</v>
          </cell>
          <cell r="C37">
            <v>51181</v>
          </cell>
          <cell r="D37" t="str">
            <v>强度室</v>
          </cell>
        </row>
        <row r="38">
          <cell r="B38" t="str">
            <v>刘可佳</v>
          </cell>
          <cell r="C38">
            <v>51793</v>
          </cell>
          <cell r="D38" t="str">
            <v>强度室</v>
          </cell>
        </row>
        <row r="39">
          <cell r="B39" t="str">
            <v>纪可</v>
          </cell>
          <cell r="C39">
            <v>26689</v>
          </cell>
          <cell r="D39" t="str">
            <v>强度室</v>
          </cell>
        </row>
        <row r="40">
          <cell r="B40" t="str">
            <v>孟维宇</v>
          </cell>
          <cell r="C40">
            <v>50722</v>
          </cell>
          <cell r="D40" t="str">
            <v>强度室</v>
          </cell>
        </row>
        <row r="41">
          <cell r="B41" t="str">
            <v>支晗</v>
          </cell>
          <cell r="C41">
            <v>51589</v>
          </cell>
          <cell r="D41" t="str">
            <v>强度室</v>
          </cell>
        </row>
        <row r="42">
          <cell r="B42" t="str">
            <v>刘曦</v>
          </cell>
          <cell r="C42">
            <v>52130</v>
          </cell>
          <cell r="D42" t="str">
            <v>强度室</v>
          </cell>
        </row>
        <row r="43">
          <cell r="B43" t="str">
            <v>赵永利</v>
          </cell>
          <cell r="C43">
            <v>28161</v>
          </cell>
          <cell r="D43" t="str">
            <v>强度室</v>
          </cell>
        </row>
        <row r="44">
          <cell r="B44" t="str">
            <v>焦凯</v>
          </cell>
          <cell r="C44">
            <v>52342</v>
          </cell>
          <cell r="D44" t="str">
            <v>强度室</v>
          </cell>
        </row>
        <row r="45">
          <cell r="B45" t="str">
            <v>黄文超</v>
          </cell>
          <cell r="C45">
            <v>51200</v>
          </cell>
          <cell r="D45" t="str">
            <v>强度室</v>
          </cell>
        </row>
        <row r="46">
          <cell r="B46" t="str">
            <v>李爱环</v>
          </cell>
          <cell r="C46">
            <v>50726</v>
          </cell>
          <cell r="D46" t="str">
            <v>强度室</v>
          </cell>
        </row>
        <row r="47">
          <cell r="B47" t="str">
            <v>李忠霖</v>
          </cell>
          <cell r="C47">
            <v>23524</v>
          </cell>
          <cell r="D47" t="str">
            <v>强度室</v>
          </cell>
        </row>
        <row r="48">
          <cell r="B48" t="str">
            <v>朱照泽</v>
          </cell>
          <cell r="C48">
            <v>51763</v>
          </cell>
          <cell r="D48" t="str">
            <v>强度室</v>
          </cell>
        </row>
        <row r="49">
          <cell r="B49" t="str">
            <v>柴宝</v>
          </cell>
          <cell r="C49">
            <v>51944</v>
          </cell>
          <cell r="D49" t="str">
            <v>强度室</v>
          </cell>
        </row>
        <row r="50">
          <cell r="B50" t="str">
            <v>闫洪乐</v>
          </cell>
          <cell r="C50">
            <v>52347</v>
          </cell>
          <cell r="D50" t="str">
            <v>强度室</v>
          </cell>
        </row>
        <row r="51">
          <cell r="B51" t="str">
            <v>马雪菲</v>
          </cell>
          <cell r="C51">
            <v>52560</v>
          </cell>
          <cell r="D51" t="str">
            <v>强度室</v>
          </cell>
        </row>
        <row r="52">
          <cell r="B52" t="str">
            <v>陈诗春</v>
          </cell>
          <cell r="C52">
            <v>52153</v>
          </cell>
          <cell r="D52" t="str">
            <v>强度室</v>
          </cell>
        </row>
        <row r="53">
          <cell r="B53" t="str">
            <v>乔志斌</v>
          </cell>
          <cell r="C53">
            <v>53422</v>
          </cell>
          <cell r="D53" t="str">
            <v>强度室</v>
          </cell>
        </row>
        <row r="54">
          <cell r="B54" t="str">
            <v>祝堃</v>
          </cell>
          <cell r="C54">
            <v>52256</v>
          </cell>
          <cell r="D54" t="str">
            <v>强度室</v>
          </cell>
        </row>
        <row r="55">
          <cell r="B55" t="str">
            <v>晨曦</v>
          </cell>
          <cell r="C55">
            <v>50030</v>
          </cell>
          <cell r="D55" t="str">
            <v>强度室</v>
          </cell>
        </row>
        <row r="56">
          <cell r="B56" t="str">
            <v>李泽霖</v>
          </cell>
          <cell r="C56">
            <v>52569</v>
          </cell>
          <cell r="D56" t="str">
            <v>强度室</v>
          </cell>
        </row>
        <row r="57">
          <cell r="B57" t="str">
            <v>毛磊凯</v>
          </cell>
          <cell r="C57">
            <v>51184</v>
          </cell>
          <cell r="D57" t="str">
            <v>结构一室</v>
          </cell>
        </row>
        <row r="58">
          <cell r="B58" t="str">
            <v>张智浩</v>
          </cell>
          <cell r="C58">
            <v>52063</v>
          </cell>
          <cell r="D58" t="str">
            <v>结构一室</v>
          </cell>
        </row>
        <row r="59">
          <cell r="B59" t="str">
            <v>张熙尧</v>
          </cell>
          <cell r="C59">
            <v>52017</v>
          </cell>
          <cell r="D59" t="str">
            <v>结构一室</v>
          </cell>
        </row>
        <row r="60">
          <cell r="B60" t="str">
            <v>丛家勇</v>
          </cell>
          <cell r="C60">
            <v>50281</v>
          </cell>
          <cell r="D60" t="str">
            <v>结构一室</v>
          </cell>
        </row>
        <row r="61">
          <cell r="B61" t="str">
            <v>王健</v>
          </cell>
          <cell r="C61">
            <v>51784</v>
          </cell>
          <cell r="D61" t="str">
            <v>结构一室</v>
          </cell>
        </row>
        <row r="62">
          <cell r="B62" t="str">
            <v>张秀丽</v>
          </cell>
          <cell r="C62">
            <v>51165</v>
          </cell>
          <cell r="D62" t="str">
            <v>结构一室</v>
          </cell>
        </row>
        <row r="63">
          <cell r="B63" t="str">
            <v>李金鹰</v>
          </cell>
          <cell r="C63">
            <v>51227</v>
          </cell>
          <cell r="D63" t="str">
            <v>结构一室</v>
          </cell>
        </row>
        <row r="64">
          <cell r="B64" t="str">
            <v>付容容</v>
          </cell>
          <cell r="C64">
            <v>51183</v>
          </cell>
          <cell r="D64" t="str">
            <v>结构一室</v>
          </cell>
        </row>
        <row r="65">
          <cell r="B65" t="str">
            <v>陈磊</v>
          </cell>
          <cell r="C65">
            <v>52180</v>
          </cell>
          <cell r="D65" t="str">
            <v>结构一室</v>
          </cell>
        </row>
        <row r="66">
          <cell r="B66" t="str">
            <v>马岩</v>
          </cell>
          <cell r="C66">
            <v>50730</v>
          </cell>
          <cell r="D66" t="str">
            <v>结构一室</v>
          </cell>
        </row>
        <row r="67">
          <cell r="B67" t="str">
            <v>郭晓庆</v>
          </cell>
          <cell r="C67">
            <v>50275</v>
          </cell>
          <cell r="D67" t="str">
            <v>结构一室</v>
          </cell>
        </row>
        <row r="68">
          <cell r="B68" t="str">
            <v>于磊</v>
          </cell>
          <cell r="C68">
            <v>51400</v>
          </cell>
          <cell r="D68" t="str">
            <v>结构一室</v>
          </cell>
        </row>
        <row r="69">
          <cell r="B69" t="str">
            <v>杨炎通</v>
          </cell>
          <cell r="C69">
            <v>51955</v>
          </cell>
          <cell r="D69" t="str">
            <v>结构一室</v>
          </cell>
        </row>
        <row r="70">
          <cell r="B70" t="str">
            <v>栾鹏</v>
          </cell>
          <cell r="C70">
            <v>51781</v>
          </cell>
          <cell r="D70" t="str">
            <v>结构一室</v>
          </cell>
        </row>
        <row r="71">
          <cell r="B71" t="str">
            <v>塔拉</v>
          </cell>
          <cell r="C71">
            <v>25548</v>
          </cell>
          <cell r="D71" t="str">
            <v>结构一室</v>
          </cell>
        </row>
        <row r="72">
          <cell r="B72" t="str">
            <v>魏士礼</v>
          </cell>
          <cell r="C72">
            <v>22294</v>
          </cell>
          <cell r="D72" t="str">
            <v>结构一室</v>
          </cell>
        </row>
        <row r="73">
          <cell r="B73" t="str">
            <v>葛春生</v>
          </cell>
          <cell r="C73">
            <v>51410</v>
          </cell>
          <cell r="D73" t="str">
            <v>结构一室</v>
          </cell>
        </row>
        <row r="74">
          <cell r="B74" t="str">
            <v>董晓莉</v>
          </cell>
          <cell r="C74">
            <v>51211</v>
          </cell>
          <cell r="D74" t="str">
            <v>结构一室</v>
          </cell>
        </row>
        <row r="75">
          <cell r="B75" t="str">
            <v>李守玺</v>
          </cell>
          <cell r="C75">
            <v>25763</v>
          </cell>
          <cell r="D75" t="str">
            <v>结构一室</v>
          </cell>
        </row>
        <row r="76">
          <cell r="B76" t="str">
            <v>杨春</v>
          </cell>
          <cell r="C76">
            <v>51624</v>
          </cell>
          <cell r="D76" t="str">
            <v>结构一室</v>
          </cell>
        </row>
        <row r="77">
          <cell r="B77" t="str">
            <v>马壮</v>
          </cell>
          <cell r="C77">
            <v>51640</v>
          </cell>
          <cell r="D77" t="str">
            <v>结构一室</v>
          </cell>
        </row>
        <row r="78">
          <cell r="B78" t="str">
            <v>康志明</v>
          </cell>
          <cell r="C78">
            <v>25765</v>
          </cell>
          <cell r="D78" t="str">
            <v>结构一室</v>
          </cell>
        </row>
        <row r="79">
          <cell r="B79" t="str">
            <v>王哲</v>
          </cell>
          <cell r="C79">
            <v>25071</v>
          </cell>
          <cell r="D79" t="str">
            <v>结构一室</v>
          </cell>
        </row>
        <row r="80">
          <cell r="B80" t="str">
            <v>孟祥瑞</v>
          </cell>
          <cell r="C80">
            <v>51615</v>
          </cell>
          <cell r="D80" t="str">
            <v>结构一室</v>
          </cell>
        </row>
        <row r="81">
          <cell r="B81" t="str">
            <v>周弘扬</v>
          </cell>
          <cell r="C81">
            <v>52124</v>
          </cell>
          <cell r="D81" t="str">
            <v>结构一室</v>
          </cell>
        </row>
        <row r="82">
          <cell r="B82" t="str">
            <v>曲汝文</v>
          </cell>
          <cell r="C82">
            <v>52133</v>
          </cell>
          <cell r="D82" t="str">
            <v>结构一室</v>
          </cell>
        </row>
        <row r="83">
          <cell r="B83" t="str">
            <v>马佳</v>
          </cell>
          <cell r="C83">
            <v>52236</v>
          </cell>
          <cell r="D83" t="str">
            <v>结构一室</v>
          </cell>
        </row>
        <row r="84">
          <cell r="B84" t="str">
            <v>卢伟</v>
          </cell>
          <cell r="C84">
            <v>51844</v>
          </cell>
          <cell r="D84" t="str">
            <v>结构一室</v>
          </cell>
        </row>
        <row r="85">
          <cell r="B85" t="str">
            <v>周天一</v>
          </cell>
          <cell r="C85">
            <v>52345</v>
          </cell>
          <cell r="D85" t="str">
            <v>结构一室</v>
          </cell>
        </row>
        <row r="86">
          <cell r="B86" t="str">
            <v>崔建军</v>
          </cell>
          <cell r="C86">
            <v>51647</v>
          </cell>
          <cell r="D86" t="str">
            <v>结构一室</v>
          </cell>
        </row>
        <row r="87">
          <cell r="B87" t="str">
            <v>杨帆</v>
          </cell>
          <cell r="C87">
            <v>25078</v>
          </cell>
          <cell r="D87" t="str">
            <v>结构一室</v>
          </cell>
        </row>
        <row r="88">
          <cell r="B88" t="str">
            <v>王君元</v>
          </cell>
          <cell r="C88">
            <v>50735</v>
          </cell>
          <cell r="D88" t="str">
            <v>结构一室</v>
          </cell>
        </row>
        <row r="89">
          <cell r="B89" t="str">
            <v>费天行</v>
          </cell>
          <cell r="C89">
            <v>52570</v>
          </cell>
          <cell r="D89" t="str">
            <v>结构一室</v>
          </cell>
        </row>
        <row r="90">
          <cell r="B90" t="str">
            <v>徐楚桓</v>
          </cell>
          <cell r="C90">
            <v>52579</v>
          </cell>
          <cell r="D90" t="str">
            <v>结构一室</v>
          </cell>
        </row>
        <row r="91">
          <cell r="B91" t="str">
            <v>刘磊</v>
          </cell>
          <cell r="C91">
            <v>23527</v>
          </cell>
          <cell r="D91" t="str">
            <v>结构二室</v>
          </cell>
        </row>
        <row r="92">
          <cell r="B92" t="str">
            <v>张成</v>
          </cell>
          <cell r="C92">
            <v>18548</v>
          </cell>
          <cell r="D92" t="str">
            <v>结构二室</v>
          </cell>
        </row>
        <row r="93">
          <cell r="B93" t="str">
            <v>张刚</v>
          </cell>
          <cell r="C93">
            <v>50278</v>
          </cell>
          <cell r="D93" t="str">
            <v>结构二室</v>
          </cell>
        </row>
        <row r="94">
          <cell r="B94" t="str">
            <v>牛福春</v>
          </cell>
          <cell r="C94">
            <v>50710</v>
          </cell>
          <cell r="D94" t="str">
            <v>结构二室</v>
          </cell>
        </row>
        <row r="95">
          <cell r="B95" t="str">
            <v>赵艳秦</v>
          </cell>
          <cell r="C95">
            <v>50022</v>
          </cell>
          <cell r="D95" t="str">
            <v>结构二室</v>
          </cell>
        </row>
        <row r="96">
          <cell r="B96" t="str">
            <v>罗贵骞</v>
          </cell>
          <cell r="C96">
            <v>51186</v>
          </cell>
          <cell r="D96" t="str">
            <v>结构二室</v>
          </cell>
        </row>
        <row r="97">
          <cell r="B97" t="str">
            <v>徐丹</v>
          </cell>
          <cell r="C97">
            <v>51407</v>
          </cell>
          <cell r="D97" t="str">
            <v>结构二室</v>
          </cell>
        </row>
        <row r="98">
          <cell r="B98" t="str">
            <v>孟玲俊</v>
          </cell>
          <cell r="C98">
            <v>22298</v>
          </cell>
          <cell r="D98" t="str">
            <v>结构二室</v>
          </cell>
        </row>
        <row r="99">
          <cell r="B99" t="str">
            <v>周莫普</v>
          </cell>
          <cell r="C99">
            <v>51397</v>
          </cell>
          <cell r="D99" t="str">
            <v>结构二室</v>
          </cell>
        </row>
        <row r="100">
          <cell r="B100" t="str">
            <v>孟力华</v>
          </cell>
          <cell r="C100">
            <v>51234</v>
          </cell>
          <cell r="D100" t="str">
            <v>结构二室</v>
          </cell>
        </row>
        <row r="101">
          <cell r="B101" t="str">
            <v>赵莉</v>
          </cell>
          <cell r="C101">
            <v>50065</v>
          </cell>
          <cell r="D101" t="str">
            <v>结构二室</v>
          </cell>
        </row>
        <row r="102">
          <cell r="B102" t="str">
            <v>李森</v>
          </cell>
          <cell r="C102">
            <v>17238</v>
          </cell>
          <cell r="D102" t="str">
            <v>结构二室</v>
          </cell>
        </row>
        <row r="103">
          <cell r="B103" t="str">
            <v>杜洪雨</v>
          </cell>
          <cell r="C103">
            <v>51170</v>
          </cell>
          <cell r="D103" t="str">
            <v>结构二室</v>
          </cell>
        </row>
        <row r="104">
          <cell r="B104" t="str">
            <v>刘金晶</v>
          </cell>
          <cell r="C104">
            <v>51641</v>
          </cell>
          <cell r="D104" t="str">
            <v>结构二室</v>
          </cell>
        </row>
        <row r="105">
          <cell r="B105" t="str">
            <v>陈杰</v>
          </cell>
          <cell r="C105">
            <v>25600</v>
          </cell>
          <cell r="D105" t="str">
            <v>结构二室</v>
          </cell>
        </row>
        <row r="106">
          <cell r="B106" t="str">
            <v>马爽</v>
          </cell>
          <cell r="C106">
            <v>51642</v>
          </cell>
          <cell r="D106" t="str">
            <v>结构二室</v>
          </cell>
        </row>
        <row r="107">
          <cell r="B107" t="str">
            <v>康霞</v>
          </cell>
          <cell r="C107">
            <v>52132</v>
          </cell>
          <cell r="D107" t="str">
            <v>结构二室</v>
          </cell>
        </row>
        <row r="108">
          <cell r="B108" t="str">
            <v>贾永亮</v>
          </cell>
          <cell r="C108">
            <v>52131</v>
          </cell>
          <cell r="D108" t="str">
            <v>结构二室</v>
          </cell>
        </row>
        <row r="109">
          <cell r="B109" t="str">
            <v>朱海</v>
          </cell>
          <cell r="C109">
            <v>52232</v>
          </cell>
          <cell r="D109" t="str">
            <v>结构二室</v>
          </cell>
        </row>
        <row r="110">
          <cell r="B110" t="str">
            <v>赵陈</v>
          </cell>
          <cell r="C110">
            <v>52123</v>
          </cell>
          <cell r="D110" t="str">
            <v>结构二室</v>
          </cell>
        </row>
        <row r="111">
          <cell r="B111" t="str">
            <v>刘朕</v>
          </cell>
          <cell r="C111">
            <v>51190</v>
          </cell>
          <cell r="D111" t="str">
            <v>结构二室</v>
          </cell>
        </row>
        <row r="112">
          <cell r="B112" t="str">
            <v>王艺霖</v>
          </cell>
          <cell r="C112">
            <v>25762</v>
          </cell>
          <cell r="D112" t="str">
            <v>结构二室</v>
          </cell>
        </row>
        <row r="113">
          <cell r="B113" t="str">
            <v>王佳琪</v>
          </cell>
          <cell r="C113">
            <v>52341</v>
          </cell>
          <cell r="D113" t="str">
            <v>结构二室</v>
          </cell>
        </row>
        <row r="114">
          <cell r="B114" t="str">
            <v>王大昱</v>
          </cell>
          <cell r="C114">
            <v>51162</v>
          </cell>
          <cell r="D114" t="str">
            <v>工程项目室</v>
          </cell>
        </row>
        <row r="115">
          <cell r="B115" t="str">
            <v>石荣荣</v>
          </cell>
          <cell r="C115">
            <v>51166</v>
          </cell>
          <cell r="D115" t="str">
            <v>工程项目室</v>
          </cell>
        </row>
        <row r="116">
          <cell r="B116" t="str">
            <v>耿璐璐</v>
          </cell>
          <cell r="C116">
            <v>51405</v>
          </cell>
          <cell r="D116" t="str">
            <v>工程项目室</v>
          </cell>
        </row>
        <row r="117">
          <cell r="B117" t="str">
            <v>夏新鑫</v>
          </cell>
          <cell r="C117">
            <v>50876</v>
          </cell>
          <cell r="D117" t="str">
            <v>工程项目室</v>
          </cell>
        </row>
        <row r="118">
          <cell r="B118" t="str">
            <v>徐丽娜</v>
          </cell>
          <cell r="C118">
            <v>50079</v>
          </cell>
          <cell r="D118" t="str">
            <v>工程项目室</v>
          </cell>
        </row>
        <row r="119">
          <cell r="B119" t="str">
            <v>刘岩东</v>
          </cell>
          <cell r="C119">
            <v>50245</v>
          </cell>
          <cell r="D119" t="str">
            <v>综合技术室</v>
          </cell>
        </row>
        <row r="120">
          <cell r="B120" t="str">
            <v>孙红军</v>
          </cell>
          <cell r="C120" t="str">
            <v>02501</v>
          </cell>
          <cell r="D120" t="str">
            <v>综合技术室</v>
          </cell>
        </row>
        <row r="121">
          <cell r="B121" t="str">
            <v>陈志禹</v>
          </cell>
          <cell r="C121">
            <v>17787</v>
          </cell>
          <cell r="D121" t="str">
            <v>综合技术室</v>
          </cell>
        </row>
        <row r="122">
          <cell r="B122" t="str">
            <v>王琛</v>
          </cell>
          <cell r="C122">
            <v>22291</v>
          </cell>
          <cell r="D122" t="str">
            <v>综合技术室</v>
          </cell>
        </row>
        <row r="123">
          <cell r="B123" t="str">
            <v>林树德</v>
          </cell>
          <cell r="C123">
            <v>51202</v>
          </cell>
          <cell r="D123" t="str">
            <v>综合技术室</v>
          </cell>
        </row>
        <row r="124">
          <cell r="B124" t="str">
            <v>王勇</v>
          </cell>
          <cell r="C124">
            <v>51226</v>
          </cell>
          <cell r="D124" t="str">
            <v>综合技术室</v>
          </cell>
        </row>
        <row r="125">
          <cell r="B125" t="str">
            <v>潘英</v>
          </cell>
          <cell r="C125">
            <v>50864</v>
          </cell>
          <cell r="D125" t="str">
            <v>综合技术室</v>
          </cell>
        </row>
        <row r="126">
          <cell r="B126" t="str">
            <v>杨琼</v>
          </cell>
          <cell r="C126">
            <v>26828</v>
          </cell>
          <cell r="D126" t="str">
            <v>综合技术室</v>
          </cell>
        </row>
        <row r="127">
          <cell r="B127" t="str">
            <v>宋建毅</v>
          </cell>
          <cell r="C127">
            <v>27100</v>
          </cell>
          <cell r="D127" t="str">
            <v>综合技术室</v>
          </cell>
        </row>
        <row r="128">
          <cell r="B128" t="str">
            <v>孙盘滔</v>
          </cell>
          <cell r="C128">
            <v>50686</v>
          </cell>
          <cell r="D128" t="str">
            <v>综合技术室</v>
          </cell>
        </row>
        <row r="129">
          <cell r="B129" t="str">
            <v>吕冬兰</v>
          </cell>
          <cell r="C129">
            <v>51160</v>
          </cell>
          <cell r="D129" t="str">
            <v>综合技术室</v>
          </cell>
        </row>
        <row r="130">
          <cell r="B130" t="str">
            <v>刘红双</v>
          </cell>
          <cell r="C130">
            <v>51151</v>
          </cell>
          <cell r="D130" t="str">
            <v>综合技术室</v>
          </cell>
        </row>
        <row r="131">
          <cell r="B131" t="str">
            <v>李其鹏</v>
          </cell>
          <cell r="C131">
            <v>51429</v>
          </cell>
          <cell r="D131" t="str">
            <v>综合技术室</v>
          </cell>
        </row>
        <row r="132">
          <cell r="B132" t="str">
            <v>韩南逍</v>
          </cell>
          <cell r="C132">
            <v>50029</v>
          </cell>
          <cell r="D132" t="str">
            <v>综合技术室</v>
          </cell>
        </row>
        <row r="133">
          <cell r="B133" t="str">
            <v>崔明慧</v>
          </cell>
          <cell r="C133">
            <v>14901</v>
          </cell>
          <cell r="D133" t="str">
            <v>联络工程室</v>
          </cell>
        </row>
        <row r="134">
          <cell r="B134" t="str">
            <v>高奇</v>
          </cell>
          <cell r="C134">
            <v>17732</v>
          </cell>
          <cell r="D134" t="str">
            <v>联络工程室</v>
          </cell>
        </row>
        <row r="135">
          <cell r="B135" t="str">
            <v>姚庆丰</v>
          </cell>
          <cell r="C135">
            <v>18672</v>
          </cell>
          <cell r="D135" t="str">
            <v>联络工程室</v>
          </cell>
        </row>
        <row r="136">
          <cell r="B136" t="str">
            <v>李湘芝</v>
          </cell>
          <cell r="C136">
            <v>50019</v>
          </cell>
          <cell r="D136" t="str">
            <v>联络工程室</v>
          </cell>
        </row>
        <row r="137">
          <cell r="B137" t="str">
            <v>郭静</v>
          </cell>
          <cell r="C137">
            <v>50027</v>
          </cell>
          <cell r="D137" t="str">
            <v>联络工程室</v>
          </cell>
        </row>
        <row r="138">
          <cell r="B138" t="str">
            <v>梁枫</v>
          </cell>
          <cell r="C138">
            <v>50316</v>
          </cell>
          <cell r="D138" t="str">
            <v>联络工程室</v>
          </cell>
        </row>
        <row r="139">
          <cell r="B139" t="str">
            <v>赵海</v>
          </cell>
          <cell r="C139">
            <v>50323</v>
          </cell>
          <cell r="D139" t="str">
            <v>联络工程室</v>
          </cell>
        </row>
        <row r="140">
          <cell r="B140" t="str">
            <v>赵书凯</v>
          </cell>
          <cell r="C140">
            <v>50832</v>
          </cell>
          <cell r="D140" t="str">
            <v>联络工程室</v>
          </cell>
        </row>
        <row r="141">
          <cell r="B141" t="str">
            <v>刘志秀</v>
          </cell>
          <cell r="C141">
            <v>51395</v>
          </cell>
          <cell r="D141" t="str">
            <v>联络工程室</v>
          </cell>
        </row>
        <row r="142">
          <cell r="B142" t="str">
            <v>王连斌</v>
          </cell>
          <cell r="C142">
            <v>51396</v>
          </cell>
          <cell r="D142" t="str">
            <v>联络工程室</v>
          </cell>
        </row>
        <row r="143">
          <cell r="B143" t="str">
            <v>付泉铭</v>
          </cell>
          <cell r="C143">
            <v>51555</v>
          </cell>
          <cell r="D143" t="str">
            <v>联络工程室</v>
          </cell>
        </row>
        <row r="144">
          <cell r="B144" t="str">
            <v>霍东旭</v>
          </cell>
          <cell r="C144">
            <v>51941</v>
          </cell>
          <cell r="D144" t="str">
            <v>联络工程室</v>
          </cell>
        </row>
        <row r="145">
          <cell r="B145" t="str">
            <v>张一峤</v>
          </cell>
          <cell r="C145">
            <v>50853</v>
          </cell>
          <cell r="D145" t="str">
            <v>联络工程室</v>
          </cell>
        </row>
        <row r="146">
          <cell r="B146" t="str">
            <v>臧爱丽</v>
          </cell>
          <cell r="C146">
            <v>51428</v>
          </cell>
          <cell r="D146" t="str">
            <v>联络工程室</v>
          </cell>
        </row>
        <row r="147">
          <cell r="B147" t="str">
            <v>唐铭远</v>
          </cell>
          <cell r="C147">
            <v>52161</v>
          </cell>
          <cell r="D147" t="str">
            <v>联络工程室</v>
          </cell>
        </row>
        <row r="148">
          <cell r="B148" t="str">
            <v>王世清</v>
          </cell>
          <cell r="C148">
            <v>50317</v>
          </cell>
          <cell r="D148" t="str">
            <v>联络工程室</v>
          </cell>
        </row>
        <row r="149">
          <cell r="B149" t="str">
            <v>马艺丹</v>
          </cell>
          <cell r="C149">
            <v>51665</v>
          </cell>
          <cell r="D149" t="str">
            <v>联络工程室</v>
          </cell>
        </row>
        <row r="150">
          <cell r="B150" t="str">
            <v>杨珺涵</v>
          </cell>
          <cell r="C150">
            <v>51570</v>
          </cell>
          <cell r="D150" t="str">
            <v>联络工程室</v>
          </cell>
        </row>
        <row r="151">
          <cell r="B151" t="str">
            <v>陈坤</v>
          </cell>
          <cell r="C151">
            <v>51576</v>
          </cell>
          <cell r="D151" t="str">
            <v>联络工程室</v>
          </cell>
        </row>
        <row r="152">
          <cell r="B152" t="str">
            <v>韦杰琼</v>
          </cell>
          <cell r="C152">
            <v>25599</v>
          </cell>
          <cell r="D152" t="str">
            <v>联络工程室</v>
          </cell>
        </row>
        <row r="153">
          <cell r="B153" t="str">
            <v>付强</v>
          </cell>
          <cell r="C153">
            <v>25549</v>
          </cell>
          <cell r="D153" t="str">
            <v>联络工程室</v>
          </cell>
        </row>
        <row r="154">
          <cell r="B154" t="str">
            <v>王超</v>
          </cell>
          <cell r="C154">
            <v>26621</v>
          </cell>
          <cell r="D154" t="str">
            <v>联络工程室</v>
          </cell>
        </row>
        <row r="155">
          <cell r="B155" t="str">
            <v>王川</v>
          </cell>
          <cell r="C155">
            <v>22250</v>
          </cell>
          <cell r="D155" t="str">
            <v>联络工程室</v>
          </cell>
        </row>
        <row r="156">
          <cell r="B156" t="str">
            <v>褚永鑫</v>
          </cell>
          <cell r="C156">
            <v>22253</v>
          </cell>
          <cell r="D156" t="str">
            <v>联络工程室</v>
          </cell>
        </row>
        <row r="157">
          <cell r="B157" t="str">
            <v>高秉芳</v>
          </cell>
          <cell r="C157">
            <v>26688</v>
          </cell>
          <cell r="D157" t="str">
            <v>联络工程室</v>
          </cell>
        </row>
        <row r="158">
          <cell r="B158" t="str">
            <v>王立庆</v>
          </cell>
          <cell r="C158">
            <v>27106</v>
          </cell>
          <cell r="D158" t="str">
            <v>联络工程室</v>
          </cell>
        </row>
        <row r="159">
          <cell r="B159" t="str">
            <v>林楠</v>
          </cell>
          <cell r="C159">
            <v>25603</v>
          </cell>
          <cell r="D159" t="str">
            <v>联络工程室</v>
          </cell>
        </row>
        <row r="160">
          <cell r="B160" t="str">
            <v>牛建庄</v>
          </cell>
          <cell r="C160">
            <v>17090</v>
          </cell>
          <cell r="D160" t="str">
            <v>联络工程室</v>
          </cell>
        </row>
        <row r="161">
          <cell r="B161" t="str">
            <v>孙永光</v>
          </cell>
          <cell r="C161">
            <v>25601</v>
          </cell>
          <cell r="D161" t="str">
            <v>联络工程室</v>
          </cell>
        </row>
        <row r="162">
          <cell r="B162" t="str">
            <v>王瑞龙</v>
          </cell>
          <cell r="C162">
            <v>26654</v>
          </cell>
          <cell r="D162" t="str">
            <v>联络工程室</v>
          </cell>
        </row>
      </sheetData>
      <sheetData sheetId="1"/>
      <sheetData sheetId="2"/>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ow r="1">
          <cell r="B1" t="str">
            <v>姓名</v>
          </cell>
          <cell r="C1" t="str">
            <v>胸卡号</v>
          </cell>
          <cell r="D1" t="str">
            <v>专业室</v>
          </cell>
        </row>
        <row r="2">
          <cell r="B2" t="str">
            <v>刘杰</v>
          </cell>
          <cell r="C2">
            <v>17242</v>
          </cell>
          <cell r="D2" t="str">
            <v>办公室</v>
          </cell>
        </row>
        <row r="3">
          <cell r="B3" t="str">
            <v>陶金库</v>
          </cell>
          <cell r="C3">
            <v>50508</v>
          </cell>
          <cell r="D3" t="str">
            <v>办公室</v>
          </cell>
        </row>
        <row r="4">
          <cell r="B4" t="str">
            <v>宋凯（总体）</v>
          </cell>
          <cell r="C4">
            <v>22260</v>
          </cell>
          <cell r="D4" t="str">
            <v>总体室</v>
          </cell>
        </row>
        <row r="5">
          <cell r="B5" t="str">
            <v>张继斌</v>
          </cell>
          <cell r="C5">
            <v>17243</v>
          </cell>
          <cell r="D5" t="str">
            <v>总体室</v>
          </cell>
        </row>
        <row r="6">
          <cell r="B6" t="str">
            <v>赵婷</v>
          </cell>
          <cell r="C6">
            <v>50702</v>
          </cell>
          <cell r="D6" t="str">
            <v>总体室</v>
          </cell>
        </row>
        <row r="7">
          <cell r="B7" t="str">
            <v>刘聪</v>
          </cell>
          <cell r="C7">
            <v>52018</v>
          </cell>
          <cell r="D7" t="str">
            <v>总体室</v>
          </cell>
        </row>
        <row r="8">
          <cell r="B8" t="str">
            <v>刘全</v>
          </cell>
          <cell r="C8">
            <v>50874</v>
          </cell>
          <cell r="D8" t="str">
            <v>总体室</v>
          </cell>
        </row>
        <row r="9">
          <cell r="B9" t="str">
            <v>秦超</v>
          </cell>
          <cell r="C9">
            <v>51591</v>
          </cell>
          <cell r="D9" t="str">
            <v>总体室</v>
          </cell>
        </row>
        <row r="10">
          <cell r="B10" t="str">
            <v>尤宏良</v>
          </cell>
          <cell r="C10">
            <v>18550</v>
          </cell>
          <cell r="D10" t="str">
            <v>总体室</v>
          </cell>
        </row>
        <row r="11">
          <cell r="B11" t="str">
            <v>任璐璐</v>
          </cell>
          <cell r="C11">
            <v>50032</v>
          </cell>
          <cell r="D11" t="str">
            <v>总体室</v>
          </cell>
        </row>
        <row r="12">
          <cell r="B12" t="str">
            <v>赵长辉</v>
          </cell>
          <cell r="C12">
            <v>17725</v>
          </cell>
          <cell r="D12" t="str">
            <v>总体室</v>
          </cell>
        </row>
        <row r="13">
          <cell r="B13" t="str">
            <v>刘成</v>
          </cell>
          <cell r="C13">
            <v>51860</v>
          </cell>
          <cell r="D13" t="str">
            <v>总体室</v>
          </cell>
        </row>
        <row r="14">
          <cell r="B14" t="str">
            <v>刘洋</v>
          </cell>
          <cell r="C14">
            <v>50709</v>
          </cell>
          <cell r="D14" t="str">
            <v>系统室</v>
          </cell>
        </row>
        <row r="15">
          <cell r="B15" t="str">
            <v>魏春生</v>
          </cell>
          <cell r="C15">
            <v>51389</v>
          </cell>
          <cell r="D15" t="str">
            <v>系统室</v>
          </cell>
        </row>
        <row r="16">
          <cell r="B16" t="str">
            <v>刘媛媛</v>
          </cell>
          <cell r="C16">
            <v>51385</v>
          </cell>
          <cell r="D16" t="str">
            <v>系统室</v>
          </cell>
        </row>
        <row r="17">
          <cell r="B17" t="str">
            <v>骆美玲</v>
          </cell>
          <cell r="C17">
            <v>50713</v>
          </cell>
          <cell r="D17" t="str">
            <v>系统室</v>
          </cell>
        </row>
        <row r="18">
          <cell r="B18" t="str">
            <v>刘超</v>
          </cell>
          <cell r="C18">
            <v>51430</v>
          </cell>
          <cell r="D18" t="str">
            <v>系统室</v>
          </cell>
        </row>
        <row r="19">
          <cell r="B19" t="str">
            <v>任斌</v>
          </cell>
          <cell r="C19">
            <v>51517</v>
          </cell>
          <cell r="D19" t="str">
            <v>系统室</v>
          </cell>
        </row>
        <row r="20">
          <cell r="B20" t="str">
            <v>吴晓莉</v>
          </cell>
          <cell r="C20">
            <v>50872</v>
          </cell>
          <cell r="D20" t="str">
            <v>系统室</v>
          </cell>
        </row>
        <row r="21">
          <cell r="B21" t="str">
            <v>宋凯</v>
          </cell>
          <cell r="C21">
            <v>51951</v>
          </cell>
          <cell r="D21" t="str">
            <v>系统室</v>
          </cell>
        </row>
        <row r="22">
          <cell r="B22" t="str">
            <v>万方</v>
          </cell>
          <cell r="C22">
            <v>51387</v>
          </cell>
          <cell r="D22" t="str">
            <v>系统室</v>
          </cell>
        </row>
        <row r="23">
          <cell r="B23" t="str">
            <v>李妍</v>
          </cell>
          <cell r="C23">
            <v>51435</v>
          </cell>
          <cell r="D23" t="str">
            <v>系统室</v>
          </cell>
        </row>
        <row r="24">
          <cell r="B24" t="str">
            <v>刘凯男</v>
          </cell>
          <cell r="C24">
            <v>52156</v>
          </cell>
          <cell r="D24" t="str">
            <v>系统室</v>
          </cell>
        </row>
        <row r="25">
          <cell r="B25" t="str">
            <v>任傲</v>
          </cell>
          <cell r="C25">
            <v>52166</v>
          </cell>
          <cell r="D25" t="str">
            <v>系统室</v>
          </cell>
        </row>
        <row r="26">
          <cell r="B26" t="str">
            <v>刘旭</v>
          </cell>
          <cell r="C26">
            <v>22296</v>
          </cell>
          <cell r="D26" t="str">
            <v>强度室</v>
          </cell>
        </row>
        <row r="27">
          <cell r="B27" t="str">
            <v>吕国成</v>
          </cell>
          <cell r="C27">
            <v>51188</v>
          </cell>
          <cell r="D27" t="str">
            <v>强度室</v>
          </cell>
        </row>
        <row r="28">
          <cell r="B28" t="str">
            <v>许美娟</v>
          </cell>
          <cell r="C28">
            <v>51194</v>
          </cell>
          <cell r="D28" t="str">
            <v>强度室</v>
          </cell>
        </row>
        <row r="29">
          <cell r="B29" t="str">
            <v>何续斌</v>
          </cell>
          <cell r="C29">
            <v>50871</v>
          </cell>
          <cell r="D29" t="str">
            <v>强度室</v>
          </cell>
        </row>
        <row r="30">
          <cell r="B30" t="str">
            <v>孔婷婷</v>
          </cell>
          <cell r="C30">
            <v>23525</v>
          </cell>
          <cell r="D30" t="str">
            <v>强度室</v>
          </cell>
        </row>
        <row r="31">
          <cell r="B31" t="str">
            <v>徐君升</v>
          </cell>
          <cell r="C31">
            <v>50716</v>
          </cell>
          <cell r="D31" t="str">
            <v>强度室</v>
          </cell>
        </row>
        <row r="32">
          <cell r="B32" t="str">
            <v>靳海丰</v>
          </cell>
          <cell r="C32">
            <v>51158</v>
          </cell>
          <cell r="D32" t="str">
            <v>强度室</v>
          </cell>
        </row>
        <row r="33">
          <cell r="B33" t="str">
            <v>王呈呈</v>
          </cell>
          <cell r="C33">
            <v>51196</v>
          </cell>
          <cell r="D33" t="str">
            <v>强度室</v>
          </cell>
        </row>
        <row r="34">
          <cell r="B34" t="str">
            <v>王岩</v>
          </cell>
          <cell r="C34">
            <v>51175</v>
          </cell>
          <cell r="D34" t="str">
            <v>强度室</v>
          </cell>
        </row>
        <row r="35">
          <cell r="B35" t="str">
            <v>张文静</v>
          </cell>
          <cell r="C35">
            <v>22259</v>
          </cell>
          <cell r="D35" t="str">
            <v>强度室</v>
          </cell>
        </row>
        <row r="36">
          <cell r="B36" t="str">
            <v>郑石</v>
          </cell>
          <cell r="C36">
            <v>26766</v>
          </cell>
          <cell r="D36" t="str">
            <v>强度室</v>
          </cell>
        </row>
        <row r="37">
          <cell r="B37" t="str">
            <v>陈瑞东</v>
          </cell>
          <cell r="C37">
            <v>51181</v>
          </cell>
          <cell r="D37" t="str">
            <v>强度室</v>
          </cell>
        </row>
        <row r="38">
          <cell r="B38" t="str">
            <v>刘可佳</v>
          </cell>
          <cell r="C38">
            <v>51793</v>
          </cell>
          <cell r="D38" t="str">
            <v>强度室</v>
          </cell>
        </row>
        <row r="39">
          <cell r="B39" t="str">
            <v>纪可</v>
          </cell>
          <cell r="C39">
            <v>26689</v>
          </cell>
          <cell r="D39" t="str">
            <v>强度室</v>
          </cell>
        </row>
        <row r="40">
          <cell r="B40" t="str">
            <v>孟维宇</v>
          </cell>
          <cell r="C40">
            <v>50722</v>
          </cell>
          <cell r="D40" t="str">
            <v>强度室</v>
          </cell>
        </row>
        <row r="41">
          <cell r="B41" t="str">
            <v>支晗</v>
          </cell>
          <cell r="C41">
            <v>51589</v>
          </cell>
          <cell r="D41" t="str">
            <v>强度室</v>
          </cell>
        </row>
        <row r="42">
          <cell r="B42" t="str">
            <v>刘曦</v>
          </cell>
          <cell r="C42">
            <v>52130</v>
          </cell>
          <cell r="D42" t="str">
            <v>强度室</v>
          </cell>
        </row>
        <row r="43">
          <cell r="B43" t="str">
            <v>赵永利</v>
          </cell>
          <cell r="C43">
            <v>28161</v>
          </cell>
          <cell r="D43" t="str">
            <v>强度室</v>
          </cell>
        </row>
        <row r="44">
          <cell r="B44" t="str">
            <v>焦凯</v>
          </cell>
          <cell r="C44">
            <v>52342</v>
          </cell>
          <cell r="D44" t="str">
            <v>强度室</v>
          </cell>
        </row>
        <row r="45">
          <cell r="B45" t="str">
            <v>黄文超</v>
          </cell>
          <cell r="C45">
            <v>51200</v>
          </cell>
          <cell r="D45" t="str">
            <v>强度室</v>
          </cell>
        </row>
        <row r="46">
          <cell r="B46" t="str">
            <v>李爱环</v>
          </cell>
          <cell r="C46">
            <v>50726</v>
          </cell>
          <cell r="D46" t="str">
            <v>强度室</v>
          </cell>
        </row>
        <row r="47">
          <cell r="B47" t="str">
            <v>李忠霖</v>
          </cell>
          <cell r="C47">
            <v>23524</v>
          </cell>
          <cell r="D47" t="str">
            <v>强度室</v>
          </cell>
        </row>
        <row r="48">
          <cell r="B48" t="str">
            <v>朱照泽</v>
          </cell>
          <cell r="C48">
            <v>51763</v>
          </cell>
          <cell r="D48" t="str">
            <v>强度室</v>
          </cell>
        </row>
        <row r="49">
          <cell r="B49" t="str">
            <v>柴宝</v>
          </cell>
          <cell r="C49">
            <v>51944</v>
          </cell>
          <cell r="D49" t="str">
            <v>强度室</v>
          </cell>
        </row>
        <row r="50">
          <cell r="B50" t="str">
            <v>闫洪乐</v>
          </cell>
          <cell r="C50">
            <v>52347</v>
          </cell>
          <cell r="D50" t="str">
            <v>强度室</v>
          </cell>
        </row>
        <row r="51">
          <cell r="B51" t="str">
            <v>马雪菲</v>
          </cell>
          <cell r="C51">
            <v>52560</v>
          </cell>
          <cell r="D51" t="str">
            <v>强度室</v>
          </cell>
        </row>
        <row r="52">
          <cell r="B52" t="str">
            <v>陈诗春</v>
          </cell>
          <cell r="C52">
            <v>52153</v>
          </cell>
          <cell r="D52" t="str">
            <v>强度室</v>
          </cell>
        </row>
        <row r="53">
          <cell r="B53" t="str">
            <v>乔志斌</v>
          </cell>
          <cell r="C53">
            <v>53422</v>
          </cell>
          <cell r="D53" t="str">
            <v>强度室</v>
          </cell>
        </row>
        <row r="54">
          <cell r="B54" t="str">
            <v>祝堃</v>
          </cell>
          <cell r="C54">
            <v>52256</v>
          </cell>
          <cell r="D54" t="str">
            <v>强度室</v>
          </cell>
        </row>
        <row r="55">
          <cell r="B55" t="str">
            <v>晨曦</v>
          </cell>
          <cell r="C55">
            <v>50030</v>
          </cell>
          <cell r="D55" t="str">
            <v>强度室</v>
          </cell>
        </row>
        <row r="56">
          <cell r="B56" t="str">
            <v>李泽霖</v>
          </cell>
          <cell r="C56">
            <v>52569</v>
          </cell>
          <cell r="D56" t="str">
            <v>强度室</v>
          </cell>
        </row>
        <row r="57">
          <cell r="B57" t="str">
            <v>毛磊凯</v>
          </cell>
          <cell r="C57">
            <v>51184</v>
          </cell>
          <cell r="D57" t="str">
            <v>结构一室</v>
          </cell>
        </row>
        <row r="58">
          <cell r="B58" t="str">
            <v>张智浩</v>
          </cell>
          <cell r="C58">
            <v>52063</v>
          </cell>
          <cell r="D58" t="str">
            <v>结构一室</v>
          </cell>
        </row>
        <row r="59">
          <cell r="B59" t="str">
            <v>张熙尧</v>
          </cell>
          <cell r="C59">
            <v>52017</v>
          </cell>
          <cell r="D59" t="str">
            <v>结构一室</v>
          </cell>
        </row>
        <row r="60">
          <cell r="B60" t="str">
            <v>丛家勇</v>
          </cell>
          <cell r="C60">
            <v>50281</v>
          </cell>
          <cell r="D60" t="str">
            <v>结构一室</v>
          </cell>
        </row>
        <row r="61">
          <cell r="B61" t="str">
            <v>王健</v>
          </cell>
          <cell r="C61">
            <v>51784</v>
          </cell>
          <cell r="D61" t="str">
            <v>结构一室</v>
          </cell>
        </row>
        <row r="62">
          <cell r="B62" t="str">
            <v>张秀丽</v>
          </cell>
          <cell r="C62">
            <v>51165</v>
          </cell>
          <cell r="D62" t="str">
            <v>结构一室</v>
          </cell>
        </row>
        <row r="63">
          <cell r="B63" t="str">
            <v>李金鹰</v>
          </cell>
          <cell r="C63">
            <v>51227</v>
          </cell>
          <cell r="D63" t="str">
            <v>结构一室</v>
          </cell>
        </row>
        <row r="64">
          <cell r="B64" t="str">
            <v>付容容</v>
          </cell>
          <cell r="C64">
            <v>51183</v>
          </cell>
          <cell r="D64" t="str">
            <v>结构一室</v>
          </cell>
        </row>
        <row r="65">
          <cell r="B65" t="str">
            <v>陈磊</v>
          </cell>
          <cell r="C65">
            <v>52180</v>
          </cell>
          <cell r="D65" t="str">
            <v>结构一室</v>
          </cell>
        </row>
        <row r="66">
          <cell r="B66" t="str">
            <v>马岩</v>
          </cell>
          <cell r="C66">
            <v>50730</v>
          </cell>
          <cell r="D66" t="str">
            <v>结构一室</v>
          </cell>
        </row>
        <row r="67">
          <cell r="B67" t="str">
            <v>郭晓庆</v>
          </cell>
          <cell r="C67">
            <v>50275</v>
          </cell>
          <cell r="D67" t="str">
            <v>结构一室</v>
          </cell>
        </row>
        <row r="68">
          <cell r="B68" t="str">
            <v>于磊</v>
          </cell>
          <cell r="C68">
            <v>51400</v>
          </cell>
          <cell r="D68" t="str">
            <v>结构一室</v>
          </cell>
        </row>
        <row r="69">
          <cell r="B69" t="str">
            <v>杨炎通</v>
          </cell>
          <cell r="C69">
            <v>51955</v>
          </cell>
          <cell r="D69" t="str">
            <v>结构一室</v>
          </cell>
        </row>
        <row r="70">
          <cell r="B70" t="str">
            <v>栾鹏</v>
          </cell>
          <cell r="C70">
            <v>51781</v>
          </cell>
          <cell r="D70" t="str">
            <v>结构一室</v>
          </cell>
        </row>
        <row r="71">
          <cell r="B71" t="str">
            <v>塔拉</v>
          </cell>
          <cell r="C71">
            <v>25548</v>
          </cell>
          <cell r="D71" t="str">
            <v>结构一室</v>
          </cell>
        </row>
        <row r="72">
          <cell r="B72" t="str">
            <v>魏士礼</v>
          </cell>
          <cell r="C72">
            <v>22294</v>
          </cell>
          <cell r="D72" t="str">
            <v>结构一室</v>
          </cell>
        </row>
        <row r="73">
          <cell r="B73" t="str">
            <v>葛春生</v>
          </cell>
          <cell r="C73">
            <v>51410</v>
          </cell>
          <cell r="D73" t="str">
            <v>结构一室</v>
          </cell>
        </row>
        <row r="74">
          <cell r="B74" t="str">
            <v>董晓莉</v>
          </cell>
          <cell r="C74">
            <v>51211</v>
          </cell>
          <cell r="D74" t="str">
            <v>结构一室</v>
          </cell>
        </row>
        <row r="75">
          <cell r="B75" t="str">
            <v>李守玺</v>
          </cell>
          <cell r="C75">
            <v>25763</v>
          </cell>
          <cell r="D75" t="str">
            <v>结构一室</v>
          </cell>
        </row>
        <row r="76">
          <cell r="B76" t="str">
            <v>杨春</v>
          </cell>
          <cell r="C76">
            <v>51624</v>
          </cell>
          <cell r="D76" t="str">
            <v>结构一室</v>
          </cell>
        </row>
        <row r="77">
          <cell r="B77" t="str">
            <v>马壮</v>
          </cell>
          <cell r="C77">
            <v>51640</v>
          </cell>
          <cell r="D77" t="str">
            <v>结构一室</v>
          </cell>
        </row>
        <row r="78">
          <cell r="B78" t="str">
            <v>康志明</v>
          </cell>
          <cell r="C78">
            <v>25765</v>
          </cell>
          <cell r="D78" t="str">
            <v>结构一室</v>
          </cell>
        </row>
        <row r="79">
          <cell r="B79" t="str">
            <v>王哲</v>
          </cell>
          <cell r="C79">
            <v>25071</v>
          </cell>
          <cell r="D79" t="str">
            <v>结构一室</v>
          </cell>
        </row>
        <row r="80">
          <cell r="B80" t="str">
            <v>孟祥瑞</v>
          </cell>
          <cell r="C80">
            <v>51615</v>
          </cell>
          <cell r="D80" t="str">
            <v>结构一室</v>
          </cell>
        </row>
        <row r="81">
          <cell r="B81" t="str">
            <v>周弘扬</v>
          </cell>
          <cell r="C81">
            <v>52124</v>
          </cell>
          <cell r="D81" t="str">
            <v>结构一室</v>
          </cell>
        </row>
        <row r="82">
          <cell r="B82" t="str">
            <v>曲汝文</v>
          </cell>
          <cell r="C82">
            <v>52133</v>
          </cell>
          <cell r="D82" t="str">
            <v>结构一室</v>
          </cell>
        </row>
        <row r="83">
          <cell r="B83" t="str">
            <v>马佳</v>
          </cell>
          <cell r="C83">
            <v>52236</v>
          </cell>
          <cell r="D83" t="str">
            <v>结构一室</v>
          </cell>
        </row>
        <row r="84">
          <cell r="B84" t="str">
            <v>卢伟</v>
          </cell>
          <cell r="C84">
            <v>51844</v>
          </cell>
          <cell r="D84" t="str">
            <v>结构一室</v>
          </cell>
        </row>
        <row r="85">
          <cell r="B85" t="str">
            <v>周天一</v>
          </cell>
          <cell r="C85">
            <v>52345</v>
          </cell>
          <cell r="D85" t="str">
            <v>结构一室</v>
          </cell>
        </row>
        <row r="86">
          <cell r="B86" t="str">
            <v>崔建军</v>
          </cell>
          <cell r="C86">
            <v>51647</v>
          </cell>
          <cell r="D86" t="str">
            <v>结构一室</v>
          </cell>
        </row>
        <row r="87">
          <cell r="B87" t="str">
            <v>杨帆</v>
          </cell>
          <cell r="C87">
            <v>25078</v>
          </cell>
          <cell r="D87" t="str">
            <v>结构一室</v>
          </cell>
        </row>
        <row r="88">
          <cell r="B88" t="str">
            <v>王君元</v>
          </cell>
          <cell r="C88">
            <v>50735</v>
          </cell>
          <cell r="D88" t="str">
            <v>结构一室</v>
          </cell>
        </row>
        <row r="89">
          <cell r="B89" t="str">
            <v>费天行</v>
          </cell>
          <cell r="C89">
            <v>52570</v>
          </cell>
          <cell r="D89" t="str">
            <v>结构一室</v>
          </cell>
        </row>
        <row r="90">
          <cell r="B90" t="str">
            <v>徐楚桓</v>
          </cell>
          <cell r="C90">
            <v>52579</v>
          </cell>
          <cell r="D90" t="str">
            <v>结构一室</v>
          </cell>
        </row>
        <row r="91">
          <cell r="B91" t="str">
            <v>刘磊</v>
          </cell>
          <cell r="C91">
            <v>23527</v>
          </cell>
          <cell r="D91" t="str">
            <v>结构二室</v>
          </cell>
        </row>
        <row r="92">
          <cell r="B92" t="str">
            <v>张成</v>
          </cell>
          <cell r="C92">
            <v>18548</v>
          </cell>
          <cell r="D92" t="str">
            <v>结构二室</v>
          </cell>
        </row>
        <row r="93">
          <cell r="B93" t="str">
            <v>张刚</v>
          </cell>
          <cell r="C93">
            <v>50278</v>
          </cell>
          <cell r="D93" t="str">
            <v>结构二室</v>
          </cell>
        </row>
        <row r="94">
          <cell r="B94" t="str">
            <v>牛福春</v>
          </cell>
          <cell r="C94">
            <v>50710</v>
          </cell>
          <cell r="D94" t="str">
            <v>结构二室</v>
          </cell>
        </row>
        <row r="95">
          <cell r="B95" t="str">
            <v>赵艳秦</v>
          </cell>
          <cell r="C95">
            <v>50022</v>
          </cell>
          <cell r="D95" t="str">
            <v>结构二室</v>
          </cell>
        </row>
        <row r="96">
          <cell r="B96" t="str">
            <v>罗贵骞</v>
          </cell>
          <cell r="C96">
            <v>51186</v>
          </cell>
          <cell r="D96" t="str">
            <v>结构二室</v>
          </cell>
        </row>
        <row r="97">
          <cell r="B97" t="str">
            <v>徐丹</v>
          </cell>
          <cell r="C97">
            <v>51407</v>
          </cell>
          <cell r="D97" t="str">
            <v>结构二室</v>
          </cell>
        </row>
        <row r="98">
          <cell r="B98" t="str">
            <v>孟玲俊</v>
          </cell>
          <cell r="C98">
            <v>22298</v>
          </cell>
          <cell r="D98" t="str">
            <v>结构二室</v>
          </cell>
        </row>
        <row r="99">
          <cell r="B99" t="str">
            <v>周莫普</v>
          </cell>
          <cell r="C99">
            <v>51397</v>
          </cell>
          <cell r="D99" t="str">
            <v>结构二室</v>
          </cell>
        </row>
        <row r="100">
          <cell r="B100" t="str">
            <v>孟力华</v>
          </cell>
          <cell r="C100">
            <v>51234</v>
          </cell>
          <cell r="D100" t="str">
            <v>结构二室</v>
          </cell>
        </row>
        <row r="101">
          <cell r="B101" t="str">
            <v>赵莉</v>
          </cell>
          <cell r="C101">
            <v>50065</v>
          </cell>
          <cell r="D101" t="str">
            <v>结构二室</v>
          </cell>
        </row>
        <row r="102">
          <cell r="B102" t="str">
            <v>李森</v>
          </cell>
          <cell r="C102">
            <v>17238</v>
          </cell>
          <cell r="D102" t="str">
            <v>结构二室</v>
          </cell>
        </row>
        <row r="103">
          <cell r="B103" t="str">
            <v>杜洪雨</v>
          </cell>
          <cell r="C103">
            <v>51170</v>
          </cell>
          <cell r="D103" t="str">
            <v>结构二室</v>
          </cell>
        </row>
        <row r="104">
          <cell r="B104" t="str">
            <v>刘金晶</v>
          </cell>
          <cell r="C104">
            <v>51641</v>
          </cell>
          <cell r="D104" t="str">
            <v>结构二室</v>
          </cell>
        </row>
        <row r="105">
          <cell r="B105" t="str">
            <v>陈杰</v>
          </cell>
          <cell r="C105">
            <v>25600</v>
          </cell>
          <cell r="D105" t="str">
            <v>结构二室</v>
          </cell>
        </row>
        <row r="106">
          <cell r="B106" t="str">
            <v>马爽</v>
          </cell>
          <cell r="C106">
            <v>51642</v>
          </cell>
          <cell r="D106" t="str">
            <v>结构二室</v>
          </cell>
        </row>
        <row r="107">
          <cell r="B107" t="str">
            <v>康霞</v>
          </cell>
          <cell r="C107">
            <v>52132</v>
          </cell>
          <cell r="D107" t="str">
            <v>结构二室</v>
          </cell>
        </row>
        <row r="108">
          <cell r="B108" t="str">
            <v>贾永亮</v>
          </cell>
          <cell r="C108">
            <v>52131</v>
          </cell>
          <cell r="D108" t="str">
            <v>结构二室</v>
          </cell>
        </row>
        <row r="109">
          <cell r="B109" t="str">
            <v>朱海</v>
          </cell>
          <cell r="C109">
            <v>52232</v>
          </cell>
          <cell r="D109" t="str">
            <v>结构二室</v>
          </cell>
        </row>
        <row r="110">
          <cell r="B110" t="str">
            <v>赵陈</v>
          </cell>
          <cell r="C110">
            <v>52123</v>
          </cell>
          <cell r="D110" t="str">
            <v>结构二室</v>
          </cell>
        </row>
        <row r="111">
          <cell r="B111" t="str">
            <v>刘朕</v>
          </cell>
          <cell r="C111">
            <v>51190</v>
          </cell>
          <cell r="D111" t="str">
            <v>结构二室</v>
          </cell>
        </row>
        <row r="112">
          <cell r="B112" t="str">
            <v>王艺霖</v>
          </cell>
          <cell r="C112">
            <v>25762</v>
          </cell>
          <cell r="D112" t="str">
            <v>结构二室</v>
          </cell>
        </row>
        <row r="113">
          <cell r="B113" t="str">
            <v>王佳琪</v>
          </cell>
          <cell r="C113">
            <v>52341</v>
          </cell>
          <cell r="D113" t="str">
            <v>结构二室</v>
          </cell>
        </row>
        <row r="114">
          <cell r="B114" t="str">
            <v>王大昱</v>
          </cell>
          <cell r="C114">
            <v>51162</v>
          </cell>
          <cell r="D114" t="str">
            <v>工程项目室</v>
          </cell>
        </row>
        <row r="115">
          <cell r="B115" t="str">
            <v>石荣荣</v>
          </cell>
          <cell r="C115">
            <v>51166</v>
          </cell>
          <cell r="D115" t="str">
            <v>工程项目室</v>
          </cell>
        </row>
        <row r="116">
          <cell r="B116" t="str">
            <v>耿璐璐</v>
          </cell>
          <cell r="C116">
            <v>51405</v>
          </cell>
          <cell r="D116" t="str">
            <v>工程项目室</v>
          </cell>
        </row>
        <row r="117">
          <cell r="B117" t="str">
            <v>夏新鑫</v>
          </cell>
          <cell r="C117">
            <v>50876</v>
          </cell>
          <cell r="D117" t="str">
            <v>工程项目室</v>
          </cell>
        </row>
        <row r="118">
          <cell r="B118" t="str">
            <v>徐丽娜</v>
          </cell>
          <cell r="C118">
            <v>50079</v>
          </cell>
          <cell r="D118" t="str">
            <v>工程项目室</v>
          </cell>
        </row>
        <row r="119">
          <cell r="B119" t="str">
            <v>刘岩东</v>
          </cell>
          <cell r="C119">
            <v>50245</v>
          </cell>
          <cell r="D119" t="str">
            <v>综合技术室</v>
          </cell>
        </row>
        <row r="120">
          <cell r="B120" t="str">
            <v>孙红军</v>
          </cell>
          <cell r="C120" t="str">
            <v>02501</v>
          </cell>
          <cell r="D120" t="str">
            <v>综合技术室</v>
          </cell>
        </row>
        <row r="121">
          <cell r="B121" t="str">
            <v>陈志禹</v>
          </cell>
          <cell r="C121">
            <v>17787</v>
          </cell>
          <cell r="D121" t="str">
            <v>综合技术室</v>
          </cell>
        </row>
        <row r="122">
          <cell r="B122" t="str">
            <v>王琛</v>
          </cell>
          <cell r="C122">
            <v>22291</v>
          </cell>
          <cell r="D122" t="str">
            <v>综合技术室</v>
          </cell>
        </row>
        <row r="123">
          <cell r="B123" t="str">
            <v>林树德</v>
          </cell>
          <cell r="C123">
            <v>51202</v>
          </cell>
          <cell r="D123" t="str">
            <v>综合技术室</v>
          </cell>
        </row>
        <row r="124">
          <cell r="B124" t="str">
            <v>王勇</v>
          </cell>
          <cell r="C124">
            <v>51226</v>
          </cell>
          <cell r="D124" t="str">
            <v>综合技术室</v>
          </cell>
        </row>
        <row r="125">
          <cell r="B125" t="str">
            <v>潘英</v>
          </cell>
          <cell r="C125">
            <v>50864</v>
          </cell>
          <cell r="D125" t="str">
            <v>综合技术室</v>
          </cell>
        </row>
        <row r="126">
          <cell r="B126" t="str">
            <v>杨琼</v>
          </cell>
          <cell r="C126">
            <v>26828</v>
          </cell>
          <cell r="D126" t="str">
            <v>综合技术室</v>
          </cell>
        </row>
        <row r="127">
          <cell r="B127" t="str">
            <v>宋建毅</v>
          </cell>
          <cell r="C127">
            <v>27100</v>
          </cell>
          <cell r="D127" t="str">
            <v>综合技术室</v>
          </cell>
        </row>
        <row r="128">
          <cell r="B128" t="str">
            <v>孙盘滔</v>
          </cell>
          <cell r="C128">
            <v>50686</v>
          </cell>
          <cell r="D128" t="str">
            <v>综合技术室</v>
          </cell>
        </row>
        <row r="129">
          <cell r="B129" t="str">
            <v>吕冬兰</v>
          </cell>
          <cell r="C129">
            <v>51160</v>
          </cell>
          <cell r="D129" t="str">
            <v>综合技术室</v>
          </cell>
        </row>
        <row r="130">
          <cell r="B130" t="str">
            <v>刘红双</v>
          </cell>
          <cell r="C130">
            <v>51151</v>
          </cell>
          <cell r="D130" t="str">
            <v>综合技术室</v>
          </cell>
        </row>
        <row r="131">
          <cell r="B131" t="str">
            <v>李其鹏</v>
          </cell>
          <cell r="C131">
            <v>51429</v>
          </cell>
          <cell r="D131" t="str">
            <v>综合技术室</v>
          </cell>
        </row>
        <row r="132">
          <cell r="B132" t="str">
            <v>韩南逍</v>
          </cell>
          <cell r="C132">
            <v>50029</v>
          </cell>
          <cell r="D132" t="str">
            <v>综合技术室</v>
          </cell>
        </row>
        <row r="133">
          <cell r="B133" t="str">
            <v>崔明慧</v>
          </cell>
          <cell r="C133">
            <v>14901</v>
          </cell>
          <cell r="D133" t="str">
            <v>联络工程室</v>
          </cell>
        </row>
        <row r="134">
          <cell r="B134" t="str">
            <v>高奇</v>
          </cell>
          <cell r="C134">
            <v>17732</v>
          </cell>
          <cell r="D134" t="str">
            <v>联络工程室</v>
          </cell>
        </row>
        <row r="135">
          <cell r="B135" t="str">
            <v>姚庆丰</v>
          </cell>
          <cell r="C135">
            <v>18672</v>
          </cell>
          <cell r="D135" t="str">
            <v>联络工程室</v>
          </cell>
        </row>
        <row r="136">
          <cell r="B136" t="str">
            <v>李湘芝</v>
          </cell>
          <cell r="C136">
            <v>50019</v>
          </cell>
          <cell r="D136" t="str">
            <v>联络工程室</v>
          </cell>
        </row>
        <row r="137">
          <cell r="B137" t="str">
            <v>郭静</v>
          </cell>
          <cell r="C137">
            <v>50027</v>
          </cell>
          <cell r="D137" t="str">
            <v>联络工程室</v>
          </cell>
        </row>
        <row r="138">
          <cell r="B138" t="str">
            <v>梁枫</v>
          </cell>
          <cell r="C138">
            <v>50316</v>
          </cell>
          <cell r="D138" t="str">
            <v>联络工程室</v>
          </cell>
        </row>
        <row r="139">
          <cell r="B139" t="str">
            <v>赵海</v>
          </cell>
          <cell r="C139">
            <v>50323</v>
          </cell>
          <cell r="D139" t="str">
            <v>联络工程室</v>
          </cell>
        </row>
        <row r="140">
          <cell r="B140" t="str">
            <v>赵书凯</v>
          </cell>
          <cell r="C140">
            <v>50832</v>
          </cell>
          <cell r="D140" t="str">
            <v>联络工程室</v>
          </cell>
        </row>
        <row r="141">
          <cell r="B141" t="str">
            <v>刘志秀</v>
          </cell>
          <cell r="C141">
            <v>51395</v>
          </cell>
          <cell r="D141" t="str">
            <v>联络工程室</v>
          </cell>
        </row>
        <row r="142">
          <cell r="B142" t="str">
            <v>王连斌</v>
          </cell>
          <cell r="C142">
            <v>51396</v>
          </cell>
          <cell r="D142" t="str">
            <v>联络工程室</v>
          </cell>
        </row>
        <row r="143">
          <cell r="B143" t="str">
            <v>付泉铭</v>
          </cell>
          <cell r="C143">
            <v>51555</v>
          </cell>
          <cell r="D143" t="str">
            <v>联络工程室</v>
          </cell>
        </row>
        <row r="144">
          <cell r="B144" t="str">
            <v>霍东旭</v>
          </cell>
          <cell r="C144">
            <v>51941</v>
          </cell>
          <cell r="D144" t="str">
            <v>联络工程室</v>
          </cell>
        </row>
        <row r="145">
          <cell r="B145" t="str">
            <v>张一峤</v>
          </cell>
          <cell r="C145">
            <v>50853</v>
          </cell>
          <cell r="D145" t="str">
            <v>联络工程室</v>
          </cell>
        </row>
        <row r="146">
          <cell r="B146" t="str">
            <v>臧爱丽</v>
          </cell>
          <cell r="C146">
            <v>51428</v>
          </cell>
          <cell r="D146" t="str">
            <v>联络工程室</v>
          </cell>
        </row>
        <row r="147">
          <cell r="B147" t="str">
            <v>唐铭远</v>
          </cell>
          <cell r="C147">
            <v>52161</v>
          </cell>
          <cell r="D147" t="str">
            <v>联络工程室</v>
          </cell>
        </row>
        <row r="148">
          <cell r="B148" t="str">
            <v>王世清</v>
          </cell>
          <cell r="C148">
            <v>50317</v>
          </cell>
          <cell r="D148" t="str">
            <v>联络工程室</v>
          </cell>
        </row>
        <row r="149">
          <cell r="B149" t="str">
            <v>马艺丹</v>
          </cell>
          <cell r="C149">
            <v>51665</v>
          </cell>
          <cell r="D149" t="str">
            <v>联络工程室</v>
          </cell>
        </row>
        <row r="150">
          <cell r="B150" t="str">
            <v>杨珺涵</v>
          </cell>
          <cell r="C150">
            <v>51570</v>
          </cell>
          <cell r="D150" t="str">
            <v>联络工程室</v>
          </cell>
        </row>
        <row r="151">
          <cell r="B151" t="str">
            <v>陈坤</v>
          </cell>
          <cell r="C151">
            <v>51576</v>
          </cell>
          <cell r="D151" t="str">
            <v>联络工程室</v>
          </cell>
        </row>
        <row r="152">
          <cell r="B152" t="str">
            <v>韦杰琼</v>
          </cell>
          <cell r="C152">
            <v>25599</v>
          </cell>
          <cell r="D152" t="str">
            <v>联络工程室</v>
          </cell>
        </row>
        <row r="153">
          <cell r="B153" t="str">
            <v>付强</v>
          </cell>
          <cell r="C153">
            <v>25549</v>
          </cell>
          <cell r="D153" t="str">
            <v>联络工程室</v>
          </cell>
        </row>
        <row r="154">
          <cell r="B154" t="str">
            <v>王超</v>
          </cell>
          <cell r="C154">
            <v>26621</v>
          </cell>
          <cell r="D154" t="str">
            <v>联络工程室</v>
          </cell>
        </row>
        <row r="155">
          <cell r="B155" t="str">
            <v>王川</v>
          </cell>
          <cell r="C155">
            <v>22250</v>
          </cell>
          <cell r="D155" t="str">
            <v>联络工程室</v>
          </cell>
        </row>
        <row r="156">
          <cell r="B156" t="str">
            <v>褚永鑫</v>
          </cell>
          <cell r="C156">
            <v>22253</v>
          </cell>
          <cell r="D156" t="str">
            <v>联络工程室</v>
          </cell>
        </row>
        <row r="157">
          <cell r="B157" t="str">
            <v>高秉芳</v>
          </cell>
          <cell r="C157">
            <v>26688</v>
          </cell>
          <cell r="D157" t="str">
            <v>联络工程室</v>
          </cell>
        </row>
        <row r="158">
          <cell r="B158" t="str">
            <v>王立庆</v>
          </cell>
          <cell r="C158">
            <v>27106</v>
          </cell>
          <cell r="D158" t="str">
            <v>联络工程室</v>
          </cell>
        </row>
        <row r="159">
          <cell r="B159" t="str">
            <v>林楠</v>
          </cell>
          <cell r="C159">
            <v>25603</v>
          </cell>
          <cell r="D159" t="str">
            <v>联络工程室</v>
          </cell>
        </row>
        <row r="160">
          <cell r="B160" t="str">
            <v>牛建庄</v>
          </cell>
          <cell r="C160">
            <v>17090</v>
          </cell>
          <cell r="D160" t="str">
            <v>联络工程室</v>
          </cell>
        </row>
        <row r="161">
          <cell r="B161" t="str">
            <v>孙永光</v>
          </cell>
          <cell r="C161">
            <v>25601</v>
          </cell>
          <cell r="D161" t="str">
            <v>联络工程室</v>
          </cell>
        </row>
        <row r="162">
          <cell r="B162" t="str">
            <v>王瑞龙</v>
          </cell>
          <cell r="C162">
            <v>26654</v>
          </cell>
          <cell r="D162" t="str">
            <v>联络工程室</v>
          </cell>
        </row>
      </sheetData>
      <sheetData sheetId="1"/>
      <sheetData sheetId="2"/>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ow r="1">
          <cell r="B1" t="str">
            <v>姓名</v>
          </cell>
          <cell r="C1" t="str">
            <v>胸卡号</v>
          </cell>
          <cell r="D1" t="str">
            <v>专业室</v>
          </cell>
        </row>
        <row r="2">
          <cell r="B2" t="str">
            <v>刘杰</v>
          </cell>
          <cell r="C2">
            <v>17242</v>
          </cell>
          <cell r="D2" t="str">
            <v>办公室</v>
          </cell>
        </row>
        <row r="3">
          <cell r="B3" t="str">
            <v>陶金库</v>
          </cell>
          <cell r="C3">
            <v>50508</v>
          </cell>
          <cell r="D3" t="str">
            <v>办公室</v>
          </cell>
        </row>
        <row r="4">
          <cell r="B4" t="str">
            <v>宋凯（总体）</v>
          </cell>
          <cell r="C4">
            <v>22260</v>
          </cell>
          <cell r="D4" t="str">
            <v>总体室</v>
          </cell>
        </row>
        <row r="5">
          <cell r="B5" t="str">
            <v>张继斌</v>
          </cell>
          <cell r="C5">
            <v>17243</v>
          </cell>
          <cell r="D5" t="str">
            <v>总体室</v>
          </cell>
        </row>
        <row r="6">
          <cell r="B6" t="str">
            <v>赵婷</v>
          </cell>
          <cell r="C6">
            <v>50702</v>
          </cell>
          <cell r="D6" t="str">
            <v>总体室</v>
          </cell>
        </row>
        <row r="7">
          <cell r="B7" t="str">
            <v>刘聪</v>
          </cell>
          <cell r="C7">
            <v>52018</v>
          </cell>
          <cell r="D7" t="str">
            <v>总体室</v>
          </cell>
        </row>
        <row r="8">
          <cell r="B8" t="str">
            <v>刘全</v>
          </cell>
          <cell r="C8">
            <v>50874</v>
          </cell>
          <cell r="D8" t="str">
            <v>总体室</v>
          </cell>
        </row>
        <row r="9">
          <cell r="B9" t="str">
            <v>秦超</v>
          </cell>
          <cell r="C9">
            <v>51591</v>
          </cell>
          <cell r="D9" t="str">
            <v>总体室</v>
          </cell>
        </row>
        <row r="10">
          <cell r="B10" t="str">
            <v>尤宏良</v>
          </cell>
          <cell r="C10">
            <v>18550</v>
          </cell>
          <cell r="D10" t="str">
            <v>总体室</v>
          </cell>
        </row>
        <row r="11">
          <cell r="B11" t="str">
            <v>任璐璐</v>
          </cell>
          <cell r="C11">
            <v>50032</v>
          </cell>
          <cell r="D11" t="str">
            <v>总体室</v>
          </cell>
        </row>
        <row r="12">
          <cell r="B12" t="str">
            <v>赵长辉</v>
          </cell>
          <cell r="C12">
            <v>17725</v>
          </cell>
          <cell r="D12" t="str">
            <v>总体室</v>
          </cell>
        </row>
        <row r="13">
          <cell r="B13" t="str">
            <v>刘成</v>
          </cell>
          <cell r="C13">
            <v>51860</v>
          </cell>
          <cell r="D13" t="str">
            <v>总体室</v>
          </cell>
        </row>
        <row r="14">
          <cell r="B14" t="str">
            <v>刘洋</v>
          </cell>
          <cell r="C14">
            <v>50709</v>
          </cell>
          <cell r="D14" t="str">
            <v>系统室</v>
          </cell>
        </row>
        <row r="15">
          <cell r="B15" t="str">
            <v>魏春生</v>
          </cell>
          <cell r="C15">
            <v>51389</v>
          </cell>
          <cell r="D15" t="str">
            <v>系统室</v>
          </cell>
        </row>
        <row r="16">
          <cell r="B16" t="str">
            <v>刘媛媛</v>
          </cell>
          <cell r="C16">
            <v>51385</v>
          </cell>
          <cell r="D16" t="str">
            <v>系统室</v>
          </cell>
        </row>
        <row r="17">
          <cell r="B17" t="str">
            <v>骆美玲</v>
          </cell>
          <cell r="C17">
            <v>50713</v>
          </cell>
          <cell r="D17" t="str">
            <v>系统室</v>
          </cell>
        </row>
        <row r="18">
          <cell r="B18" t="str">
            <v>刘超</v>
          </cell>
          <cell r="C18">
            <v>51430</v>
          </cell>
          <cell r="D18" t="str">
            <v>系统室</v>
          </cell>
        </row>
        <row r="19">
          <cell r="B19" t="str">
            <v>任斌</v>
          </cell>
          <cell r="C19">
            <v>51517</v>
          </cell>
          <cell r="D19" t="str">
            <v>系统室</v>
          </cell>
        </row>
        <row r="20">
          <cell r="B20" t="str">
            <v>吴晓莉</v>
          </cell>
          <cell r="C20">
            <v>50872</v>
          </cell>
          <cell r="D20" t="str">
            <v>系统室</v>
          </cell>
        </row>
        <row r="21">
          <cell r="B21" t="str">
            <v>宋凯</v>
          </cell>
          <cell r="C21">
            <v>51951</v>
          </cell>
          <cell r="D21" t="str">
            <v>系统室</v>
          </cell>
        </row>
        <row r="22">
          <cell r="B22" t="str">
            <v>万方</v>
          </cell>
          <cell r="C22">
            <v>51387</v>
          </cell>
          <cell r="D22" t="str">
            <v>系统室</v>
          </cell>
        </row>
        <row r="23">
          <cell r="B23" t="str">
            <v>李妍</v>
          </cell>
          <cell r="C23">
            <v>51435</v>
          </cell>
          <cell r="D23" t="str">
            <v>系统室</v>
          </cell>
        </row>
        <row r="24">
          <cell r="B24" t="str">
            <v>刘凯男</v>
          </cell>
          <cell r="C24">
            <v>52156</v>
          </cell>
          <cell r="D24" t="str">
            <v>系统室</v>
          </cell>
        </row>
        <row r="25">
          <cell r="B25" t="str">
            <v>任傲</v>
          </cell>
          <cell r="C25">
            <v>52166</v>
          </cell>
          <cell r="D25" t="str">
            <v>系统室</v>
          </cell>
        </row>
        <row r="26">
          <cell r="B26" t="str">
            <v>刘旭</v>
          </cell>
          <cell r="C26">
            <v>22296</v>
          </cell>
          <cell r="D26" t="str">
            <v>强度室</v>
          </cell>
        </row>
        <row r="27">
          <cell r="B27" t="str">
            <v>吕国成</v>
          </cell>
          <cell r="C27">
            <v>51188</v>
          </cell>
          <cell r="D27" t="str">
            <v>强度室</v>
          </cell>
        </row>
        <row r="28">
          <cell r="B28" t="str">
            <v>许美娟</v>
          </cell>
          <cell r="C28">
            <v>51194</v>
          </cell>
          <cell r="D28" t="str">
            <v>强度室</v>
          </cell>
        </row>
        <row r="29">
          <cell r="B29" t="str">
            <v>何续斌</v>
          </cell>
          <cell r="C29">
            <v>50871</v>
          </cell>
          <cell r="D29" t="str">
            <v>强度室</v>
          </cell>
        </row>
        <row r="30">
          <cell r="B30" t="str">
            <v>孔婷婷</v>
          </cell>
          <cell r="C30">
            <v>23525</v>
          </cell>
          <cell r="D30" t="str">
            <v>强度室</v>
          </cell>
        </row>
        <row r="31">
          <cell r="B31" t="str">
            <v>徐君升</v>
          </cell>
          <cell r="C31">
            <v>50716</v>
          </cell>
          <cell r="D31" t="str">
            <v>强度室</v>
          </cell>
        </row>
        <row r="32">
          <cell r="B32" t="str">
            <v>靳海丰</v>
          </cell>
          <cell r="C32">
            <v>51158</v>
          </cell>
          <cell r="D32" t="str">
            <v>强度室</v>
          </cell>
        </row>
        <row r="33">
          <cell r="B33" t="str">
            <v>王呈呈</v>
          </cell>
          <cell r="C33">
            <v>51196</v>
          </cell>
          <cell r="D33" t="str">
            <v>强度室</v>
          </cell>
        </row>
        <row r="34">
          <cell r="B34" t="str">
            <v>王岩</v>
          </cell>
          <cell r="C34">
            <v>51175</v>
          </cell>
          <cell r="D34" t="str">
            <v>强度室</v>
          </cell>
        </row>
        <row r="35">
          <cell r="B35" t="str">
            <v>张文静</v>
          </cell>
          <cell r="C35">
            <v>22259</v>
          </cell>
          <cell r="D35" t="str">
            <v>强度室</v>
          </cell>
        </row>
        <row r="36">
          <cell r="B36" t="str">
            <v>郑石</v>
          </cell>
          <cell r="C36">
            <v>26766</v>
          </cell>
          <cell r="D36" t="str">
            <v>强度室</v>
          </cell>
        </row>
        <row r="37">
          <cell r="B37" t="str">
            <v>陈瑞东</v>
          </cell>
          <cell r="C37">
            <v>51181</v>
          </cell>
          <cell r="D37" t="str">
            <v>强度室</v>
          </cell>
        </row>
        <row r="38">
          <cell r="B38" t="str">
            <v>刘可佳</v>
          </cell>
          <cell r="C38">
            <v>51793</v>
          </cell>
          <cell r="D38" t="str">
            <v>强度室</v>
          </cell>
        </row>
        <row r="39">
          <cell r="B39" t="str">
            <v>纪可</v>
          </cell>
          <cell r="C39">
            <v>26689</v>
          </cell>
          <cell r="D39" t="str">
            <v>强度室</v>
          </cell>
        </row>
        <row r="40">
          <cell r="B40" t="str">
            <v>孟维宇</v>
          </cell>
          <cell r="C40">
            <v>50722</v>
          </cell>
          <cell r="D40" t="str">
            <v>强度室</v>
          </cell>
        </row>
        <row r="41">
          <cell r="B41" t="str">
            <v>支晗</v>
          </cell>
          <cell r="C41">
            <v>51589</v>
          </cell>
          <cell r="D41" t="str">
            <v>强度室</v>
          </cell>
        </row>
        <row r="42">
          <cell r="B42" t="str">
            <v>刘曦</v>
          </cell>
          <cell r="C42">
            <v>52130</v>
          </cell>
          <cell r="D42" t="str">
            <v>强度室</v>
          </cell>
        </row>
        <row r="43">
          <cell r="B43" t="str">
            <v>赵永利</v>
          </cell>
          <cell r="C43">
            <v>28161</v>
          </cell>
          <cell r="D43" t="str">
            <v>强度室</v>
          </cell>
        </row>
        <row r="44">
          <cell r="B44" t="str">
            <v>焦凯</v>
          </cell>
          <cell r="C44">
            <v>52342</v>
          </cell>
          <cell r="D44" t="str">
            <v>强度室</v>
          </cell>
        </row>
        <row r="45">
          <cell r="B45" t="str">
            <v>黄文超</v>
          </cell>
          <cell r="C45">
            <v>51200</v>
          </cell>
          <cell r="D45" t="str">
            <v>强度室</v>
          </cell>
        </row>
        <row r="46">
          <cell r="B46" t="str">
            <v>李爱环</v>
          </cell>
          <cell r="C46">
            <v>50726</v>
          </cell>
          <cell r="D46" t="str">
            <v>强度室</v>
          </cell>
        </row>
        <row r="47">
          <cell r="B47" t="str">
            <v>李忠霖</v>
          </cell>
          <cell r="C47">
            <v>23524</v>
          </cell>
          <cell r="D47" t="str">
            <v>强度室</v>
          </cell>
        </row>
        <row r="48">
          <cell r="B48" t="str">
            <v>朱照泽</v>
          </cell>
          <cell r="C48">
            <v>51763</v>
          </cell>
          <cell r="D48" t="str">
            <v>强度室</v>
          </cell>
        </row>
        <row r="49">
          <cell r="B49" t="str">
            <v>柴宝</v>
          </cell>
          <cell r="C49">
            <v>51944</v>
          </cell>
          <cell r="D49" t="str">
            <v>强度室</v>
          </cell>
        </row>
        <row r="50">
          <cell r="B50" t="str">
            <v>闫洪乐</v>
          </cell>
          <cell r="C50">
            <v>52347</v>
          </cell>
          <cell r="D50" t="str">
            <v>强度室</v>
          </cell>
        </row>
        <row r="51">
          <cell r="B51" t="str">
            <v>马雪菲</v>
          </cell>
          <cell r="C51">
            <v>52560</v>
          </cell>
          <cell r="D51" t="str">
            <v>强度室</v>
          </cell>
        </row>
        <row r="52">
          <cell r="B52" t="str">
            <v>陈诗春</v>
          </cell>
          <cell r="C52">
            <v>52153</v>
          </cell>
          <cell r="D52" t="str">
            <v>强度室</v>
          </cell>
        </row>
        <row r="53">
          <cell r="B53" t="str">
            <v>乔志斌</v>
          </cell>
          <cell r="C53">
            <v>53422</v>
          </cell>
          <cell r="D53" t="str">
            <v>强度室</v>
          </cell>
        </row>
        <row r="54">
          <cell r="B54" t="str">
            <v>祝堃</v>
          </cell>
          <cell r="C54">
            <v>52256</v>
          </cell>
          <cell r="D54" t="str">
            <v>强度室</v>
          </cell>
        </row>
        <row r="55">
          <cell r="B55" t="str">
            <v>晨曦</v>
          </cell>
          <cell r="C55">
            <v>50030</v>
          </cell>
          <cell r="D55" t="str">
            <v>强度室</v>
          </cell>
        </row>
        <row r="56">
          <cell r="B56" t="str">
            <v>李泽霖</v>
          </cell>
          <cell r="C56">
            <v>52569</v>
          </cell>
          <cell r="D56" t="str">
            <v>强度室</v>
          </cell>
        </row>
        <row r="57">
          <cell r="B57" t="str">
            <v>毛磊凯</v>
          </cell>
          <cell r="C57">
            <v>51184</v>
          </cell>
          <cell r="D57" t="str">
            <v>结构一室</v>
          </cell>
        </row>
        <row r="58">
          <cell r="B58" t="str">
            <v>张智浩</v>
          </cell>
          <cell r="C58">
            <v>52063</v>
          </cell>
          <cell r="D58" t="str">
            <v>结构一室</v>
          </cell>
        </row>
        <row r="59">
          <cell r="B59" t="str">
            <v>张熙尧</v>
          </cell>
          <cell r="C59">
            <v>52017</v>
          </cell>
          <cell r="D59" t="str">
            <v>结构一室</v>
          </cell>
        </row>
        <row r="60">
          <cell r="B60" t="str">
            <v>丛家勇</v>
          </cell>
          <cell r="C60">
            <v>50281</v>
          </cell>
          <cell r="D60" t="str">
            <v>结构一室</v>
          </cell>
        </row>
        <row r="61">
          <cell r="B61" t="str">
            <v>王健</v>
          </cell>
          <cell r="C61">
            <v>51784</v>
          </cell>
          <cell r="D61" t="str">
            <v>结构一室</v>
          </cell>
        </row>
        <row r="62">
          <cell r="B62" t="str">
            <v>张秀丽</v>
          </cell>
          <cell r="C62">
            <v>51165</v>
          </cell>
          <cell r="D62" t="str">
            <v>结构一室</v>
          </cell>
        </row>
        <row r="63">
          <cell r="B63" t="str">
            <v>李金鹰</v>
          </cell>
          <cell r="C63">
            <v>51227</v>
          </cell>
          <cell r="D63" t="str">
            <v>结构一室</v>
          </cell>
        </row>
        <row r="64">
          <cell r="B64" t="str">
            <v>付容容</v>
          </cell>
          <cell r="C64">
            <v>51183</v>
          </cell>
          <cell r="D64" t="str">
            <v>结构一室</v>
          </cell>
        </row>
        <row r="65">
          <cell r="B65" t="str">
            <v>陈磊</v>
          </cell>
          <cell r="C65">
            <v>52180</v>
          </cell>
          <cell r="D65" t="str">
            <v>结构一室</v>
          </cell>
        </row>
        <row r="66">
          <cell r="B66" t="str">
            <v>马岩</v>
          </cell>
          <cell r="C66">
            <v>50730</v>
          </cell>
          <cell r="D66" t="str">
            <v>结构一室</v>
          </cell>
        </row>
        <row r="67">
          <cell r="B67" t="str">
            <v>郭晓庆</v>
          </cell>
          <cell r="C67">
            <v>50275</v>
          </cell>
          <cell r="D67" t="str">
            <v>结构一室</v>
          </cell>
        </row>
        <row r="68">
          <cell r="B68" t="str">
            <v>于磊</v>
          </cell>
          <cell r="C68">
            <v>51400</v>
          </cell>
          <cell r="D68" t="str">
            <v>结构一室</v>
          </cell>
        </row>
        <row r="69">
          <cell r="B69" t="str">
            <v>杨炎通</v>
          </cell>
          <cell r="C69">
            <v>51955</v>
          </cell>
          <cell r="D69" t="str">
            <v>结构一室</v>
          </cell>
        </row>
        <row r="70">
          <cell r="B70" t="str">
            <v>栾鹏</v>
          </cell>
          <cell r="C70">
            <v>51781</v>
          </cell>
          <cell r="D70" t="str">
            <v>结构一室</v>
          </cell>
        </row>
        <row r="71">
          <cell r="B71" t="str">
            <v>塔拉</v>
          </cell>
          <cell r="C71">
            <v>25548</v>
          </cell>
          <cell r="D71" t="str">
            <v>结构一室</v>
          </cell>
        </row>
        <row r="72">
          <cell r="B72" t="str">
            <v>魏士礼</v>
          </cell>
          <cell r="C72">
            <v>22294</v>
          </cell>
          <cell r="D72" t="str">
            <v>结构一室</v>
          </cell>
        </row>
        <row r="73">
          <cell r="B73" t="str">
            <v>葛春生</v>
          </cell>
          <cell r="C73">
            <v>51410</v>
          </cell>
          <cell r="D73" t="str">
            <v>结构一室</v>
          </cell>
        </row>
        <row r="74">
          <cell r="B74" t="str">
            <v>董晓莉</v>
          </cell>
          <cell r="C74">
            <v>51211</v>
          </cell>
          <cell r="D74" t="str">
            <v>结构一室</v>
          </cell>
        </row>
        <row r="75">
          <cell r="B75" t="str">
            <v>李守玺</v>
          </cell>
          <cell r="C75">
            <v>25763</v>
          </cell>
          <cell r="D75" t="str">
            <v>结构一室</v>
          </cell>
        </row>
        <row r="76">
          <cell r="B76" t="str">
            <v>杨春</v>
          </cell>
          <cell r="C76">
            <v>51624</v>
          </cell>
          <cell r="D76" t="str">
            <v>结构一室</v>
          </cell>
        </row>
        <row r="77">
          <cell r="B77" t="str">
            <v>马壮</v>
          </cell>
          <cell r="C77">
            <v>51640</v>
          </cell>
          <cell r="D77" t="str">
            <v>结构一室</v>
          </cell>
        </row>
        <row r="78">
          <cell r="B78" t="str">
            <v>康志明</v>
          </cell>
          <cell r="C78">
            <v>25765</v>
          </cell>
          <cell r="D78" t="str">
            <v>结构一室</v>
          </cell>
        </row>
        <row r="79">
          <cell r="B79" t="str">
            <v>王哲</v>
          </cell>
          <cell r="C79">
            <v>25071</v>
          </cell>
          <cell r="D79" t="str">
            <v>结构一室</v>
          </cell>
        </row>
        <row r="80">
          <cell r="B80" t="str">
            <v>孟祥瑞</v>
          </cell>
          <cell r="C80">
            <v>51615</v>
          </cell>
          <cell r="D80" t="str">
            <v>结构一室</v>
          </cell>
        </row>
        <row r="81">
          <cell r="B81" t="str">
            <v>周弘扬</v>
          </cell>
          <cell r="C81">
            <v>52124</v>
          </cell>
          <cell r="D81" t="str">
            <v>结构一室</v>
          </cell>
        </row>
        <row r="82">
          <cell r="B82" t="str">
            <v>曲汝文</v>
          </cell>
          <cell r="C82">
            <v>52133</v>
          </cell>
          <cell r="D82" t="str">
            <v>结构一室</v>
          </cell>
        </row>
        <row r="83">
          <cell r="B83" t="str">
            <v>马佳</v>
          </cell>
          <cell r="C83">
            <v>52236</v>
          </cell>
          <cell r="D83" t="str">
            <v>结构一室</v>
          </cell>
        </row>
        <row r="84">
          <cell r="B84" t="str">
            <v>卢伟</v>
          </cell>
          <cell r="C84">
            <v>51844</v>
          </cell>
          <cell r="D84" t="str">
            <v>结构一室</v>
          </cell>
        </row>
        <row r="85">
          <cell r="B85" t="str">
            <v>周天一</v>
          </cell>
          <cell r="C85">
            <v>52345</v>
          </cell>
          <cell r="D85" t="str">
            <v>结构一室</v>
          </cell>
        </row>
        <row r="86">
          <cell r="B86" t="str">
            <v>崔建军</v>
          </cell>
          <cell r="C86">
            <v>51647</v>
          </cell>
          <cell r="D86" t="str">
            <v>结构一室</v>
          </cell>
        </row>
        <row r="87">
          <cell r="B87" t="str">
            <v>杨帆</v>
          </cell>
          <cell r="C87">
            <v>25078</v>
          </cell>
          <cell r="D87" t="str">
            <v>结构一室</v>
          </cell>
        </row>
        <row r="88">
          <cell r="B88" t="str">
            <v>王君元</v>
          </cell>
          <cell r="C88">
            <v>50735</v>
          </cell>
          <cell r="D88" t="str">
            <v>结构一室</v>
          </cell>
        </row>
        <row r="89">
          <cell r="B89" t="str">
            <v>费天行</v>
          </cell>
          <cell r="C89">
            <v>52570</v>
          </cell>
          <cell r="D89" t="str">
            <v>结构一室</v>
          </cell>
        </row>
        <row r="90">
          <cell r="B90" t="str">
            <v>徐楚桓</v>
          </cell>
          <cell r="C90">
            <v>52579</v>
          </cell>
          <cell r="D90" t="str">
            <v>结构一室</v>
          </cell>
        </row>
        <row r="91">
          <cell r="B91" t="str">
            <v>刘磊</v>
          </cell>
          <cell r="C91">
            <v>23527</v>
          </cell>
          <cell r="D91" t="str">
            <v>结构二室</v>
          </cell>
        </row>
        <row r="92">
          <cell r="B92" t="str">
            <v>张成</v>
          </cell>
          <cell r="C92">
            <v>18548</v>
          </cell>
          <cell r="D92" t="str">
            <v>结构二室</v>
          </cell>
        </row>
        <row r="93">
          <cell r="B93" t="str">
            <v>张刚</v>
          </cell>
          <cell r="C93">
            <v>50278</v>
          </cell>
          <cell r="D93" t="str">
            <v>结构二室</v>
          </cell>
        </row>
        <row r="94">
          <cell r="B94" t="str">
            <v>牛福春</v>
          </cell>
          <cell r="C94">
            <v>50710</v>
          </cell>
          <cell r="D94" t="str">
            <v>结构二室</v>
          </cell>
        </row>
        <row r="95">
          <cell r="B95" t="str">
            <v>赵艳秦</v>
          </cell>
          <cell r="C95">
            <v>50022</v>
          </cell>
          <cell r="D95" t="str">
            <v>结构二室</v>
          </cell>
        </row>
        <row r="96">
          <cell r="B96" t="str">
            <v>罗贵骞</v>
          </cell>
          <cell r="C96">
            <v>51186</v>
          </cell>
          <cell r="D96" t="str">
            <v>结构二室</v>
          </cell>
        </row>
        <row r="97">
          <cell r="B97" t="str">
            <v>徐丹</v>
          </cell>
          <cell r="C97">
            <v>51407</v>
          </cell>
          <cell r="D97" t="str">
            <v>结构二室</v>
          </cell>
        </row>
        <row r="98">
          <cell r="B98" t="str">
            <v>孟玲俊</v>
          </cell>
          <cell r="C98">
            <v>22298</v>
          </cell>
          <cell r="D98" t="str">
            <v>结构二室</v>
          </cell>
        </row>
        <row r="99">
          <cell r="B99" t="str">
            <v>周莫普</v>
          </cell>
          <cell r="C99">
            <v>51397</v>
          </cell>
          <cell r="D99" t="str">
            <v>结构二室</v>
          </cell>
        </row>
        <row r="100">
          <cell r="B100" t="str">
            <v>孟力华</v>
          </cell>
          <cell r="C100">
            <v>51234</v>
          </cell>
          <cell r="D100" t="str">
            <v>结构二室</v>
          </cell>
        </row>
        <row r="101">
          <cell r="B101" t="str">
            <v>赵莉</v>
          </cell>
          <cell r="C101">
            <v>50065</v>
          </cell>
          <cell r="D101" t="str">
            <v>结构二室</v>
          </cell>
        </row>
        <row r="102">
          <cell r="B102" t="str">
            <v>李森</v>
          </cell>
          <cell r="C102">
            <v>17238</v>
          </cell>
          <cell r="D102" t="str">
            <v>结构二室</v>
          </cell>
        </row>
        <row r="103">
          <cell r="B103" t="str">
            <v>杜洪雨</v>
          </cell>
          <cell r="C103">
            <v>51170</v>
          </cell>
          <cell r="D103" t="str">
            <v>结构二室</v>
          </cell>
        </row>
        <row r="104">
          <cell r="B104" t="str">
            <v>刘金晶</v>
          </cell>
          <cell r="C104">
            <v>51641</v>
          </cell>
          <cell r="D104" t="str">
            <v>结构二室</v>
          </cell>
        </row>
        <row r="105">
          <cell r="B105" t="str">
            <v>陈杰</v>
          </cell>
          <cell r="C105">
            <v>25600</v>
          </cell>
          <cell r="D105" t="str">
            <v>结构二室</v>
          </cell>
        </row>
        <row r="106">
          <cell r="B106" t="str">
            <v>马爽</v>
          </cell>
          <cell r="C106">
            <v>51642</v>
          </cell>
          <cell r="D106" t="str">
            <v>结构二室</v>
          </cell>
        </row>
        <row r="107">
          <cell r="B107" t="str">
            <v>康霞</v>
          </cell>
          <cell r="C107">
            <v>52132</v>
          </cell>
          <cell r="D107" t="str">
            <v>结构二室</v>
          </cell>
        </row>
        <row r="108">
          <cell r="B108" t="str">
            <v>贾永亮</v>
          </cell>
          <cell r="C108">
            <v>52131</v>
          </cell>
          <cell r="D108" t="str">
            <v>结构二室</v>
          </cell>
        </row>
        <row r="109">
          <cell r="B109" t="str">
            <v>朱海</v>
          </cell>
          <cell r="C109">
            <v>52232</v>
          </cell>
          <cell r="D109" t="str">
            <v>结构二室</v>
          </cell>
        </row>
        <row r="110">
          <cell r="B110" t="str">
            <v>赵陈</v>
          </cell>
          <cell r="C110">
            <v>52123</v>
          </cell>
          <cell r="D110" t="str">
            <v>结构二室</v>
          </cell>
        </row>
        <row r="111">
          <cell r="B111" t="str">
            <v>刘朕</v>
          </cell>
          <cell r="C111">
            <v>51190</v>
          </cell>
          <cell r="D111" t="str">
            <v>结构二室</v>
          </cell>
        </row>
        <row r="112">
          <cell r="B112" t="str">
            <v>王艺霖</v>
          </cell>
          <cell r="C112">
            <v>25762</v>
          </cell>
          <cell r="D112" t="str">
            <v>结构二室</v>
          </cell>
        </row>
        <row r="113">
          <cell r="B113" t="str">
            <v>王佳琪</v>
          </cell>
          <cell r="C113">
            <v>52341</v>
          </cell>
          <cell r="D113" t="str">
            <v>结构二室</v>
          </cell>
        </row>
        <row r="114">
          <cell r="B114" t="str">
            <v>王大昱</v>
          </cell>
          <cell r="C114">
            <v>51162</v>
          </cell>
          <cell r="D114" t="str">
            <v>工程项目室</v>
          </cell>
        </row>
        <row r="115">
          <cell r="B115" t="str">
            <v>石荣荣</v>
          </cell>
          <cell r="C115">
            <v>51166</v>
          </cell>
          <cell r="D115" t="str">
            <v>工程项目室</v>
          </cell>
        </row>
        <row r="116">
          <cell r="B116" t="str">
            <v>耿璐璐</v>
          </cell>
          <cell r="C116">
            <v>51405</v>
          </cell>
          <cell r="D116" t="str">
            <v>工程项目室</v>
          </cell>
        </row>
        <row r="117">
          <cell r="B117" t="str">
            <v>夏新鑫</v>
          </cell>
          <cell r="C117">
            <v>50876</v>
          </cell>
          <cell r="D117" t="str">
            <v>工程项目室</v>
          </cell>
        </row>
        <row r="118">
          <cell r="B118" t="str">
            <v>徐丽娜</v>
          </cell>
          <cell r="C118">
            <v>50079</v>
          </cell>
          <cell r="D118" t="str">
            <v>工程项目室</v>
          </cell>
        </row>
        <row r="119">
          <cell r="B119" t="str">
            <v>刘岩东</v>
          </cell>
          <cell r="C119">
            <v>50245</v>
          </cell>
          <cell r="D119" t="str">
            <v>综合技术室</v>
          </cell>
        </row>
        <row r="120">
          <cell r="B120" t="str">
            <v>孙红军</v>
          </cell>
          <cell r="C120" t="str">
            <v>02501</v>
          </cell>
          <cell r="D120" t="str">
            <v>综合技术室</v>
          </cell>
        </row>
        <row r="121">
          <cell r="B121" t="str">
            <v>陈志禹</v>
          </cell>
          <cell r="C121">
            <v>17787</v>
          </cell>
          <cell r="D121" t="str">
            <v>综合技术室</v>
          </cell>
        </row>
        <row r="122">
          <cell r="B122" t="str">
            <v>王琛</v>
          </cell>
          <cell r="C122">
            <v>22291</v>
          </cell>
          <cell r="D122" t="str">
            <v>综合技术室</v>
          </cell>
        </row>
        <row r="123">
          <cell r="B123" t="str">
            <v>林树德</v>
          </cell>
          <cell r="C123">
            <v>51202</v>
          </cell>
          <cell r="D123" t="str">
            <v>综合技术室</v>
          </cell>
        </row>
        <row r="124">
          <cell r="B124" t="str">
            <v>王勇</v>
          </cell>
          <cell r="C124">
            <v>51226</v>
          </cell>
          <cell r="D124" t="str">
            <v>综合技术室</v>
          </cell>
        </row>
        <row r="125">
          <cell r="B125" t="str">
            <v>潘英</v>
          </cell>
          <cell r="C125">
            <v>50864</v>
          </cell>
          <cell r="D125" t="str">
            <v>综合技术室</v>
          </cell>
        </row>
        <row r="126">
          <cell r="B126" t="str">
            <v>杨琼</v>
          </cell>
          <cell r="C126">
            <v>26828</v>
          </cell>
          <cell r="D126" t="str">
            <v>综合技术室</v>
          </cell>
        </row>
        <row r="127">
          <cell r="B127" t="str">
            <v>宋建毅</v>
          </cell>
          <cell r="C127">
            <v>27100</v>
          </cell>
          <cell r="D127" t="str">
            <v>综合技术室</v>
          </cell>
        </row>
        <row r="128">
          <cell r="B128" t="str">
            <v>孙盘滔</v>
          </cell>
          <cell r="C128">
            <v>50686</v>
          </cell>
          <cell r="D128" t="str">
            <v>综合技术室</v>
          </cell>
        </row>
        <row r="129">
          <cell r="B129" t="str">
            <v>吕冬兰</v>
          </cell>
          <cell r="C129">
            <v>51160</v>
          </cell>
          <cell r="D129" t="str">
            <v>综合技术室</v>
          </cell>
        </row>
        <row r="130">
          <cell r="B130" t="str">
            <v>刘红双</v>
          </cell>
          <cell r="C130">
            <v>51151</v>
          </cell>
          <cell r="D130" t="str">
            <v>综合技术室</v>
          </cell>
        </row>
        <row r="131">
          <cell r="B131" t="str">
            <v>李其鹏</v>
          </cell>
          <cell r="C131">
            <v>51429</v>
          </cell>
          <cell r="D131" t="str">
            <v>综合技术室</v>
          </cell>
        </row>
        <row r="132">
          <cell r="B132" t="str">
            <v>韩南逍</v>
          </cell>
          <cell r="C132">
            <v>50029</v>
          </cell>
          <cell r="D132" t="str">
            <v>综合技术室</v>
          </cell>
        </row>
        <row r="133">
          <cell r="B133" t="str">
            <v>崔明慧</v>
          </cell>
          <cell r="C133">
            <v>14901</v>
          </cell>
          <cell r="D133" t="str">
            <v>联络工程室</v>
          </cell>
        </row>
        <row r="134">
          <cell r="B134" t="str">
            <v>高奇</v>
          </cell>
          <cell r="C134">
            <v>17732</v>
          </cell>
          <cell r="D134" t="str">
            <v>联络工程室</v>
          </cell>
        </row>
        <row r="135">
          <cell r="B135" t="str">
            <v>姚庆丰</v>
          </cell>
          <cell r="C135">
            <v>18672</v>
          </cell>
          <cell r="D135" t="str">
            <v>联络工程室</v>
          </cell>
        </row>
        <row r="136">
          <cell r="B136" t="str">
            <v>李湘芝</v>
          </cell>
          <cell r="C136">
            <v>50019</v>
          </cell>
          <cell r="D136" t="str">
            <v>联络工程室</v>
          </cell>
        </row>
        <row r="137">
          <cell r="B137" t="str">
            <v>郭静</v>
          </cell>
          <cell r="C137">
            <v>50027</v>
          </cell>
          <cell r="D137" t="str">
            <v>联络工程室</v>
          </cell>
        </row>
        <row r="138">
          <cell r="B138" t="str">
            <v>梁枫</v>
          </cell>
          <cell r="C138">
            <v>50316</v>
          </cell>
          <cell r="D138" t="str">
            <v>联络工程室</v>
          </cell>
        </row>
        <row r="139">
          <cell r="B139" t="str">
            <v>赵海</v>
          </cell>
          <cell r="C139">
            <v>50323</v>
          </cell>
          <cell r="D139" t="str">
            <v>联络工程室</v>
          </cell>
        </row>
        <row r="140">
          <cell r="B140" t="str">
            <v>赵书凯</v>
          </cell>
          <cell r="C140">
            <v>50832</v>
          </cell>
          <cell r="D140" t="str">
            <v>联络工程室</v>
          </cell>
        </row>
        <row r="141">
          <cell r="B141" t="str">
            <v>刘志秀</v>
          </cell>
          <cell r="C141">
            <v>51395</v>
          </cell>
          <cell r="D141" t="str">
            <v>联络工程室</v>
          </cell>
        </row>
        <row r="142">
          <cell r="B142" t="str">
            <v>王连斌</v>
          </cell>
          <cell r="C142">
            <v>51396</v>
          </cell>
          <cell r="D142" t="str">
            <v>联络工程室</v>
          </cell>
        </row>
        <row r="143">
          <cell r="B143" t="str">
            <v>付泉铭</v>
          </cell>
          <cell r="C143">
            <v>51555</v>
          </cell>
          <cell r="D143" t="str">
            <v>联络工程室</v>
          </cell>
        </row>
        <row r="144">
          <cell r="B144" t="str">
            <v>霍东旭</v>
          </cell>
          <cell r="C144">
            <v>51941</v>
          </cell>
          <cell r="D144" t="str">
            <v>联络工程室</v>
          </cell>
        </row>
        <row r="145">
          <cell r="B145" t="str">
            <v>张一峤</v>
          </cell>
          <cell r="C145">
            <v>50853</v>
          </cell>
          <cell r="D145" t="str">
            <v>联络工程室</v>
          </cell>
        </row>
        <row r="146">
          <cell r="B146" t="str">
            <v>臧爱丽</v>
          </cell>
          <cell r="C146">
            <v>51428</v>
          </cell>
          <cell r="D146" t="str">
            <v>联络工程室</v>
          </cell>
        </row>
        <row r="147">
          <cell r="B147" t="str">
            <v>唐铭远</v>
          </cell>
          <cell r="C147">
            <v>52161</v>
          </cell>
          <cell r="D147" t="str">
            <v>联络工程室</v>
          </cell>
        </row>
        <row r="148">
          <cell r="B148" t="str">
            <v>王世清</v>
          </cell>
          <cell r="C148">
            <v>50317</v>
          </cell>
          <cell r="D148" t="str">
            <v>联络工程室</v>
          </cell>
        </row>
        <row r="149">
          <cell r="B149" t="str">
            <v>马艺丹</v>
          </cell>
          <cell r="C149">
            <v>51665</v>
          </cell>
          <cell r="D149" t="str">
            <v>联络工程室</v>
          </cell>
        </row>
        <row r="150">
          <cell r="B150" t="str">
            <v>杨珺涵</v>
          </cell>
          <cell r="C150">
            <v>51570</v>
          </cell>
          <cell r="D150" t="str">
            <v>联络工程室</v>
          </cell>
        </row>
        <row r="151">
          <cell r="B151" t="str">
            <v>陈坤</v>
          </cell>
          <cell r="C151">
            <v>51576</v>
          </cell>
          <cell r="D151" t="str">
            <v>联络工程室</v>
          </cell>
        </row>
        <row r="152">
          <cell r="B152" t="str">
            <v>韦杰琼</v>
          </cell>
          <cell r="C152">
            <v>25599</v>
          </cell>
          <cell r="D152" t="str">
            <v>联络工程室</v>
          </cell>
        </row>
        <row r="153">
          <cell r="B153" t="str">
            <v>付强</v>
          </cell>
          <cell r="C153">
            <v>25549</v>
          </cell>
          <cell r="D153" t="str">
            <v>联络工程室</v>
          </cell>
        </row>
        <row r="154">
          <cell r="B154" t="str">
            <v>王超</v>
          </cell>
          <cell r="C154">
            <v>26621</v>
          </cell>
          <cell r="D154" t="str">
            <v>联络工程室</v>
          </cell>
        </row>
        <row r="155">
          <cell r="B155" t="str">
            <v>王川</v>
          </cell>
          <cell r="C155">
            <v>22250</v>
          </cell>
          <cell r="D155" t="str">
            <v>联络工程室</v>
          </cell>
        </row>
        <row r="156">
          <cell r="B156" t="str">
            <v>褚永鑫</v>
          </cell>
          <cell r="C156">
            <v>22253</v>
          </cell>
          <cell r="D156" t="str">
            <v>联络工程室</v>
          </cell>
        </row>
        <row r="157">
          <cell r="B157" t="str">
            <v>高秉芳</v>
          </cell>
          <cell r="C157">
            <v>26688</v>
          </cell>
          <cell r="D157" t="str">
            <v>联络工程室</v>
          </cell>
        </row>
        <row r="158">
          <cell r="B158" t="str">
            <v>王立庆</v>
          </cell>
          <cell r="C158">
            <v>27106</v>
          </cell>
          <cell r="D158" t="str">
            <v>联络工程室</v>
          </cell>
        </row>
        <row r="159">
          <cell r="B159" t="str">
            <v>林楠</v>
          </cell>
          <cell r="C159">
            <v>25603</v>
          </cell>
          <cell r="D159" t="str">
            <v>联络工程室</v>
          </cell>
        </row>
        <row r="160">
          <cell r="B160" t="str">
            <v>牛建庄</v>
          </cell>
          <cell r="C160">
            <v>17090</v>
          </cell>
          <cell r="D160" t="str">
            <v>联络工程室</v>
          </cell>
        </row>
        <row r="161">
          <cell r="B161" t="str">
            <v>孙永光</v>
          </cell>
          <cell r="C161">
            <v>25601</v>
          </cell>
          <cell r="D161" t="str">
            <v>联络工程室</v>
          </cell>
        </row>
        <row r="162">
          <cell r="B162" t="str">
            <v>王瑞龙</v>
          </cell>
          <cell r="C162">
            <v>26654</v>
          </cell>
          <cell r="D162" t="str">
            <v>联络工程室</v>
          </cell>
        </row>
      </sheetData>
      <sheetData sheetId="1"/>
      <sheetData sheetId="2"/>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sheetData sheetId="1"/>
      <sheetData sheetId="2"/>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sheetData sheetId="1" refreshError="1"/>
      <sheetData sheetId="2"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sheetData sheetId="1" refreshError="1"/>
      <sheetData sheetId="2"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row r="1">
          <cell r="B1" t="str">
            <v>姓名</v>
          </cell>
          <cell r="C1" t="str">
            <v>胸卡号</v>
          </cell>
          <cell r="D1" t="str">
            <v>专业室</v>
          </cell>
        </row>
        <row r="2">
          <cell r="B2" t="str">
            <v>毛磊凯</v>
          </cell>
          <cell r="C2">
            <v>51184</v>
          </cell>
          <cell r="D2" t="str">
            <v>办公室</v>
          </cell>
        </row>
        <row r="3">
          <cell r="B3" t="str">
            <v>刘杰</v>
          </cell>
          <cell r="C3">
            <v>17242</v>
          </cell>
          <cell r="D3" t="str">
            <v>办公室</v>
          </cell>
        </row>
        <row r="4">
          <cell r="B4" t="str">
            <v>宋凯（总体）</v>
          </cell>
          <cell r="C4">
            <v>22260</v>
          </cell>
          <cell r="D4" t="str">
            <v>办公室</v>
          </cell>
        </row>
        <row r="5">
          <cell r="B5" t="str">
            <v>张继斌</v>
          </cell>
          <cell r="C5">
            <v>17243</v>
          </cell>
          <cell r="D5" t="str">
            <v>总体室</v>
          </cell>
        </row>
        <row r="6">
          <cell r="B6" t="str">
            <v>赵婷</v>
          </cell>
          <cell r="C6">
            <v>50702</v>
          </cell>
          <cell r="D6" t="str">
            <v>总体室</v>
          </cell>
        </row>
        <row r="7">
          <cell r="B7" t="str">
            <v>刘聪</v>
          </cell>
          <cell r="C7">
            <v>52018</v>
          </cell>
          <cell r="D7" t="str">
            <v>总体室</v>
          </cell>
        </row>
        <row r="8">
          <cell r="B8" t="str">
            <v>刘全</v>
          </cell>
          <cell r="C8">
            <v>50874</v>
          </cell>
          <cell r="D8" t="str">
            <v>总体室</v>
          </cell>
        </row>
        <row r="9">
          <cell r="B9" t="str">
            <v>秦超</v>
          </cell>
          <cell r="C9">
            <v>51591</v>
          </cell>
          <cell r="D9" t="str">
            <v>总体室</v>
          </cell>
        </row>
        <row r="10">
          <cell r="B10" t="str">
            <v>尤宏良</v>
          </cell>
          <cell r="C10">
            <v>18550</v>
          </cell>
          <cell r="D10" t="str">
            <v>总体室</v>
          </cell>
        </row>
        <row r="11">
          <cell r="B11" t="str">
            <v>任璐璐</v>
          </cell>
          <cell r="C11">
            <v>50032</v>
          </cell>
          <cell r="D11" t="str">
            <v>总体室</v>
          </cell>
        </row>
        <row r="12">
          <cell r="B12" t="str">
            <v>赵长辉</v>
          </cell>
          <cell r="C12">
            <v>17725</v>
          </cell>
          <cell r="D12" t="str">
            <v>总体室</v>
          </cell>
        </row>
        <row r="13">
          <cell r="B13" t="str">
            <v>刘成</v>
          </cell>
          <cell r="C13">
            <v>51860</v>
          </cell>
          <cell r="D13" t="str">
            <v>总体室</v>
          </cell>
        </row>
        <row r="14">
          <cell r="B14" t="str">
            <v>刘洋</v>
          </cell>
          <cell r="C14">
            <v>50709</v>
          </cell>
          <cell r="D14" t="str">
            <v>系统室</v>
          </cell>
        </row>
        <row r="15">
          <cell r="B15" t="str">
            <v>魏春生</v>
          </cell>
          <cell r="C15">
            <v>51389</v>
          </cell>
          <cell r="D15" t="str">
            <v>系统室</v>
          </cell>
        </row>
        <row r="16">
          <cell r="B16" t="str">
            <v>刘媛媛</v>
          </cell>
          <cell r="C16">
            <v>51385</v>
          </cell>
          <cell r="D16" t="str">
            <v>系统室</v>
          </cell>
        </row>
        <row r="17">
          <cell r="B17" t="str">
            <v>骆美玲</v>
          </cell>
          <cell r="C17">
            <v>50713</v>
          </cell>
          <cell r="D17" t="str">
            <v>系统室</v>
          </cell>
        </row>
        <row r="18">
          <cell r="B18" t="str">
            <v>刘超</v>
          </cell>
          <cell r="C18">
            <v>51430</v>
          </cell>
          <cell r="D18" t="str">
            <v>系统室</v>
          </cell>
        </row>
        <row r="19">
          <cell r="B19" t="str">
            <v>任斌</v>
          </cell>
          <cell r="C19">
            <v>51517</v>
          </cell>
          <cell r="D19" t="str">
            <v>系统室</v>
          </cell>
        </row>
        <row r="20">
          <cell r="B20" t="str">
            <v>吴晓莉</v>
          </cell>
          <cell r="C20">
            <v>50872</v>
          </cell>
          <cell r="D20" t="str">
            <v>系统室</v>
          </cell>
        </row>
        <row r="21">
          <cell r="B21" t="str">
            <v>宋凯</v>
          </cell>
          <cell r="C21">
            <v>51951</v>
          </cell>
          <cell r="D21" t="str">
            <v>系统室</v>
          </cell>
        </row>
        <row r="22">
          <cell r="B22" t="str">
            <v>万方</v>
          </cell>
          <cell r="C22">
            <v>51387</v>
          </cell>
          <cell r="D22" t="str">
            <v>系统室</v>
          </cell>
        </row>
        <row r="23">
          <cell r="B23" t="str">
            <v>李妍</v>
          </cell>
          <cell r="C23">
            <v>51435</v>
          </cell>
          <cell r="D23" t="str">
            <v>系统室</v>
          </cell>
        </row>
        <row r="24">
          <cell r="B24" t="str">
            <v>刘凯男</v>
          </cell>
          <cell r="C24">
            <v>52156</v>
          </cell>
          <cell r="D24" t="str">
            <v>系统室</v>
          </cell>
        </row>
        <row r="25">
          <cell r="B25" t="str">
            <v>夏雷</v>
          </cell>
          <cell r="C25">
            <v>52587</v>
          </cell>
          <cell r="D25" t="str">
            <v>系统室</v>
          </cell>
        </row>
        <row r="26">
          <cell r="B26" t="str">
            <v>赵子维</v>
          </cell>
          <cell r="C26">
            <v>52585</v>
          </cell>
          <cell r="D26" t="str">
            <v>系统室</v>
          </cell>
        </row>
        <row r="27">
          <cell r="B27" t="str">
            <v>刘旭</v>
          </cell>
          <cell r="C27">
            <v>22296</v>
          </cell>
          <cell r="D27" t="str">
            <v>强度室</v>
          </cell>
        </row>
        <row r="28">
          <cell r="B28" t="str">
            <v>刘磊</v>
          </cell>
          <cell r="C28">
            <v>23527</v>
          </cell>
          <cell r="D28" t="str">
            <v>强度室</v>
          </cell>
        </row>
        <row r="29">
          <cell r="B29" t="str">
            <v>许美娟</v>
          </cell>
          <cell r="C29">
            <v>51194</v>
          </cell>
          <cell r="D29" t="str">
            <v>强度室</v>
          </cell>
        </row>
        <row r="30">
          <cell r="B30" t="str">
            <v>何续斌</v>
          </cell>
          <cell r="C30">
            <v>50871</v>
          </cell>
          <cell r="D30" t="str">
            <v>强度室</v>
          </cell>
        </row>
        <row r="31">
          <cell r="B31" t="str">
            <v>徐君升</v>
          </cell>
          <cell r="C31">
            <v>50716</v>
          </cell>
          <cell r="D31" t="str">
            <v>强度室</v>
          </cell>
        </row>
        <row r="32">
          <cell r="B32" t="str">
            <v>靳海丰</v>
          </cell>
          <cell r="C32">
            <v>51158</v>
          </cell>
          <cell r="D32" t="str">
            <v>强度室</v>
          </cell>
        </row>
        <row r="33">
          <cell r="B33" t="str">
            <v>王呈呈</v>
          </cell>
          <cell r="C33">
            <v>51196</v>
          </cell>
          <cell r="D33" t="str">
            <v>强度室</v>
          </cell>
        </row>
        <row r="34">
          <cell r="B34" t="str">
            <v>王岩</v>
          </cell>
          <cell r="C34">
            <v>51175</v>
          </cell>
          <cell r="D34" t="str">
            <v>强度室</v>
          </cell>
        </row>
        <row r="35">
          <cell r="B35" t="str">
            <v>张文静</v>
          </cell>
          <cell r="C35">
            <v>22259</v>
          </cell>
          <cell r="D35" t="str">
            <v>强度室</v>
          </cell>
        </row>
        <row r="36">
          <cell r="B36" t="str">
            <v>郑石</v>
          </cell>
          <cell r="C36">
            <v>26766</v>
          </cell>
          <cell r="D36" t="str">
            <v>强度室</v>
          </cell>
        </row>
        <row r="37">
          <cell r="B37" t="str">
            <v>陈瑞东</v>
          </cell>
          <cell r="C37">
            <v>51181</v>
          </cell>
          <cell r="D37" t="str">
            <v>强度室</v>
          </cell>
        </row>
        <row r="38">
          <cell r="B38" t="str">
            <v>刘可佳</v>
          </cell>
          <cell r="C38">
            <v>51793</v>
          </cell>
          <cell r="D38" t="str">
            <v>强度室</v>
          </cell>
        </row>
        <row r="39">
          <cell r="B39" t="str">
            <v>纪可</v>
          </cell>
          <cell r="C39">
            <v>26689</v>
          </cell>
          <cell r="D39" t="str">
            <v>强度室</v>
          </cell>
        </row>
        <row r="40">
          <cell r="B40" t="str">
            <v>孟维宇</v>
          </cell>
          <cell r="C40">
            <v>50722</v>
          </cell>
          <cell r="D40" t="str">
            <v>强度室</v>
          </cell>
        </row>
        <row r="41">
          <cell r="B41" t="str">
            <v>支晗</v>
          </cell>
          <cell r="C41">
            <v>51589</v>
          </cell>
          <cell r="D41" t="str">
            <v>强度室</v>
          </cell>
        </row>
        <row r="42">
          <cell r="B42" t="str">
            <v>刘曦</v>
          </cell>
          <cell r="C42">
            <v>52130</v>
          </cell>
          <cell r="D42" t="str">
            <v>强度室</v>
          </cell>
        </row>
        <row r="43">
          <cell r="B43" t="str">
            <v>赵永利</v>
          </cell>
          <cell r="C43">
            <v>28161</v>
          </cell>
          <cell r="D43" t="str">
            <v>强度室</v>
          </cell>
        </row>
        <row r="44">
          <cell r="B44" t="str">
            <v>焦凯</v>
          </cell>
          <cell r="C44">
            <v>52342</v>
          </cell>
          <cell r="D44" t="str">
            <v>强度室</v>
          </cell>
        </row>
        <row r="45">
          <cell r="B45" t="str">
            <v>李爱环</v>
          </cell>
          <cell r="C45">
            <v>50726</v>
          </cell>
          <cell r="D45" t="str">
            <v>强度室</v>
          </cell>
        </row>
        <row r="46">
          <cell r="B46" t="str">
            <v>李忠霖</v>
          </cell>
          <cell r="C46">
            <v>23524</v>
          </cell>
          <cell r="D46" t="str">
            <v>强度室</v>
          </cell>
        </row>
        <row r="47">
          <cell r="B47" t="str">
            <v>朱照泽</v>
          </cell>
          <cell r="C47">
            <v>51763</v>
          </cell>
          <cell r="D47" t="str">
            <v>强度室</v>
          </cell>
        </row>
        <row r="48">
          <cell r="B48" t="str">
            <v>柴宝</v>
          </cell>
          <cell r="C48">
            <v>51944</v>
          </cell>
          <cell r="D48" t="str">
            <v>强度室</v>
          </cell>
        </row>
        <row r="49">
          <cell r="B49" t="str">
            <v>闫洪乐</v>
          </cell>
          <cell r="C49">
            <v>52347</v>
          </cell>
          <cell r="D49" t="str">
            <v>强度室</v>
          </cell>
        </row>
        <row r="50">
          <cell r="B50" t="str">
            <v>马雪菲</v>
          </cell>
          <cell r="C50">
            <v>52560</v>
          </cell>
          <cell r="D50" t="str">
            <v>强度室</v>
          </cell>
        </row>
        <row r="51">
          <cell r="B51" t="str">
            <v>陈诗春</v>
          </cell>
          <cell r="C51">
            <v>52153</v>
          </cell>
          <cell r="D51" t="str">
            <v>强度室</v>
          </cell>
        </row>
        <row r="52">
          <cell r="B52" t="str">
            <v>乔志斌</v>
          </cell>
          <cell r="C52">
            <v>53422</v>
          </cell>
          <cell r="D52" t="str">
            <v>强度室</v>
          </cell>
        </row>
        <row r="53">
          <cell r="B53" t="str">
            <v>祝堃</v>
          </cell>
          <cell r="C53">
            <v>52256</v>
          </cell>
          <cell r="D53" t="str">
            <v>强度室</v>
          </cell>
        </row>
        <row r="54">
          <cell r="B54" t="str">
            <v>晨曦</v>
          </cell>
          <cell r="C54">
            <v>50030</v>
          </cell>
          <cell r="D54" t="str">
            <v>强度室</v>
          </cell>
        </row>
        <row r="55">
          <cell r="B55" t="str">
            <v>李泽霖</v>
          </cell>
          <cell r="C55">
            <v>52569</v>
          </cell>
          <cell r="D55" t="str">
            <v>强度室</v>
          </cell>
        </row>
        <row r="56">
          <cell r="B56" t="str">
            <v>张铎耀</v>
          </cell>
          <cell r="C56">
            <v>52581</v>
          </cell>
          <cell r="D56" t="str">
            <v>强度室</v>
          </cell>
        </row>
        <row r="57">
          <cell r="B57" t="str">
            <v>张智浩</v>
          </cell>
          <cell r="C57">
            <v>52063</v>
          </cell>
          <cell r="D57" t="str">
            <v>结构一室</v>
          </cell>
        </row>
        <row r="58">
          <cell r="B58" t="str">
            <v>张熙尧</v>
          </cell>
          <cell r="C58">
            <v>52017</v>
          </cell>
          <cell r="D58" t="str">
            <v>结构一室</v>
          </cell>
        </row>
        <row r="59">
          <cell r="B59" t="str">
            <v>丛家勇</v>
          </cell>
          <cell r="C59">
            <v>50281</v>
          </cell>
          <cell r="D59" t="str">
            <v>结构一室</v>
          </cell>
        </row>
        <row r="60">
          <cell r="B60" t="str">
            <v>王健</v>
          </cell>
          <cell r="C60">
            <v>51784</v>
          </cell>
          <cell r="D60" t="str">
            <v>结构一室</v>
          </cell>
        </row>
        <row r="61">
          <cell r="B61" t="str">
            <v>张秀丽</v>
          </cell>
          <cell r="C61">
            <v>51165</v>
          </cell>
          <cell r="D61" t="str">
            <v>结构一室</v>
          </cell>
        </row>
        <row r="62">
          <cell r="B62" t="str">
            <v>李金鹰</v>
          </cell>
          <cell r="C62">
            <v>51227</v>
          </cell>
          <cell r="D62" t="str">
            <v>结构一室</v>
          </cell>
        </row>
        <row r="63">
          <cell r="B63" t="str">
            <v>付容容</v>
          </cell>
          <cell r="C63">
            <v>51183</v>
          </cell>
          <cell r="D63" t="str">
            <v>结构一室</v>
          </cell>
        </row>
        <row r="64">
          <cell r="B64" t="str">
            <v>陈磊</v>
          </cell>
          <cell r="C64">
            <v>52180</v>
          </cell>
          <cell r="D64" t="str">
            <v>结构一室</v>
          </cell>
        </row>
        <row r="65">
          <cell r="B65" t="str">
            <v>马岩</v>
          </cell>
          <cell r="C65">
            <v>50730</v>
          </cell>
          <cell r="D65" t="str">
            <v>结构一室</v>
          </cell>
        </row>
        <row r="66">
          <cell r="B66" t="str">
            <v>郭晓庆</v>
          </cell>
          <cell r="C66">
            <v>50275</v>
          </cell>
          <cell r="D66" t="str">
            <v>结构一室</v>
          </cell>
        </row>
        <row r="67">
          <cell r="B67" t="str">
            <v>于磊</v>
          </cell>
          <cell r="C67">
            <v>51400</v>
          </cell>
          <cell r="D67" t="str">
            <v>结构一室</v>
          </cell>
        </row>
        <row r="68">
          <cell r="B68" t="str">
            <v>杨炎通</v>
          </cell>
          <cell r="C68">
            <v>51955</v>
          </cell>
          <cell r="D68" t="str">
            <v>结构一室</v>
          </cell>
        </row>
        <row r="69">
          <cell r="B69" t="str">
            <v>栾鹏</v>
          </cell>
          <cell r="C69">
            <v>51781</v>
          </cell>
          <cell r="D69" t="str">
            <v>结构一室</v>
          </cell>
        </row>
        <row r="70">
          <cell r="B70" t="str">
            <v>塔拉</v>
          </cell>
          <cell r="C70">
            <v>25548</v>
          </cell>
          <cell r="D70" t="str">
            <v>结构一室</v>
          </cell>
        </row>
        <row r="71">
          <cell r="B71" t="str">
            <v>魏士礼</v>
          </cell>
          <cell r="C71">
            <v>22294</v>
          </cell>
          <cell r="D71" t="str">
            <v>结构一室</v>
          </cell>
        </row>
        <row r="72">
          <cell r="B72" t="str">
            <v>葛春生</v>
          </cell>
          <cell r="C72">
            <v>51410</v>
          </cell>
          <cell r="D72" t="str">
            <v>结构一室</v>
          </cell>
        </row>
        <row r="73">
          <cell r="B73" t="str">
            <v>董晓莉</v>
          </cell>
          <cell r="C73">
            <v>51211</v>
          </cell>
          <cell r="D73" t="str">
            <v>结构一室</v>
          </cell>
        </row>
        <row r="74">
          <cell r="B74" t="str">
            <v>李守玺</v>
          </cell>
          <cell r="C74">
            <v>25763</v>
          </cell>
          <cell r="D74" t="str">
            <v>结构一室</v>
          </cell>
        </row>
        <row r="75">
          <cell r="B75" t="str">
            <v>杨春</v>
          </cell>
          <cell r="C75">
            <v>51624</v>
          </cell>
          <cell r="D75" t="str">
            <v>结构一室</v>
          </cell>
        </row>
        <row r="76">
          <cell r="B76" t="str">
            <v>马壮</v>
          </cell>
          <cell r="C76">
            <v>51640</v>
          </cell>
          <cell r="D76" t="str">
            <v>结构一室</v>
          </cell>
        </row>
        <row r="77">
          <cell r="B77" t="str">
            <v>康志明</v>
          </cell>
          <cell r="C77">
            <v>25765</v>
          </cell>
          <cell r="D77" t="str">
            <v>结构一室</v>
          </cell>
        </row>
        <row r="78">
          <cell r="B78" t="str">
            <v>王哲</v>
          </cell>
          <cell r="C78">
            <v>25071</v>
          </cell>
          <cell r="D78" t="str">
            <v>结构一室</v>
          </cell>
        </row>
        <row r="79">
          <cell r="B79" t="str">
            <v>孟祥瑞</v>
          </cell>
          <cell r="C79">
            <v>51615</v>
          </cell>
          <cell r="D79" t="str">
            <v>结构一室</v>
          </cell>
        </row>
        <row r="80">
          <cell r="B80" t="str">
            <v>周弘扬</v>
          </cell>
          <cell r="C80">
            <v>52124</v>
          </cell>
          <cell r="D80" t="str">
            <v>结构一室</v>
          </cell>
        </row>
        <row r="81">
          <cell r="B81" t="str">
            <v>曲汝文</v>
          </cell>
          <cell r="C81">
            <v>52133</v>
          </cell>
          <cell r="D81" t="str">
            <v>结构一室</v>
          </cell>
        </row>
        <row r="82">
          <cell r="B82" t="str">
            <v>马佳</v>
          </cell>
          <cell r="C82">
            <v>52236</v>
          </cell>
          <cell r="D82" t="str">
            <v>结构一室</v>
          </cell>
        </row>
        <row r="83">
          <cell r="B83" t="str">
            <v>卢伟</v>
          </cell>
          <cell r="C83">
            <v>51844</v>
          </cell>
          <cell r="D83" t="str">
            <v>结构一室</v>
          </cell>
        </row>
        <row r="84">
          <cell r="B84" t="str">
            <v>周天一</v>
          </cell>
          <cell r="C84">
            <v>52345</v>
          </cell>
          <cell r="D84" t="str">
            <v>结构一室</v>
          </cell>
        </row>
        <row r="85">
          <cell r="B85" t="str">
            <v>崔建军</v>
          </cell>
          <cell r="C85">
            <v>51647</v>
          </cell>
          <cell r="D85" t="str">
            <v>结构一室</v>
          </cell>
        </row>
        <row r="86">
          <cell r="B86" t="str">
            <v>杨帆</v>
          </cell>
          <cell r="C86">
            <v>25078</v>
          </cell>
          <cell r="D86" t="str">
            <v>结构一室</v>
          </cell>
        </row>
        <row r="87">
          <cell r="B87" t="str">
            <v>王君元</v>
          </cell>
          <cell r="C87">
            <v>50735</v>
          </cell>
          <cell r="D87" t="str">
            <v>结构一室</v>
          </cell>
        </row>
        <row r="88">
          <cell r="B88" t="str">
            <v>徐楚桓</v>
          </cell>
          <cell r="C88">
            <v>52579</v>
          </cell>
          <cell r="D88" t="str">
            <v>结构一室</v>
          </cell>
        </row>
        <row r="89">
          <cell r="B89" t="str">
            <v>吕国成</v>
          </cell>
          <cell r="C89">
            <v>51188</v>
          </cell>
          <cell r="D89" t="str">
            <v>结构二室</v>
          </cell>
        </row>
        <row r="90">
          <cell r="B90" t="str">
            <v>张成</v>
          </cell>
          <cell r="C90">
            <v>18548</v>
          </cell>
          <cell r="D90" t="str">
            <v>结构二室</v>
          </cell>
        </row>
        <row r="91">
          <cell r="B91" t="str">
            <v>张刚</v>
          </cell>
          <cell r="C91">
            <v>50278</v>
          </cell>
          <cell r="D91" t="str">
            <v>结构二室</v>
          </cell>
        </row>
        <row r="92">
          <cell r="B92" t="str">
            <v>牛福春</v>
          </cell>
          <cell r="C92">
            <v>50710</v>
          </cell>
          <cell r="D92" t="str">
            <v>结构二室</v>
          </cell>
        </row>
        <row r="93">
          <cell r="B93" t="str">
            <v>赵艳秦</v>
          </cell>
          <cell r="C93">
            <v>50022</v>
          </cell>
          <cell r="D93" t="str">
            <v>结构二室</v>
          </cell>
        </row>
        <row r="94">
          <cell r="B94" t="str">
            <v>罗贵骞</v>
          </cell>
          <cell r="C94">
            <v>51186</v>
          </cell>
          <cell r="D94" t="str">
            <v>结构二室</v>
          </cell>
        </row>
        <row r="95">
          <cell r="B95" t="str">
            <v>徐丹</v>
          </cell>
          <cell r="C95">
            <v>51407</v>
          </cell>
          <cell r="D95" t="str">
            <v>结构二室</v>
          </cell>
        </row>
        <row r="96">
          <cell r="B96" t="str">
            <v>孟玲俊</v>
          </cell>
          <cell r="C96">
            <v>22298</v>
          </cell>
          <cell r="D96" t="str">
            <v>结构二室</v>
          </cell>
        </row>
        <row r="97">
          <cell r="B97" t="str">
            <v>周莫普</v>
          </cell>
          <cell r="C97">
            <v>51397</v>
          </cell>
          <cell r="D97" t="str">
            <v>结构二室</v>
          </cell>
        </row>
        <row r="98">
          <cell r="B98" t="str">
            <v>孟力华</v>
          </cell>
          <cell r="C98">
            <v>51234</v>
          </cell>
          <cell r="D98" t="str">
            <v>结构二室</v>
          </cell>
        </row>
        <row r="99">
          <cell r="B99" t="str">
            <v>赵莉</v>
          </cell>
          <cell r="C99">
            <v>50065</v>
          </cell>
          <cell r="D99" t="str">
            <v>结构二室</v>
          </cell>
        </row>
        <row r="100">
          <cell r="B100" t="str">
            <v>李森</v>
          </cell>
          <cell r="C100">
            <v>17238</v>
          </cell>
          <cell r="D100" t="str">
            <v>结构二室</v>
          </cell>
        </row>
        <row r="101">
          <cell r="B101" t="str">
            <v>杜洪雨</v>
          </cell>
          <cell r="C101">
            <v>51170</v>
          </cell>
          <cell r="D101" t="str">
            <v>结构二室</v>
          </cell>
        </row>
        <row r="102">
          <cell r="B102" t="str">
            <v>刘金晶</v>
          </cell>
          <cell r="C102">
            <v>51641</v>
          </cell>
          <cell r="D102" t="str">
            <v>结构二室</v>
          </cell>
        </row>
        <row r="103">
          <cell r="B103" t="str">
            <v>陈杰</v>
          </cell>
          <cell r="C103">
            <v>25600</v>
          </cell>
          <cell r="D103" t="str">
            <v>结构二室</v>
          </cell>
        </row>
        <row r="104">
          <cell r="B104" t="str">
            <v>马爽</v>
          </cell>
          <cell r="C104">
            <v>51642</v>
          </cell>
          <cell r="D104" t="str">
            <v>结构二室</v>
          </cell>
        </row>
        <row r="105">
          <cell r="B105" t="str">
            <v>康霞</v>
          </cell>
          <cell r="C105">
            <v>52132</v>
          </cell>
          <cell r="D105" t="str">
            <v>结构二室</v>
          </cell>
        </row>
        <row r="106">
          <cell r="B106" t="str">
            <v>贾永亮</v>
          </cell>
          <cell r="C106">
            <v>52131</v>
          </cell>
          <cell r="D106" t="str">
            <v>结构二室</v>
          </cell>
        </row>
        <row r="107">
          <cell r="B107" t="str">
            <v>朱海</v>
          </cell>
          <cell r="C107">
            <v>52232</v>
          </cell>
          <cell r="D107" t="str">
            <v>结构二室</v>
          </cell>
        </row>
        <row r="108">
          <cell r="B108" t="str">
            <v>赵陈</v>
          </cell>
          <cell r="C108">
            <v>52123</v>
          </cell>
          <cell r="D108" t="str">
            <v>结构二室</v>
          </cell>
        </row>
        <row r="109">
          <cell r="B109" t="str">
            <v>刘朕</v>
          </cell>
          <cell r="C109">
            <v>51190</v>
          </cell>
          <cell r="D109" t="str">
            <v>结构二室</v>
          </cell>
        </row>
        <row r="110">
          <cell r="B110" t="str">
            <v>王艺霖</v>
          </cell>
          <cell r="C110">
            <v>25762</v>
          </cell>
          <cell r="D110" t="str">
            <v>结构二室</v>
          </cell>
        </row>
        <row r="111">
          <cell r="B111" t="str">
            <v>王佳琪</v>
          </cell>
          <cell r="C111">
            <v>52341</v>
          </cell>
          <cell r="D111" t="str">
            <v>结构二室</v>
          </cell>
        </row>
        <row r="112">
          <cell r="B112" t="str">
            <v>王大昱</v>
          </cell>
          <cell r="C112">
            <v>51162</v>
          </cell>
          <cell r="D112" t="str">
            <v>工程项目室 /适航工程室</v>
          </cell>
        </row>
        <row r="113">
          <cell r="B113" t="str">
            <v>石荣荣</v>
          </cell>
          <cell r="C113">
            <v>51166</v>
          </cell>
          <cell r="D113" t="str">
            <v>工程项目室 /适航工程室</v>
          </cell>
        </row>
        <row r="114">
          <cell r="B114" t="str">
            <v>耿璐璐</v>
          </cell>
          <cell r="C114">
            <v>51405</v>
          </cell>
          <cell r="D114" t="str">
            <v>工程项目室 /适航工程室</v>
          </cell>
        </row>
        <row r="115">
          <cell r="B115" t="str">
            <v>夏新鑫</v>
          </cell>
          <cell r="C115">
            <v>50876</v>
          </cell>
          <cell r="D115" t="str">
            <v>工程项目室 /适航工程室</v>
          </cell>
        </row>
        <row r="116">
          <cell r="B116" t="str">
            <v>徐丽娜</v>
          </cell>
          <cell r="C116">
            <v>50079</v>
          </cell>
          <cell r="D116" t="str">
            <v>工程项目室 /适航工程室</v>
          </cell>
        </row>
        <row r="117">
          <cell r="B117" t="str">
            <v>费天行</v>
          </cell>
          <cell r="C117">
            <v>52570</v>
          </cell>
          <cell r="D117" t="str">
            <v>工程项目室 /适航工程室</v>
          </cell>
        </row>
        <row r="118">
          <cell r="B118" t="str">
            <v>林树德</v>
          </cell>
          <cell r="C118">
            <v>51202</v>
          </cell>
          <cell r="D118" t="str">
            <v>综合技术室</v>
          </cell>
        </row>
        <row r="119">
          <cell r="B119" t="str">
            <v>孙红军</v>
          </cell>
          <cell r="C119" t="str">
            <v>02501</v>
          </cell>
          <cell r="D119" t="str">
            <v>综合技术室</v>
          </cell>
        </row>
        <row r="120">
          <cell r="B120" t="str">
            <v>陈志禹</v>
          </cell>
          <cell r="C120">
            <v>17787</v>
          </cell>
          <cell r="D120" t="str">
            <v>综合技术室</v>
          </cell>
        </row>
        <row r="121">
          <cell r="B121" t="str">
            <v>王琛</v>
          </cell>
          <cell r="C121">
            <v>22291</v>
          </cell>
          <cell r="D121" t="str">
            <v>综合技术室</v>
          </cell>
        </row>
        <row r="122">
          <cell r="B122" t="str">
            <v>王勇</v>
          </cell>
          <cell r="C122">
            <v>51226</v>
          </cell>
          <cell r="D122" t="str">
            <v>综合技术室</v>
          </cell>
        </row>
        <row r="123">
          <cell r="B123" t="str">
            <v>潘英</v>
          </cell>
          <cell r="C123">
            <v>50864</v>
          </cell>
          <cell r="D123" t="str">
            <v>综合技术室</v>
          </cell>
        </row>
        <row r="124">
          <cell r="B124" t="str">
            <v>杨琼</v>
          </cell>
          <cell r="C124">
            <v>26828</v>
          </cell>
          <cell r="D124" t="str">
            <v>综合技术室</v>
          </cell>
        </row>
        <row r="125">
          <cell r="B125" t="str">
            <v>宋建毅</v>
          </cell>
          <cell r="C125">
            <v>27100</v>
          </cell>
          <cell r="D125" t="str">
            <v>综合技术室</v>
          </cell>
        </row>
        <row r="126">
          <cell r="B126" t="str">
            <v>孙盘滔</v>
          </cell>
          <cell r="C126">
            <v>50686</v>
          </cell>
          <cell r="D126" t="str">
            <v>综合技术室</v>
          </cell>
        </row>
        <row r="127">
          <cell r="B127" t="str">
            <v>吕冬兰</v>
          </cell>
          <cell r="C127">
            <v>51160</v>
          </cell>
          <cell r="D127" t="str">
            <v>综合技术室</v>
          </cell>
        </row>
        <row r="128">
          <cell r="B128" t="str">
            <v>刘红双</v>
          </cell>
          <cell r="C128">
            <v>51151</v>
          </cell>
          <cell r="D128" t="str">
            <v>综合技术室</v>
          </cell>
        </row>
        <row r="129">
          <cell r="B129" t="str">
            <v>李其鹏</v>
          </cell>
          <cell r="C129">
            <v>51429</v>
          </cell>
          <cell r="D129" t="str">
            <v>综合技术室</v>
          </cell>
        </row>
        <row r="130">
          <cell r="B130" t="str">
            <v>王超</v>
          </cell>
          <cell r="C130">
            <v>26621</v>
          </cell>
          <cell r="D130" t="str">
            <v>联络工程室</v>
          </cell>
        </row>
        <row r="131">
          <cell r="B131" t="str">
            <v>崔明慧</v>
          </cell>
          <cell r="C131">
            <v>14901</v>
          </cell>
          <cell r="D131" t="str">
            <v>联络工程室</v>
          </cell>
        </row>
        <row r="132">
          <cell r="B132" t="str">
            <v>刘岩东</v>
          </cell>
          <cell r="C132">
            <v>50245</v>
          </cell>
          <cell r="D132" t="str">
            <v>联络工程室</v>
          </cell>
        </row>
        <row r="133">
          <cell r="B133" t="str">
            <v>高奇</v>
          </cell>
          <cell r="C133">
            <v>17732</v>
          </cell>
          <cell r="D133" t="str">
            <v>联络工程室</v>
          </cell>
        </row>
        <row r="134">
          <cell r="B134" t="str">
            <v>姚庆丰</v>
          </cell>
          <cell r="C134">
            <v>18672</v>
          </cell>
          <cell r="D134" t="str">
            <v>联络工程室</v>
          </cell>
        </row>
        <row r="135">
          <cell r="B135" t="str">
            <v>李湘芝</v>
          </cell>
          <cell r="C135">
            <v>50019</v>
          </cell>
          <cell r="D135" t="str">
            <v>联络工程室</v>
          </cell>
        </row>
        <row r="136">
          <cell r="B136" t="str">
            <v>郭静</v>
          </cell>
          <cell r="C136">
            <v>50027</v>
          </cell>
          <cell r="D136" t="str">
            <v>联络工程室</v>
          </cell>
        </row>
        <row r="137">
          <cell r="B137" t="str">
            <v>梁枫</v>
          </cell>
          <cell r="C137">
            <v>50316</v>
          </cell>
          <cell r="D137" t="str">
            <v>联络工程室</v>
          </cell>
        </row>
        <row r="138">
          <cell r="B138" t="str">
            <v>赵海</v>
          </cell>
          <cell r="C138">
            <v>50323</v>
          </cell>
          <cell r="D138" t="str">
            <v>联络工程室</v>
          </cell>
        </row>
        <row r="139">
          <cell r="B139" t="str">
            <v>赵书凯</v>
          </cell>
          <cell r="C139">
            <v>50832</v>
          </cell>
          <cell r="D139" t="str">
            <v>联络工程室</v>
          </cell>
        </row>
        <row r="140">
          <cell r="B140" t="str">
            <v>刘志秀</v>
          </cell>
          <cell r="C140">
            <v>51395</v>
          </cell>
          <cell r="D140" t="str">
            <v>联络工程室</v>
          </cell>
        </row>
        <row r="141">
          <cell r="B141" t="str">
            <v>王连斌</v>
          </cell>
          <cell r="C141">
            <v>51396</v>
          </cell>
          <cell r="D141" t="str">
            <v>联络工程室</v>
          </cell>
        </row>
        <row r="142">
          <cell r="B142" t="str">
            <v>付泉铭</v>
          </cell>
          <cell r="C142">
            <v>51555</v>
          </cell>
          <cell r="D142" t="str">
            <v>联络工程室</v>
          </cell>
        </row>
        <row r="143">
          <cell r="B143" t="str">
            <v>霍东旭</v>
          </cell>
          <cell r="C143">
            <v>51941</v>
          </cell>
          <cell r="D143" t="str">
            <v>联络工程室</v>
          </cell>
        </row>
        <row r="144">
          <cell r="B144" t="str">
            <v>张一峤</v>
          </cell>
          <cell r="C144">
            <v>50853</v>
          </cell>
          <cell r="D144" t="str">
            <v>联络工程室</v>
          </cell>
        </row>
        <row r="145">
          <cell r="B145" t="str">
            <v>臧爱丽</v>
          </cell>
          <cell r="C145">
            <v>51428</v>
          </cell>
          <cell r="D145" t="str">
            <v>联络工程室</v>
          </cell>
        </row>
        <row r="146">
          <cell r="B146" t="str">
            <v>王世清</v>
          </cell>
          <cell r="C146">
            <v>50317</v>
          </cell>
          <cell r="D146" t="str">
            <v>联络工程室</v>
          </cell>
        </row>
        <row r="147">
          <cell r="B147" t="str">
            <v>马艺丹</v>
          </cell>
          <cell r="C147">
            <v>51665</v>
          </cell>
          <cell r="D147" t="str">
            <v>联络工程室</v>
          </cell>
        </row>
        <row r="148">
          <cell r="B148" t="str">
            <v>杨珺涵</v>
          </cell>
          <cell r="C148">
            <v>51570</v>
          </cell>
          <cell r="D148" t="str">
            <v>联络工程室</v>
          </cell>
        </row>
        <row r="149">
          <cell r="B149" t="str">
            <v>陈坤</v>
          </cell>
          <cell r="C149">
            <v>51576</v>
          </cell>
          <cell r="D149" t="str">
            <v>联络工程室</v>
          </cell>
        </row>
        <row r="150">
          <cell r="B150" t="str">
            <v>韦杰琼</v>
          </cell>
          <cell r="C150">
            <v>25599</v>
          </cell>
          <cell r="D150" t="str">
            <v>联络工程室</v>
          </cell>
        </row>
        <row r="151">
          <cell r="B151" t="str">
            <v>付强</v>
          </cell>
          <cell r="C151">
            <v>25549</v>
          </cell>
          <cell r="D151" t="str">
            <v>联络工程室</v>
          </cell>
        </row>
        <row r="152">
          <cell r="B152" t="str">
            <v>王川</v>
          </cell>
          <cell r="C152">
            <v>22250</v>
          </cell>
          <cell r="D152" t="str">
            <v>联络工程室</v>
          </cell>
        </row>
        <row r="153">
          <cell r="B153" t="str">
            <v>褚永鑫</v>
          </cell>
          <cell r="C153">
            <v>22253</v>
          </cell>
          <cell r="D153" t="str">
            <v>联络工程室</v>
          </cell>
        </row>
        <row r="154">
          <cell r="B154" t="str">
            <v>高秉芳</v>
          </cell>
          <cell r="C154">
            <v>26688</v>
          </cell>
          <cell r="D154" t="str">
            <v>联络工程室</v>
          </cell>
        </row>
        <row r="155">
          <cell r="B155" t="str">
            <v>王立庆</v>
          </cell>
          <cell r="C155">
            <v>27106</v>
          </cell>
          <cell r="D155" t="str">
            <v>联络工程室</v>
          </cell>
        </row>
        <row r="156">
          <cell r="B156" t="str">
            <v>林楠</v>
          </cell>
          <cell r="C156">
            <v>25603</v>
          </cell>
          <cell r="D156" t="str">
            <v>联络工程室</v>
          </cell>
        </row>
        <row r="157">
          <cell r="B157" t="str">
            <v>牛建庄</v>
          </cell>
          <cell r="C157">
            <v>17090</v>
          </cell>
          <cell r="D157" t="str">
            <v>联络工程室</v>
          </cell>
        </row>
        <row r="158">
          <cell r="B158" t="str">
            <v>孙永光</v>
          </cell>
          <cell r="C158">
            <v>25601</v>
          </cell>
          <cell r="D158" t="str">
            <v>联络工程室</v>
          </cell>
        </row>
        <row r="159">
          <cell r="B159" t="str">
            <v>王瑞龙</v>
          </cell>
          <cell r="C159">
            <v>26654</v>
          </cell>
          <cell r="D159" t="str">
            <v>联络工程室</v>
          </cell>
        </row>
      </sheetData>
      <sheetData sheetId="1" refreshError="1"/>
      <sheetData sheetId="2"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2月项目工时"/>
    </sheetNames>
    <sheetDataSet>
      <sheetData sheetId="0" refreshError="1"/>
      <sheetData sheetId="1" refreshError="1"/>
      <sheetData sheetId="2"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sheetData sheetId="1" refreshError="1"/>
      <sheetData sheetId="2"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3月项目工时"/>
    </sheetNames>
    <sheetDataSet>
      <sheetData sheetId="0" refreshError="1"/>
      <sheetData sheetId="1" refreshError="1"/>
      <sheetData sheetId="2"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4月项目工时"/>
    </sheetNames>
    <sheetDataSet>
      <sheetData sheetId="0" refreshError="1"/>
      <sheetData sheetId="1" refreshError="1"/>
      <sheetData sheetId="2"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sheetData sheetId="1" refreshError="1"/>
      <sheetData sheetId="2"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 val="Sheet1"/>
    </sheetNames>
    <sheetDataSet>
      <sheetData sheetId="0" refreshError="1"/>
      <sheetData sheetId="1" refreshError="1"/>
      <sheetData sheetId="2" refreshError="1"/>
      <sheetData sheetId="3"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 val="Sheet1"/>
    </sheetNames>
    <sheetDataSet>
      <sheetData sheetId="0" refreshError="1"/>
      <sheetData sheetId="1" refreshError="1"/>
      <sheetData sheetId="2" refreshError="1"/>
      <sheetData sheetId="3"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绩效系数统计表"/>
      <sheetName val="X月项目工时"/>
      <sheetName val="X月出勤工时&amp;加班工时"/>
    </sheetNames>
    <sheetDataSet>
      <sheetData sheetId="0" refreshError="1"/>
      <sheetData sheetId="1" refreshError="1"/>
      <sheetData sheetId="2" refreshError="1"/>
      <sheetData sheetId="3" refreshError="1"/>
      <sheetData sheetId="4"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sheetData sheetId="1" refreshError="1"/>
      <sheetData sheetId="2"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sheetData sheetId="1" refreshError="1"/>
      <sheetData sheetId="2"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6月项目工时"/>
    </sheetNames>
    <sheetDataSet>
      <sheetData sheetId="0" refreshError="1"/>
      <sheetData sheetId="1" refreshError="1"/>
      <sheetData sheetId="2" refreshError="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sheetData sheetId="1" refreshError="1"/>
      <sheetData sheetId="2" refreshError="1"/>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sheetData sheetId="1" refreshError="1"/>
      <sheetData sheetId="2" refreshError="1"/>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sheetData sheetId="1" refreshError="1"/>
      <sheetData sheetId="2" refreshError="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6月项目工时"/>
    </sheetNames>
    <sheetDataSet>
      <sheetData sheetId="0" refreshError="1"/>
      <sheetData sheetId="1" refreshError="1"/>
      <sheetData sheetId="2" refreshError="1"/>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6月项目工时"/>
    </sheetNames>
    <sheetDataSet>
      <sheetData sheetId="0" refreshError="1"/>
      <sheetData sheetId="1" refreshError="1"/>
      <sheetData sheetId="2" refreshError="1"/>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sheetData sheetId="1" refreshError="1"/>
      <sheetData sheetId="2"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 val="Sheet1"/>
    </sheetNames>
    <sheetDataSet>
      <sheetData sheetId="0" refreshError="1"/>
      <sheetData sheetId="1" refreshError="1"/>
      <sheetData sheetId="2" refreshError="1"/>
      <sheetData sheetId="3" refreshError="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sheetData sheetId="1" refreshError="1"/>
      <sheetData sheetId="2"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sheetData sheetId="1" refreshError="1"/>
      <sheetData sheetId="2"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sheetData sheetId="1" refreshError="1"/>
      <sheetData sheetId="2"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3月项目工时"/>
    </sheetNames>
    <sheetDataSet>
      <sheetData sheetId="0" refreshError="1"/>
      <sheetData sheetId="1" refreshError="1"/>
      <sheetData sheetId="2" refreshError="1"/>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sheetData sheetId="1" refreshError="1"/>
      <sheetData sheetId="2" refreshError="1"/>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sheetData sheetId="1" refreshError="1"/>
      <sheetData sheetId="2" refreshError="1"/>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 val="Sheet1"/>
    </sheetNames>
    <sheetDataSet>
      <sheetData sheetId="0" refreshError="1"/>
      <sheetData sheetId="1" refreshError="1"/>
      <sheetData sheetId="2" refreshError="1"/>
      <sheetData sheetId="3" refreshError="1"/>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 val="Sheet1"/>
    </sheetNames>
    <sheetDataSet>
      <sheetData sheetId="0" refreshError="1"/>
      <sheetData sheetId="1" refreshError="1"/>
      <sheetData sheetId="2" refreshError="1"/>
      <sheetData sheetId="3" refreshError="1"/>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5月项目工时"/>
      <sheetName val="Sheet1"/>
    </sheetNames>
    <sheetDataSet>
      <sheetData sheetId="0" refreshError="1"/>
      <sheetData sheetId="1" refreshError="1"/>
      <sheetData sheetId="2" refreshError="1"/>
      <sheetData sheetId="3" refreshError="1"/>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row r="1">
          <cell r="B1" t="str">
            <v>姓名</v>
          </cell>
          <cell r="C1" t="str">
            <v>胸卡号</v>
          </cell>
          <cell r="D1" t="str">
            <v>专业室</v>
          </cell>
        </row>
        <row r="2">
          <cell r="B2" t="str">
            <v>毛磊凯</v>
          </cell>
          <cell r="C2">
            <v>51184</v>
          </cell>
          <cell r="D2" t="str">
            <v>办公室</v>
          </cell>
        </row>
        <row r="3">
          <cell r="B3" t="str">
            <v>刘杰</v>
          </cell>
          <cell r="C3">
            <v>17242</v>
          </cell>
          <cell r="D3" t="str">
            <v>办公室</v>
          </cell>
        </row>
        <row r="4">
          <cell r="B4" t="str">
            <v>宋凯（总体）</v>
          </cell>
          <cell r="C4">
            <v>22260</v>
          </cell>
          <cell r="D4" t="str">
            <v>办公室</v>
          </cell>
        </row>
        <row r="5">
          <cell r="B5" t="str">
            <v>张继斌</v>
          </cell>
          <cell r="C5">
            <v>17243</v>
          </cell>
          <cell r="D5" t="str">
            <v>总体室</v>
          </cell>
        </row>
        <row r="6">
          <cell r="B6" t="str">
            <v>赵婷</v>
          </cell>
          <cell r="C6">
            <v>50702</v>
          </cell>
          <cell r="D6" t="str">
            <v>总体室</v>
          </cell>
        </row>
        <row r="7">
          <cell r="B7" t="str">
            <v>刘聪</v>
          </cell>
          <cell r="C7">
            <v>52018</v>
          </cell>
          <cell r="D7" t="str">
            <v>总体室</v>
          </cell>
        </row>
        <row r="8">
          <cell r="B8" t="str">
            <v>刘全</v>
          </cell>
          <cell r="C8">
            <v>50874</v>
          </cell>
          <cell r="D8" t="str">
            <v>总体室</v>
          </cell>
        </row>
        <row r="9">
          <cell r="B9" t="str">
            <v>秦超</v>
          </cell>
          <cell r="C9">
            <v>51591</v>
          </cell>
          <cell r="D9" t="str">
            <v>总体室</v>
          </cell>
        </row>
        <row r="10">
          <cell r="B10" t="str">
            <v>尤宏良</v>
          </cell>
          <cell r="C10">
            <v>18550</v>
          </cell>
          <cell r="D10" t="str">
            <v>总体室</v>
          </cell>
        </row>
        <row r="11">
          <cell r="B11" t="str">
            <v>任璐璐</v>
          </cell>
          <cell r="C11">
            <v>50032</v>
          </cell>
          <cell r="D11" t="str">
            <v>总体室</v>
          </cell>
        </row>
        <row r="12">
          <cell r="B12" t="str">
            <v>赵长辉</v>
          </cell>
          <cell r="C12">
            <v>17725</v>
          </cell>
          <cell r="D12" t="str">
            <v>总体室</v>
          </cell>
        </row>
        <row r="13">
          <cell r="B13" t="str">
            <v>刘成</v>
          </cell>
          <cell r="C13">
            <v>51860</v>
          </cell>
          <cell r="D13" t="str">
            <v>总体室</v>
          </cell>
        </row>
        <row r="14">
          <cell r="B14" t="str">
            <v>刘洋</v>
          </cell>
          <cell r="C14">
            <v>50709</v>
          </cell>
          <cell r="D14" t="str">
            <v>系统室</v>
          </cell>
        </row>
        <row r="15">
          <cell r="B15" t="str">
            <v>魏春生</v>
          </cell>
          <cell r="C15">
            <v>51389</v>
          </cell>
          <cell r="D15" t="str">
            <v>系统室</v>
          </cell>
        </row>
        <row r="16">
          <cell r="B16" t="str">
            <v>刘媛媛</v>
          </cell>
          <cell r="C16">
            <v>51385</v>
          </cell>
          <cell r="D16" t="str">
            <v>系统室</v>
          </cell>
        </row>
        <row r="17">
          <cell r="B17" t="str">
            <v>骆美玲</v>
          </cell>
          <cell r="C17">
            <v>50713</v>
          </cell>
          <cell r="D17" t="str">
            <v>系统室</v>
          </cell>
        </row>
        <row r="18">
          <cell r="B18" t="str">
            <v>刘超</v>
          </cell>
          <cell r="C18">
            <v>51430</v>
          </cell>
          <cell r="D18" t="str">
            <v>系统室</v>
          </cell>
        </row>
        <row r="19">
          <cell r="B19" t="str">
            <v>任斌</v>
          </cell>
          <cell r="C19">
            <v>51517</v>
          </cell>
          <cell r="D19" t="str">
            <v>系统室</v>
          </cell>
        </row>
        <row r="20">
          <cell r="B20" t="str">
            <v>吴晓莉</v>
          </cell>
          <cell r="C20">
            <v>50872</v>
          </cell>
          <cell r="D20" t="str">
            <v>系统室</v>
          </cell>
        </row>
        <row r="21">
          <cell r="B21" t="str">
            <v>宋凯</v>
          </cell>
          <cell r="C21">
            <v>51951</v>
          </cell>
          <cell r="D21" t="str">
            <v>系统室</v>
          </cell>
        </row>
        <row r="22">
          <cell r="B22" t="str">
            <v>万方</v>
          </cell>
          <cell r="C22">
            <v>51387</v>
          </cell>
          <cell r="D22" t="str">
            <v>系统室</v>
          </cell>
        </row>
        <row r="23">
          <cell r="B23" t="str">
            <v>李妍</v>
          </cell>
          <cell r="C23">
            <v>51435</v>
          </cell>
          <cell r="D23" t="str">
            <v>系统室</v>
          </cell>
        </row>
        <row r="24">
          <cell r="B24" t="str">
            <v>刘凯男</v>
          </cell>
          <cell r="C24">
            <v>52156</v>
          </cell>
          <cell r="D24" t="str">
            <v>系统室</v>
          </cell>
        </row>
        <row r="25">
          <cell r="B25" t="str">
            <v>夏雷</v>
          </cell>
          <cell r="C25">
            <v>52587</v>
          </cell>
          <cell r="D25" t="str">
            <v>系统室</v>
          </cell>
        </row>
        <row r="26">
          <cell r="B26" t="str">
            <v>赵子维</v>
          </cell>
          <cell r="C26">
            <v>52585</v>
          </cell>
          <cell r="D26" t="str">
            <v>系统室</v>
          </cell>
        </row>
        <row r="27">
          <cell r="B27" t="str">
            <v>刘旭</v>
          </cell>
          <cell r="C27">
            <v>22296</v>
          </cell>
          <cell r="D27" t="str">
            <v>强度室</v>
          </cell>
        </row>
        <row r="28">
          <cell r="B28" t="str">
            <v>刘磊</v>
          </cell>
          <cell r="C28">
            <v>23527</v>
          </cell>
          <cell r="D28" t="str">
            <v>强度室</v>
          </cell>
        </row>
        <row r="29">
          <cell r="B29" t="str">
            <v>许美娟</v>
          </cell>
          <cell r="C29">
            <v>51194</v>
          </cell>
          <cell r="D29" t="str">
            <v>强度室</v>
          </cell>
        </row>
        <row r="30">
          <cell r="B30" t="str">
            <v>何续斌</v>
          </cell>
          <cell r="C30">
            <v>50871</v>
          </cell>
          <cell r="D30" t="str">
            <v>强度室</v>
          </cell>
        </row>
        <row r="31">
          <cell r="B31" t="str">
            <v>徐君升</v>
          </cell>
          <cell r="C31">
            <v>50716</v>
          </cell>
          <cell r="D31" t="str">
            <v>强度室</v>
          </cell>
        </row>
        <row r="32">
          <cell r="B32" t="str">
            <v>靳海丰</v>
          </cell>
          <cell r="C32">
            <v>51158</v>
          </cell>
          <cell r="D32" t="str">
            <v>强度室</v>
          </cell>
        </row>
        <row r="33">
          <cell r="B33" t="str">
            <v>王呈呈</v>
          </cell>
          <cell r="C33">
            <v>51196</v>
          </cell>
          <cell r="D33" t="str">
            <v>强度室</v>
          </cell>
        </row>
        <row r="34">
          <cell r="B34" t="str">
            <v>王岩</v>
          </cell>
          <cell r="C34">
            <v>51175</v>
          </cell>
          <cell r="D34" t="str">
            <v>强度室</v>
          </cell>
        </row>
        <row r="35">
          <cell r="B35" t="str">
            <v>张文静</v>
          </cell>
          <cell r="C35">
            <v>22259</v>
          </cell>
          <cell r="D35" t="str">
            <v>强度室</v>
          </cell>
        </row>
        <row r="36">
          <cell r="B36" t="str">
            <v>郑石</v>
          </cell>
          <cell r="C36">
            <v>26766</v>
          </cell>
          <cell r="D36" t="str">
            <v>强度室</v>
          </cell>
        </row>
        <row r="37">
          <cell r="B37" t="str">
            <v>陈瑞东</v>
          </cell>
          <cell r="C37">
            <v>51181</v>
          </cell>
          <cell r="D37" t="str">
            <v>强度室</v>
          </cell>
        </row>
        <row r="38">
          <cell r="B38" t="str">
            <v>刘可佳</v>
          </cell>
          <cell r="C38">
            <v>51793</v>
          </cell>
          <cell r="D38" t="str">
            <v>强度室</v>
          </cell>
        </row>
        <row r="39">
          <cell r="B39" t="str">
            <v>纪可</v>
          </cell>
          <cell r="C39">
            <v>26689</v>
          </cell>
          <cell r="D39" t="str">
            <v>强度室</v>
          </cell>
        </row>
        <row r="40">
          <cell r="B40" t="str">
            <v>孟维宇</v>
          </cell>
          <cell r="C40">
            <v>50722</v>
          </cell>
          <cell r="D40" t="str">
            <v>强度室</v>
          </cell>
        </row>
        <row r="41">
          <cell r="B41" t="str">
            <v>支晗</v>
          </cell>
          <cell r="C41">
            <v>51589</v>
          </cell>
          <cell r="D41" t="str">
            <v>强度室</v>
          </cell>
        </row>
        <row r="42">
          <cell r="B42" t="str">
            <v>刘曦</v>
          </cell>
          <cell r="C42">
            <v>52130</v>
          </cell>
          <cell r="D42" t="str">
            <v>强度室</v>
          </cell>
        </row>
        <row r="43">
          <cell r="B43" t="str">
            <v>赵永利</v>
          </cell>
          <cell r="C43">
            <v>28161</v>
          </cell>
          <cell r="D43" t="str">
            <v>强度室</v>
          </cell>
        </row>
        <row r="44">
          <cell r="B44" t="str">
            <v>焦凯</v>
          </cell>
          <cell r="C44">
            <v>52342</v>
          </cell>
          <cell r="D44" t="str">
            <v>强度室</v>
          </cell>
        </row>
        <row r="45">
          <cell r="B45" t="str">
            <v>李爱环</v>
          </cell>
          <cell r="C45">
            <v>50726</v>
          </cell>
          <cell r="D45" t="str">
            <v>强度室</v>
          </cell>
        </row>
        <row r="46">
          <cell r="B46" t="str">
            <v>李忠霖</v>
          </cell>
          <cell r="C46">
            <v>23524</v>
          </cell>
          <cell r="D46" t="str">
            <v>强度室</v>
          </cell>
        </row>
        <row r="47">
          <cell r="B47" t="str">
            <v>朱照泽</v>
          </cell>
          <cell r="C47">
            <v>51763</v>
          </cell>
          <cell r="D47" t="str">
            <v>强度室</v>
          </cell>
        </row>
        <row r="48">
          <cell r="B48" t="str">
            <v>柴宝</v>
          </cell>
          <cell r="C48">
            <v>51944</v>
          </cell>
          <cell r="D48" t="str">
            <v>强度室</v>
          </cell>
        </row>
        <row r="49">
          <cell r="B49" t="str">
            <v>闫洪乐</v>
          </cell>
          <cell r="C49">
            <v>52347</v>
          </cell>
          <cell r="D49" t="str">
            <v>强度室</v>
          </cell>
        </row>
        <row r="50">
          <cell r="B50" t="str">
            <v>马雪菲</v>
          </cell>
          <cell r="C50">
            <v>52560</v>
          </cell>
          <cell r="D50" t="str">
            <v>强度室</v>
          </cell>
        </row>
        <row r="51">
          <cell r="B51" t="str">
            <v>陈诗春</v>
          </cell>
          <cell r="C51">
            <v>52153</v>
          </cell>
          <cell r="D51" t="str">
            <v>强度室</v>
          </cell>
        </row>
        <row r="52">
          <cell r="B52" t="str">
            <v>乔志斌</v>
          </cell>
          <cell r="C52">
            <v>53422</v>
          </cell>
          <cell r="D52" t="str">
            <v>强度室</v>
          </cell>
        </row>
        <row r="53">
          <cell r="B53" t="str">
            <v>祝堃</v>
          </cell>
          <cell r="C53">
            <v>52256</v>
          </cell>
          <cell r="D53" t="str">
            <v>强度室</v>
          </cell>
        </row>
        <row r="54">
          <cell r="B54" t="str">
            <v>晨曦</v>
          </cell>
          <cell r="C54">
            <v>50030</v>
          </cell>
          <cell r="D54" t="str">
            <v>强度室</v>
          </cell>
        </row>
        <row r="55">
          <cell r="B55" t="str">
            <v>李泽霖</v>
          </cell>
          <cell r="C55">
            <v>52569</v>
          </cell>
          <cell r="D55" t="str">
            <v>强度室</v>
          </cell>
        </row>
        <row r="56">
          <cell r="B56" t="str">
            <v>张铎耀</v>
          </cell>
          <cell r="C56">
            <v>52581</v>
          </cell>
          <cell r="D56" t="str">
            <v>强度室</v>
          </cell>
        </row>
        <row r="57">
          <cell r="B57" t="str">
            <v>张智浩</v>
          </cell>
          <cell r="C57">
            <v>52063</v>
          </cell>
          <cell r="D57" t="str">
            <v>结构一室</v>
          </cell>
        </row>
        <row r="58">
          <cell r="B58" t="str">
            <v>张熙尧</v>
          </cell>
          <cell r="C58">
            <v>52017</v>
          </cell>
          <cell r="D58" t="str">
            <v>结构一室</v>
          </cell>
        </row>
        <row r="59">
          <cell r="B59" t="str">
            <v>丛家勇</v>
          </cell>
          <cell r="C59">
            <v>50281</v>
          </cell>
          <cell r="D59" t="str">
            <v>结构一室</v>
          </cell>
        </row>
        <row r="60">
          <cell r="B60" t="str">
            <v>王健</v>
          </cell>
          <cell r="C60">
            <v>51784</v>
          </cell>
          <cell r="D60" t="str">
            <v>结构一室</v>
          </cell>
        </row>
        <row r="61">
          <cell r="B61" t="str">
            <v>张秀丽</v>
          </cell>
          <cell r="C61">
            <v>51165</v>
          </cell>
          <cell r="D61" t="str">
            <v>结构一室</v>
          </cell>
        </row>
        <row r="62">
          <cell r="B62" t="str">
            <v>李金鹰</v>
          </cell>
          <cell r="C62">
            <v>51227</v>
          </cell>
          <cell r="D62" t="str">
            <v>结构一室</v>
          </cell>
        </row>
        <row r="63">
          <cell r="B63" t="str">
            <v>付容容</v>
          </cell>
          <cell r="C63">
            <v>51183</v>
          </cell>
          <cell r="D63" t="str">
            <v>结构一室</v>
          </cell>
        </row>
        <row r="64">
          <cell r="B64" t="str">
            <v>陈磊</v>
          </cell>
          <cell r="C64">
            <v>52180</v>
          </cell>
          <cell r="D64" t="str">
            <v>结构一室</v>
          </cell>
        </row>
        <row r="65">
          <cell r="B65" t="str">
            <v>马岩</v>
          </cell>
          <cell r="C65">
            <v>50730</v>
          </cell>
          <cell r="D65" t="str">
            <v>结构一室</v>
          </cell>
        </row>
        <row r="66">
          <cell r="B66" t="str">
            <v>郭晓庆</v>
          </cell>
          <cell r="C66">
            <v>50275</v>
          </cell>
          <cell r="D66" t="str">
            <v>结构一室</v>
          </cell>
        </row>
        <row r="67">
          <cell r="B67" t="str">
            <v>于磊</v>
          </cell>
          <cell r="C67">
            <v>51400</v>
          </cell>
          <cell r="D67" t="str">
            <v>结构一室</v>
          </cell>
        </row>
        <row r="68">
          <cell r="B68" t="str">
            <v>杨炎通</v>
          </cell>
          <cell r="C68">
            <v>51955</v>
          </cell>
          <cell r="D68" t="str">
            <v>结构一室</v>
          </cell>
        </row>
        <row r="69">
          <cell r="B69" t="str">
            <v>栾鹏</v>
          </cell>
          <cell r="C69">
            <v>51781</v>
          </cell>
          <cell r="D69" t="str">
            <v>结构一室</v>
          </cell>
        </row>
        <row r="70">
          <cell r="B70" t="str">
            <v>塔拉</v>
          </cell>
          <cell r="C70">
            <v>25548</v>
          </cell>
          <cell r="D70" t="str">
            <v>结构一室</v>
          </cell>
        </row>
        <row r="71">
          <cell r="B71" t="str">
            <v>魏士礼</v>
          </cell>
          <cell r="C71">
            <v>22294</v>
          </cell>
          <cell r="D71" t="str">
            <v>结构一室</v>
          </cell>
        </row>
        <row r="72">
          <cell r="B72" t="str">
            <v>葛春生</v>
          </cell>
          <cell r="C72">
            <v>51410</v>
          </cell>
          <cell r="D72" t="str">
            <v>结构一室</v>
          </cell>
        </row>
        <row r="73">
          <cell r="B73" t="str">
            <v>董晓莉</v>
          </cell>
          <cell r="C73">
            <v>51211</v>
          </cell>
          <cell r="D73" t="str">
            <v>结构一室</v>
          </cell>
        </row>
        <row r="74">
          <cell r="B74" t="str">
            <v>李守玺</v>
          </cell>
          <cell r="C74">
            <v>25763</v>
          </cell>
          <cell r="D74" t="str">
            <v>结构一室</v>
          </cell>
        </row>
        <row r="75">
          <cell r="B75" t="str">
            <v>杨春</v>
          </cell>
          <cell r="C75">
            <v>51624</v>
          </cell>
          <cell r="D75" t="str">
            <v>结构一室</v>
          </cell>
        </row>
        <row r="76">
          <cell r="B76" t="str">
            <v>马壮</v>
          </cell>
          <cell r="C76">
            <v>51640</v>
          </cell>
          <cell r="D76" t="str">
            <v>结构一室</v>
          </cell>
        </row>
        <row r="77">
          <cell r="B77" t="str">
            <v>康志明</v>
          </cell>
          <cell r="C77">
            <v>25765</v>
          </cell>
          <cell r="D77" t="str">
            <v>结构一室</v>
          </cell>
        </row>
        <row r="78">
          <cell r="B78" t="str">
            <v>王哲</v>
          </cell>
          <cell r="C78">
            <v>25071</v>
          </cell>
          <cell r="D78" t="str">
            <v>结构一室</v>
          </cell>
        </row>
        <row r="79">
          <cell r="B79" t="str">
            <v>孟祥瑞</v>
          </cell>
          <cell r="C79">
            <v>51615</v>
          </cell>
          <cell r="D79" t="str">
            <v>结构一室</v>
          </cell>
        </row>
        <row r="80">
          <cell r="B80" t="str">
            <v>周弘扬</v>
          </cell>
          <cell r="C80">
            <v>52124</v>
          </cell>
          <cell r="D80" t="str">
            <v>结构一室</v>
          </cell>
        </row>
        <row r="81">
          <cell r="B81" t="str">
            <v>曲汝文</v>
          </cell>
          <cell r="C81">
            <v>52133</v>
          </cell>
          <cell r="D81" t="str">
            <v>结构一室</v>
          </cell>
        </row>
        <row r="82">
          <cell r="B82" t="str">
            <v>马佳</v>
          </cell>
          <cell r="C82">
            <v>52236</v>
          </cell>
          <cell r="D82" t="str">
            <v>结构一室</v>
          </cell>
        </row>
        <row r="83">
          <cell r="B83" t="str">
            <v>卢伟</v>
          </cell>
          <cell r="C83">
            <v>51844</v>
          </cell>
          <cell r="D83" t="str">
            <v>结构一室</v>
          </cell>
        </row>
        <row r="84">
          <cell r="B84" t="str">
            <v>周天一</v>
          </cell>
          <cell r="C84">
            <v>52345</v>
          </cell>
          <cell r="D84" t="str">
            <v>结构一室</v>
          </cell>
        </row>
        <row r="85">
          <cell r="B85" t="str">
            <v>崔建军</v>
          </cell>
          <cell r="C85">
            <v>51647</v>
          </cell>
          <cell r="D85" t="str">
            <v>结构一室</v>
          </cell>
        </row>
        <row r="86">
          <cell r="B86" t="str">
            <v>杨帆</v>
          </cell>
          <cell r="C86">
            <v>25078</v>
          </cell>
          <cell r="D86" t="str">
            <v>结构一室</v>
          </cell>
        </row>
        <row r="87">
          <cell r="B87" t="str">
            <v>王君元</v>
          </cell>
          <cell r="C87">
            <v>50735</v>
          </cell>
          <cell r="D87" t="str">
            <v>结构一室</v>
          </cell>
        </row>
        <row r="88">
          <cell r="B88" t="str">
            <v>徐楚桓</v>
          </cell>
          <cell r="C88">
            <v>52579</v>
          </cell>
          <cell r="D88" t="str">
            <v>结构一室</v>
          </cell>
        </row>
        <row r="89">
          <cell r="B89" t="str">
            <v>吕国成</v>
          </cell>
          <cell r="C89">
            <v>51188</v>
          </cell>
          <cell r="D89" t="str">
            <v>结构二室</v>
          </cell>
        </row>
        <row r="90">
          <cell r="B90" t="str">
            <v>张成</v>
          </cell>
          <cell r="C90">
            <v>18548</v>
          </cell>
          <cell r="D90" t="str">
            <v>结构二室</v>
          </cell>
        </row>
        <row r="91">
          <cell r="B91" t="str">
            <v>张刚</v>
          </cell>
          <cell r="C91">
            <v>50278</v>
          </cell>
          <cell r="D91" t="str">
            <v>结构二室</v>
          </cell>
        </row>
        <row r="92">
          <cell r="B92" t="str">
            <v>牛福春</v>
          </cell>
          <cell r="C92">
            <v>50710</v>
          </cell>
          <cell r="D92" t="str">
            <v>结构二室</v>
          </cell>
        </row>
        <row r="93">
          <cell r="B93" t="str">
            <v>赵艳秦</v>
          </cell>
          <cell r="C93">
            <v>50022</v>
          </cell>
          <cell r="D93" t="str">
            <v>结构二室</v>
          </cell>
        </row>
        <row r="94">
          <cell r="B94" t="str">
            <v>罗贵骞</v>
          </cell>
          <cell r="C94">
            <v>51186</v>
          </cell>
          <cell r="D94" t="str">
            <v>结构二室</v>
          </cell>
        </row>
        <row r="95">
          <cell r="B95" t="str">
            <v>徐丹</v>
          </cell>
          <cell r="C95">
            <v>51407</v>
          </cell>
          <cell r="D95" t="str">
            <v>结构二室</v>
          </cell>
        </row>
        <row r="96">
          <cell r="B96" t="str">
            <v>孟玲俊</v>
          </cell>
          <cell r="C96">
            <v>22298</v>
          </cell>
          <cell r="D96" t="str">
            <v>结构二室</v>
          </cell>
        </row>
        <row r="97">
          <cell r="B97" t="str">
            <v>周莫普</v>
          </cell>
          <cell r="C97">
            <v>51397</v>
          </cell>
          <cell r="D97" t="str">
            <v>结构二室</v>
          </cell>
        </row>
        <row r="98">
          <cell r="B98" t="str">
            <v>孟力华</v>
          </cell>
          <cell r="C98">
            <v>51234</v>
          </cell>
          <cell r="D98" t="str">
            <v>结构二室</v>
          </cell>
        </row>
        <row r="99">
          <cell r="B99" t="str">
            <v>赵莉</v>
          </cell>
          <cell r="C99">
            <v>50065</v>
          </cell>
          <cell r="D99" t="str">
            <v>结构二室</v>
          </cell>
        </row>
        <row r="100">
          <cell r="B100" t="str">
            <v>李森</v>
          </cell>
          <cell r="C100">
            <v>17238</v>
          </cell>
          <cell r="D100" t="str">
            <v>结构二室</v>
          </cell>
        </row>
        <row r="101">
          <cell r="B101" t="str">
            <v>杜洪雨</v>
          </cell>
          <cell r="C101">
            <v>51170</v>
          </cell>
          <cell r="D101" t="str">
            <v>结构二室</v>
          </cell>
        </row>
        <row r="102">
          <cell r="B102" t="str">
            <v>刘金晶</v>
          </cell>
          <cell r="C102">
            <v>51641</v>
          </cell>
          <cell r="D102" t="str">
            <v>结构二室</v>
          </cell>
        </row>
        <row r="103">
          <cell r="B103" t="str">
            <v>陈杰</v>
          </cell>
          <cell r="C103">
            <v>25600</v>
          </cell>
          <cell r="D103" t="str">
            <v>结构二室</v>
          </cell>
        </row>
        <row r="104">
          <cell r="B104" t="str">
            <v>马爽</v>
          </cell>
          <cell r="C104">
            <v>51642</v>
          </cell>
          <cell r="D104" t="str">
            <v>结构二室</v>
          </cell>
        </row>
        <row r="105">
          <cell r="B105" t="str">
            <v>康霞</v>
          </cell>
          <cell r="C105">
            <v>52132</v>
          </cell>
          <cell r="D105" t="str">
            <v>结构二室</v>
          </cell>
        </row>
        <row r="106">
          <cell r="B106" t="str">
            <v>贾永亮</v>
          </cell>
          <cell r="C106">
            <v>52131</v>
          </cell>
          <cell r="D106" t="str">
            <v>结构二室</v>
          </cell>
        </row>
        <row r="107">
          <cell r="B107" t="str">
            <v>朱海</v>
          </cell>
          <cell r="C107">
            <v>52232</v>
          </cell>
          <cell r="D107" t="str">
            <v>结构二室</v>
          </cell>
        </row>
        <row r="108">
          <cell r="B108" t="str">
            <v>赵陈</v>
          </cell>
          <cell r="C108">
            <v>52123</v>
          </cell>
          <cell r="D108" t="str">
            <v>结构二室</v>
          </cell>
        </row>
        <row r="109">
          <cell r="B109" t="str">
            <v>刘朕</v>
          </cell>
          <cell r="C109">
            <v>51190</v>
          </cell>
          <cell r="D109" t="str">
            <v>结构二室</v>
          </cell>
        </row>
        <row r="110">
          <cell r="B110" t="str">
            <v>王艺霖</v>
          </cell>
          <cell r="C110">
            <v>25762</v>
          </cell>
          <cell r="D110" t="str">
            <v>结构二室</v>
          </cell>
        </row>
        <row r="111">
          <cell r="B111" t="str">
            <v>王佳琪</v>
          </cell>
          <cell r="C111">
            <v>52341</v>
          </cell>
          <cell r="D111" t="str">
            <v>结构二室</v>
          </cell>
        </row>
        <row r="112">
          <cell r="B112" t="str">
            <v>王大昱</v>
          </cell>
          <cell r="C112">
            <v>51162</v>
          </cell>
          <cell r="D112" t="str">
            <v>工程项目室 /适航工程室</v>
          </cell>
        </row>
        <row r="113">
          <cell r="B113" t="str">
            <v>石荣荣</v>
          </cell>
          <cell r="C113">
            <v>51166</v>
          </cell>
          <cell r="D113" t="str">
            <v>工程项目室 /适航工程室</v>
          </cell>
        </row>
        <row r="114">
          <cell r="B114" t="str">
            <v>耿璐璐</v>
          </cell>
          <cell r="C114">
            <v>51405</v>
          </cell>
          <cell r="D114" t="str">
            <v>工程项目室 /适航工程室</v>
          </cell>
        </row>
        <row r="115">
          <cell r="B115" t="str">
            <v>夏新鑫</v>
          </cell>
          <cell r="C115">
            <v>50876</v>
          </cell>
          <cell r="D115" t="str">
            <v>工程项目室 /适航工程室</v>
          </cell>
        </row>
        <row r="116">
          <cell r="B116" t="str">
            <v>徐丽娜</v>
          </cell>
          <cell r="C116">
            <v>50079</v>
          </cell>
          <cell r="D116" t="str">
            <v>工程项目室 /适航工程室</v>
          </cell>
        </row>
        <row r="117">
          <cell r="B117" t="str">
            <v>费天行</v>
          </cell>
          <cell r="C117">
            <v>52570</v>
          </cell>
          <cell r="D117" t="str">
            <v>工程项目室 /适航工程室</v>
          </cell>
        </row>
        <row r="118">
          <cell r="B118" t="str">
            <v>林树德</v>
          </cell>
          <cell r="C118">
            <v>51202</v>
          </cell>
          <cell r="D118" t="str">
            <v>综合技术室</v>
          </cell>
        </row>
        <row r="119">
          <cell r="B119" t="str">
            <v>孙红军</v>
          </cell>
          <cell r="C119" t="str">
            <v>02501</v>
          </cell>
          <cell r="D119" t="str">
            <v>综合技术室</v>
          </cell>
        </row>
        <row r="120">
          <cell r="B120" t="str">
            <v>陈志禹</v>
          </cell>
          <cell r="C120">
            <v>17787</v>
          </cell>
          <cell r="D120" t="str">
            <v>综合技术室</v>
          </cell>
        </row>
        <row r="121">
          <cell r="B121" t="str">
            <v>王琛</v>
          </cell>
          <cell r="C121">
            <v>22291</v>
          </cell>
          <cell r="D121" t="str">
            <v>综合技术室</v>
          </cell>
        </row>
        <row r="122">
          <cell r="B122" t="str">
            <v>王勇</v>
          </cell>
          <cell r="C122">
            <v>51226</v>
          </cell>
          <cell r="D122" t="str">
            <v>综合技术室</v>
          </cell>
        </row>
        <row r="123">
          <cell r="B123" t="str">
            <v>潘英</v>
          </cell>
          <cell r="C123">
            <v>50864</v>
          </cell>
          <cell r="D123" t="str">
            <v>综合技术室</v>
          </cell>
        </row>
        <row r="124">
          <cell r="B124" t="str">
            <v>杨琼</v>
          </cell>
          <cell r="C124">
            <v>26828</v>
          </cell>
          <cell r="D124" t="str">
            <v>综合技术室</v>
          </cell>
        </row>
        <row r="125">
          <cell r="B125" t="str">
            <v>宋建毅</v>
          </cell>
          <cell r="C125">
            <v>27100</v>
          </cell>
          <cell r="D125" t="str">
            <v>综合技术室</v>
          </cell>
        </row>
        <row r="126">
          <cell r="B126" t="str">
            <v>孙盘滔</v>
          </cell>
          <cell r="C126">
            <v>50686</v>
          </cell>
          <cell r="D126" t="str">
            <v>综合技术室</v>
          </cell>
        </row>
        <row r="127">
          <cell r="B127" t="str">
            <v>吕冬兰</v>
          </cell>
          <cell r="C127">
            <v>51160</v>
          </cell>
          <cell r="D127" t="str">
            <v>综合技术室</v>
          </cell>
        </row>
        <row r="128">
          <cell r="B128" t="str">
            <v>刘红双</v>
          </cell>
          <cell r="C128">
            <v>51151</v>
          </cell>
          <cell r="D128" t="str">
            <v>综合技术室</v>
          </cell>
        </row>
        <row r="129">
          <cell r="B129" t="str">
            <v>李其鹏</v>
          </cell>
          <cell r="C129">
            <v>51429</v>
          </cell>
          <cell r="D129" t="str">
            <v>综合技术室</v>
          </cell>
        </row>
        <row r="130">
          <cell r="B130" t="str">
            <v>王超</v>
          </cell>
          <cell r="C130">
            <v>26621</v>
          </cell>
          <cell r="D130" t="str">
            <v>联络工程室</v>
          </cell>
        </row>
        <row r="131">
          <cell r="B131" t="str">
            <v>崔明慧</v>
          </cell>
          <cell r="C131">
            <v>14901</v>
          </cell>
          <cell r="D131" t="str">
            <v>联络工程室</v>
          </cell>
        </row>
        <row r="132">
          <cell r="B132" t="str">
            <v>刘岩东</v>
          </cell>
          <cell r="C132">
            <v>50245</v>
          </cell>
          <cell r="D132" t="str">
            <v>联络工程室</v>
          </cell>
        </row>
        <row r="133">
          <cell r="B133" t="str">
            <v>高奇</v>
          </cell>
          <cell r="C133">
            <v>17732</v>
          </cell>
          <cell r="D133" t="str">
            <v>联络工程室</v>
          </cell>
        </row>
        <row r="134">
          <cell r="B134" t="str">
            <v>姚庆丰</v>
          </cell>
          <cell r="C134">
            <v>18672</v>
          </cell>
          <cell r="D134" t="str">
            <v>联络工程室</v>
          </cell>
        </row>
        <row r="135">
          <cell r="B135" t="str">
            <v>李湘芝</v>
          </cell>
          <cell r="C135">
            <v>50019</v>
          </cell>
          <cell r="D135" t="str">
            <v>联络工程室</v>
          </cell>
        </row>
        <row r="136">
          <cell r="B136" t="str">
            <v>郭静</v>
          </cell>
          <cell r="C136">
            <v>50027</v>
          </cell>
          <cell r="D136" t="str">
            <v>联络工程室</v>
          </cell>
        </row>
        <row r="137">
          <cell r="B137" t="str">
            <v>梁枫</v>
          </cell>
          <cell r="C137">
            <v>50316</v>
          </cell>
          <cell r="D137" t="str">
            <v>联络工程室</v>
          </cell>
        </row>
        <row r="138">
          <cell r="B138" t="str">
            <v>赵海</v>
          </cell>
          <cell r="C138">
            <v>50323</v>
          </cell>
          <cell r="D138" t="str">
            <v>联络工程室</v>
          </cell>
        </row>
        <row r="139">
          <cell r="B139" t="str">
            <v>赵书凯</v>
          </cell>
          <cell r="C139">
            <v>50832</v>
          </cell>
          <cell r="D139" t="str">
            <v>联络工程室</v>
          </cell>
        </row>
        <row r="140">
          <cell r="B140" t="str">
            <v>刘志秀</v>
          </cell>
          <cell r="C140">
            <v>51395</v>
          </cell>
          <cell r="D140" t="str">
            <v>联络工程室</v>
          </cell>
        </row>
        <row r="141">
          <cell r="B141" t="str">
            <v>王连斌</v>
          </cell>
          <cell r="C141">
            <v>51396</v>
          </cell>
          <cell r="D141" t="str">
            <v>联络工程室</v>
          </cell>
        </row>
        <row r="142">
          <cell r="B142" t="str">
            <v>付泉铭</v>
          </cell>
          <cell r="C142">
            <v>51555</v>
          </cell>
          <cell r="D142" t="str">
            <v>联络工程室</v>
          </cell>
        </row>
        <row r="143">
          <cell r="B143" t="str">
            <v>霍东旭</v>
          </cell>
          <cell r="C143">
            <v>51941</v>
          </cell>
          <cell r="D143" t="str">
            <v>联络工程室</v>
          </cell>
        </row>
        <row r="144">
          <cell r="B144" t="str">
            <v>张一峤</v>
          </cell>
          <cell r="C144">
            <v>50853</v>
          </cell>
          <cell r="D144" t="str">
            <v>联络工程室</v>
          </cell>
        </row>
        <row r="145">
          <cell r="B145" t="str">
            <v>臧爱丽</v>
          </cell>
          <cell r="C145">
            <v>51428</v>
          </cell>
          <cell r="D145" t="str">
            <v>联络工程室</v>
          </cell>
        </row>
        <row r="146">
          <cell r="B146" t="str">
            <v>王世清</v>
          </cell>
          <cell r="C146">
            <v>50317</v>
          </cell>
          <cell r="D146" t="str">
            <v>联络工程室</v>
          </cell>
        </row>
        <row r="147">
          <cell r="B147" t="str">
            <v>马艺丹</v>
          </cell>
          <cell r="C147">
            <v>51665</v>
          </cell>
          <cell r="D147" t="str">
            <v>联络工程室</v>
          </cell>
        </row>
        <row r="148">
          <cell r="B148" t="str">
            <v>杨珺涵</v>
          </cell>
          <cell r="C148">
            <v>51570</v>
          </cell>
          <cell r="D148" t="str">
            <v>联络工程室</v>
          </cell>
        </row>
        <row r="149">
          <cell r="B149" t="str">
            <v>陈坤</v>
          </cell>
          <cell r="C149">
            <v>51576</v>
          </cell>
          <cell r="D149" t="str">
            <v>联络工程室</v>
          </cell>
        </row>
        <row r="150">
          <cell r="B150" t="str">
            <v>韦杰琼</v>
          </cell>
          <cell r="C150">
            <v>25599</v>
          </cell>
          <cell r="D150" t="str">
            <v>联络工程室</v>
          </cell>
        </row>
        <row r="151">
          <cell r="B151" t="str">
            <v>付强</v>
          </cell>
          <cell r="C151">
            <v>25549</v>
          </cell>
          <cell r="D151" t="str">
            <v>联络工程室</v>
          </cell>
        </row>
        <row r="152">
          <cell r="B152" t="str">
            <v>王川</v>
          </cell>
          <cell r="C152">
            <v>22250</v>
          </cell>
          <cell r="D152" t="str">
            <v>联络工程室</v>
          </cell>
        </row>
        <row r="153">
          <cell r="B153" t="str">
            <v>褚永鑫</v>
          </cell>
          <cell r="C153">
            <v>22253</v>
          </cell>
          <cell r="D153" t="str">
            <v>联络工程室</v>
          </cell>
        </row>
        <row r="154">
          <cell r="B154" t="str">
            <v>高秉芳</v>
          </cell>
          <cell r="C154">
            <v>26688</v>
          </cell>
          <cell r="D154" t="str">
            <v>联络工程室</v>
          </cell>
        </row>
        <row r="155">
          <cell r="B155" t="str">
            <v>王立庆</v>
          </cell>
          <cell r="C155">
            <v>27106</v>
          </cell>
          <cell r="D155" t="str">
            <v>联络工程室</v>
          </cell>
        </row>
        <row r="156">
          <cell r="B156" t="str">
            <v>林楠</v>
          </cell>
          <cell r="C156">
            <v>25603</v>
          </cell>
          <cell r="D156" t="str">
            <v>联络工程室</v>
          </cell>
        </row>
        <row r="157">
          <cell r="B157" t="str">
            <v>牛建庄</v>
          </cell>
          <cell r="C157">
            <v>17090</v>
          </cell>
          <cell r="D157" t="str">
            <v>联络工程室</v>
          </cell>
        </row>
        <row r="158">
          <cell r="B158" t="str">
            <v>孙永光</v>
          </cell>
          <cell r="C158">
            <v>25601</v>
          </cell>
          <cell r="D158" t="str">
            <v>联络工程室</v>
          </cell>
        </row>
        <row r="159">
          <cell r="B159" t="str">
            <v>王瑞龙</v>
          </cell>
          <cell r="C159">
            <v>26654</v>
          </cell>
          <cell r="D159" t="str">
            <v>联络工程室</v>
          </cell>
        </row>
      </sheetData>
      <sheetData sheetId="1" refreshError="1"/>
      <sheetData sheetId="2" refreshError="1"/>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6月项目工时"/>
    </sheetNames>
    <sheetDataSet>
      <sheetData sheetId="0" refreshError="1"/>
      <sheetData sheetId="1" refreshError="1"/>
      <sheetData sheetId="2" refreshError="1"/>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6月项目工时"/>
    </sheetNames>
    <sheetDataSet>
      <sheetData sheetId="0" refreshError="1"/>
      <sheetData sheetId="1" refreshError="1"/>
      <sheetData sheetId="2" refreshError="1"/>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4月项目工时"/>
    </sheetNames>
    <sheetDataSet>
      <sheetData sheetId="0" refreshError="1"/>
      <sheetData sheetId="1" refreshError="1"/>
      <sheetData sheetId="2" refreshError="1"/>
    </sheetDataSet>
  </externalBook>
</externalLink>
</file>

<file path=xl/externalLinks/externalLink70.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5月项目工时"/>
    </sheetNames>
    <sheetDataSet>
      <sheetData sheetId="0" refreshError="1"/>
      <sheetData sheetId="1" refreshError="1"/>
      <sheetData sheetId="2" refreshError="1"/>
    </sheetDataSet>
  </externalBook>
</externalLink>
</file>

<file path=xl/externalLinks/externalLink71.xml><?xml version="1.0" encoding="utf-8"?>
<externalLink xmlns="http://schemas.openxmlformats.org/spreadsheetml/2006/main">
  <externalBook xmlns:r="http://schemas.openxmlformats.org/officeDocument/2006/relationships" r:id="rId1">
    <sheetNames>
      <sheetName val="工程研发事业部人员名单"/>
      <sheetName val="项目简称"/>
      <sheetName val="X月项目工时"/>
    </sheetNames>
    <sheetDataSet>
      <sheetData sheetId="0" refreshError="1"/>
      <sheetData sheetId="1" refreshError="1"/>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847.3802199074" refreshedBy="50843" recordCount="463">
  <cacheSource type="worksheet">
    <worksheetSource ref="A1:O464" sheet="X月项目工时 (固定公式)"/>
  </cacheSource>
  <cacheFields count="15">
    <cacheField name="序号" numFmtId="0">
      <sharedItems containsSemiMixedTypes="0" containsString="0" containsNumber="1" containsInteger="1" minValue="0" maxValue="463" count="46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sharedItems>
    </cacheField>
    <cacheField name="姓名" numFmtId="0">
      <sharedItems count="151">
        <s v="赵艳秦"/>
        <s v="陈杰"/>
        <s v="郑石"/>
        <s v="王琛"/>
        <s v="张刚"/>
        <s v="孟玲俊"/>
        <s v="朱海"/>
        <s v="马爽"/>
        <s v="徐丹"/>
        <s v="柴宝"/>
        <s v="赵永利"/>
        <s v="付泉铭"/>
        <s v="魏春生"/>
        <s v="李爱环"/>
        <s v="牛福春"/>
        <s v="康霞"/>
        <s v="周莫普"/>
        <s v="贾永亮"/>
        <s v="许美娟"/>
        <s v="刘可佳"/>
        <s v="王岩"/>
        <s v="马雪菲"/>
        <s v="刘成"/>
        <s v="孔婷婷"/>
        <s v="黄文超"/>
        <s v="朱照泽"/>
        <s v="闫洪乐"/>
        <s v="王呈呈"/>
        <s v="李妍"/>
        <s v="宋凯"/>
        <s v="万方"/>
        <s v="骆美玲"/>
        <s v="刘凯男"/>
        <s v="杨春"/>
        <s v="葛春生"/>
        <s v="周天一"/>
        <s v="卢伟"/>
        <s v="晨曦"/>
        <s v="孟祥瑞"/>
        <s v="张熙尧"/>
        <s v="董晓莉"/>
        <s v="马岩"/>
        <s v="付容容"/>
        <s v="张秀丽"/>
        <s v="栾鹏"/>
        <s v="丛家勇"/>
        <s v="张智浩"/>
        <s v="于磊"/>
        <s v="郭晓庆"/>
        <s v="纪可"/>
        <s v="陈瑞东"/>
        <s v="秦超"/>
        <s v="夏新鑫"/>
        <s v="任璐璐"/>
        <s v="赵婷"/>
        <s v="刘全"/>
        <s v="赵长辉"/>
        <s v="魏士礼"/>
        <s v="张成"/>
        <s v="刘洋"/>
        <s v="刘媛媛"/>
        <s v="任傲"/>
        <s v="吴晓莉"/>
        <s v="刘超"/>
        <s v="任斌"/>
        <s v="王大昱"/>
        <s v="刘岩东"/>
        <s v="孙红军"/>
        <s v="陈志禹"/>
        <s v="李忠霖"/>
        <s v="刘志秀"/>
        <s v="霍东旭"/>
        <s v="李湘芝"/>
        <s v="梁枫"/>
        <s v="王超"/>
        <s v="王世清"/>
        <s v="陈坤"/>
        <s v="马艺丹"/>
        <s v="王立庆"/>
        <s v="韦杰琼"/>
        <s v="杨珺涵"/>
        <s v="张曾霞"/>
        <s v="赵书凯"/>
        <s v="李守玺"/>
        <s v="康志明"/>
        <s v="塔拉"/>
        <s v="赵莉"/>
        <s v="李森"/>
        <s v="刘金晶"/>
        <s v="郑配云"/>
        <s v="刘朕"/>
        <s v="杨会宁"/>
        <s v="孙永光"/>
        <s v="杨琼"/>
        <s v="宋建毅"/>
        <s v="李其鹏"/>
        <s v="杨炎通"/>
        <s v="马壮"/>
        <s v="罗贵骞"/>
        <s v="马佳"/>
        <s v="曲汝文"/>
        <s v="周弘扬"/>
        <s v="陈磊"/>
        <s v="潘英"/>
        <s v="孟维宇"/>
        <s v="刘曦"/>
        <s v="张文静"/>
        <s v="靳海丰"/>
        <s v="何续斌"/>
        <s v="赵东阳"/>
        <s v="李金鹰"/>
        <s v="沈天齐"/>
        <s v="林树德"/>
        <s v="焦凯"/>
        <s v="支晗"/>
        <s v="杜洪雨"/>
        <s v="孟力华"/>
        <s v="徐君升"/>
        <s v="王健"/>
        <s v="耿璐璐"/>
        <s v="王勇"/>
        <s v="吕冬兰"/>
        <s v="刘红双"/>
        <s v="闫峰"/>
        <s v="赵鹤群"/>
        <s v="赵海"/>
        <s v="孙盘滔"/>
        <s v="吕国成"/>
        <s v="唐铭远"/>
        <s v="徐丽娜"/>
        <s v="石荣荣"/>
        <s v="王猛"/>
        <s v="高奇"/>
        <s v="姚庆丰"/>
        <s v="郭静"/>
        <s v="王连斌"/>
        <s v="张一峤"/>
        <s v="臧爱丽"/>
        <s v="付强"/>
        <s v="王川"/>
        <s v="褚永鑫"/>
        <s v="高秉芳"/>
        <s v="林楠"/>
        <s v="牛建庄"/>
        <s v="王瑞龙"/>
        <s v="韩南逍"/>
        <s v="王哲"/>
        <s v="尤宏良"/>
        <s v="张继斌"/>
        <s v="王艺霖"/>
        <s v="刘聪"/>
      </sharedItems>
    </cacheField>
    <cacheField name="胸卡号" numFmtId="0">
      <sharedItems containsNumber="1" containsInteger="1" containsMixedTypes="1" count="151">
        <n v="50022"/>
        <n v="25600"/>
        <n v="26766"/>
        <n v="22291"/>
        <n v="50278"/>
        <n v="22298"/>
        <n v="52232"/>
        <n v="51642"/>
        <n v="51407"/>
        <n v="51944"/>
        <n v="28161"/>
        <n v="51555"/>
        <n v="51389"/>
        <n v="50726"/>
        <n v="50710"/>
        <n v="52132"/>
        <n v="51397"/>
        <n v="52131"/>
        <n v="51194"/>
        <n v="51793"/>
        <n v="51175"/>
        <n v="52560"/>
        <n v="51860"/>
        <n v="23525"/>
        <n v="51200"/>
        <n v="51763"/>
        <n v="52347"/>
        <n v="51196"/>
        <n v="51435"/>
        <n v="51951"/>
        <n v="51387"/>
        <n v="50713"/>
        <n v="52156"/>
        <n v="51624"/>
        <n v="51410"/>
        <n v="52345"/>
        <n v="51844"/>
        <n v="50030"/>
        <n v="51615"/>
        <n v="52017"/>
        <n v="51211"/>
        <n v="50730"/>
        <n v="51183"/>
        <n v="51165"/>
        <n v="51781"/>
        <n v="50281"/>
        <n v="52063"/>
        <n v="51400"/>
        <n v="50275"/>
        <n v="26689"/>
        <n v="51181"/>
        <n v="51591"/>
        <n v="50876"/>
        <n v="50032"/>
        <n v="50702"/>
        <n v="50874"/>
        <n v="17725"/>
        <n v="22294"/>
        <n v="18548"/>
        <n v="50709"/>
        <n v="51385"/>
        <n v="52166"/>
        <n v="50872"/>
        <n v="51430"/>
        <n v="51517"/>
        <n v="51162"/>
        <n v="50245"/>
        <s v="02501"/>
        <n v="17787"/>
        <n v="23524"/>
        <n v="51395"/>
        <n v="51941"/>
        <n v="50019"/>
        <n v="50316"/>
        <n v="26621"/>
        <n v="50317"/>
        <n v="51576"/>
        <n v="51665"/>
        <n v="27106"/>
        <n v="25599"/>
        <n v="51570"/>
        <n v="27680"/>
        <n v="50832"/>
        <n v="25763"/>
        <n v="25765"/>
        <n v="25548"/>
        <n v="50065"/>
        <n v="17238"/>
        <n v="51641"/>
        <n v="52029"/>
        <n v="51190"/>
        <s v="01728"/>
        <n v="25601"/>
        <n v="26828"/>
        <n v="27100"/>
        <n v="51429"/>
        <n v="51955"/>
        <n v="51640"/>
        <n v="51186"/>
        <n v="52236"/>
        <n v="52133"/>
        <n v="52124"/>
        <n v="52180"/>
        <n v="50864"/>
        <n v="50722"/>
        <n v="52130"/>
        <n v="22259"/>
        <n v="51158"/>
        <n v="50871"/>
        <n v="51792"/>
        <n v="51227"/>
        <n v="52016"/>
        <n v="51202"/>
        <n v="52342"/>
        <n v="51589"/>
        <n v="51170"/>
        <n v="51234"/>
        <n v="50716"/>
        <n v="51784"/>
        <n v="51405"/>
        <n v="51226"/>
        <n v="51160"/>
        <n v="51151"/>
        <n v="52027"/>
        <n v="52561"/>
        <n v="50323"/>
        <n v="50686"/>
        <n v="51188"/>
        <n v="52161"/>
        <n v="50079"/>
        <n v="51166"/>
        <n v="23481"/>
        <n v="17732"/>
        <n v="18672"/>
        <n v="50027"/>
        <n v="51396"/>
        <n v="50853"/>
        <n v="51428"/>
        <n v="25549"/>
        <n v="22250"/>
        <n v="22253"/>
        <n v="26688"/>
        <n v="25603"/>
        <n v="17090"/>
        <n v="26654"/>
        <n v="50029"/>
        <n v="25071"/>
        <n v="18550"/>
        <n v="17243"/>
        <n v="25762"/>
        <n v="52018"/>
      </sharedItems>
    </cacheField>
    <cacheField name="专业室" numFmtId="0">
      <sharedItems count="8">
        <s v="结构二室"/>
        <s v="强度室"/>
        <s v="综合技术室"/>
        <s v="联络工程室"/>
        <s v="系统室"/>
        <s v="总体室"/>
        <s v="结构一室"/>
        <s v="工程项目室"/>
      </sharedItems>
    </cacheField>
    <cacheField name="项目简称" numFmtId="0">
      <sharedItems count="16">
        <s v="CR929设计（2022年复材中心）"/>
        <s v="CR929设计（2022年上飞院）"/>
        <s v="工程支持"/>
        <s v="1号设计（2022年KTB）"/>
        <s v="ARJ21货运型设计（2022年上飞院）"/>
        <s v="C919设计（2022年上飞院）"/>
        <s v="C919设计（2020年复材中心）"/>
        <s v="C919设计（2021年上飞院）"/>
        <s v="301EWIS"/>
        <s v="培训工作"/>
        <s v="党建工作"/>
        <s v="8号设计（2022年）"/>
        <s v="C919设计（2020年上飞院）"/>
        <s v="重点工作任务"/>
        <s v="临时工程支持"/>
        <s v="6号设计（2021年）"/>
      </sharedItems>
    </cacheField>
    <cacheField name="个人原始项目工时之和/h" numFmtId="179">
      <sharedItems containsSemiMixedTypes="0" containsString="0" containsNumber="1" minValue="0" maxValue="470.58" count="155">
        <n v="180"/>
        <n v="160"/>
        <n v="300"/>
        <n v="30"/>
        <n v="208"/>
        <n v="164"/>
        <n v="152"/>
        <n v="192"/>
        <n v="166"/>
        <n v="200"/>
        <n v="140"/>
        <n v="65.5"/>
        <n v="56"/>
        <n v="168"/>
        <n v="110"/>
        <n v="50"/>
        <n v="122.5"/>
        <n v="80"/>
        <n v="65"/>
        <n v="78"/>
        <n v="26"/>
        <n v="120"/>
        <n v="60"/>
        <n v="100"/>
        <n v="5"/>
        <n v="150"/>
        <n v="170"/>
        <n v="25"/>
        <n v="20"/>
        <n v="220"/>
        <n v="75"/>
        <n v="40"/>
        <n v="340"/>
        <n v="320"/>
        <n v="245"/>
        <n v="10"/>
        <n v="0"/>
        <n v="206"/>
        <n v="7.5"/>
        <n v="4.5"/>
        <n v="4"/>
        <n v="12"/>
        <n v="11.5"/>
        <n v="54.5"/>
        <n v="2"/>
        <n v="2.5"/>
        <n v="19.5"/>
        <n v="15"/>
        <n v="7"/>
        <n v="6.5"/>
        <n v="6"/>
        <n v="3"/>
        <n v="240"/>
        <n v="255"/>
        <n v="225"/>
        <n v="260"/>
        <n v="235"/>
        <n v="174.5"/>
        <n v="185"/>
        <n v="85"/>
        <n v="175"/>
        <n v="190"/>
        <n v="252"/>
        <n v="162"/>
        <n v="90"/>
        <n v="104"/>
        <n v="149"/>
        <n v="42"/>
        <n v="35"/>
        <n v="70"/>
        <n v="84"/>
        <n v="69"/>
        <n v="91"/>
        <n v="125"/>
        <n v="130"/>
        <n v="37.5"/>
        <n v="27.5"/>
        <n v="280"/>
        <n v="92"/>
        <n v="32"/>
        <n v="17"/>
        <n v="49"/>
        <n v="315"/>
        <n v="211.5"/>
        <n v="40.5"/>
        <n v="301.5"/>
        <n v="283.5"/>
        <n v="126"/>
        <n v="22.5"/>
        <n v="88"/>
        <n v="67.5"/>
        <n v="155"/>
        <n v="96"/>
        <n v="135"/>
        <n v="48"/>
        <n v="9"/>
        <n v="44"/>
        <n v="29"/>
        <n v="45"/>
        <n v="43"/>
        <n v="8"/>
        <n v="18"/>
        <n v="16"/>
        <n v="55"/>
        <n v="38"/>
        <n v="24"/>
        <n v="226.46"/>
        <n v="379.72"/>
        <n v="287.92"/>
        <n v="336.65"/>
        <n v="393.37"/>
        <n v="170.7"/>
        <n v="372.13"/>
        <n v="326.1"/>
        <n v="343.09"/>
        <n v="393.65"/>
        <n v="470.58"/>
        <n v="278.585"/>
        <n v="457.69"/>
        <n v="331.564"/>
        <n v="224.55"/>
        <n v="270.25"/>
        <n v="227.25"/>
        <n v="376.21"/>
        <n v="384.4"/>
        <n v="384.69"/>
        <n v="366.72"/>
        <n v="358.92"/>
        <n v="293.6"/>
        <n v="378.85"/>
        <n v="375.81"/>
        <n v="291.5"/>
        <n v="292"/>
        <n v="157.5"/>
        <n v="145.5"/>
        <n v="34.7"/>
        <n v="150.5"/>
        <n v="154"/>
        <n v="146"/>
        <n v="58"/>
        <n v="64.5"/>
        <n v="157"/>
        <n v="127"/>
        <n v="138.17"/>
        <n v="284.4"/>
        <n v="221.5"/>
        <n v="218.3"/>
        <n v="205.3"/>
        <n v="343.7"/>
        <n v="261.6"/>
        <n v="284.6"/>
        <n v="278.1"/>
        <n v="222.9"/>
        <n v="115"/>
        <n v="123"/>
      </sharedItems>
    </cacheField>
    <cacheField name="第一年跨专业原始项目工时/h" numFmtId="179">
      <sharedItems containsString="0" containsBlank="1" containsNumber="1" minValue="0" maxValue="245" count="25">
        <m/>
        <n v="65.5"/>
        <n v="56"/>
        <n v="120"/>
        <n v="60"/>
        <n v="100"/>
        <n v="5"/>
        <n v="150"/>
        <n v="20"/>
        <n v="245"/>
        <n v="225"/>
        <n v="174.5"/>
        <n v="185"/>
        <n v="80"/>
        <n v="10"/>
        <n v="85"/>
        <n v="175"/>
        <n v="162"/>
        <n v="40"/>
        <n v="90"/>
        <n v="50"/>
        <n v="7.5"/>
        <n v="30"/>
        <n v="15"/>
        <n v="4"/>
      </sharedItems>
    </cacheField>
    <cacheField name="第二年跨专业原始项目工时/h" numFmtId="179">
      <sharedItems containsString="0" containsBlank="1" containsNumber="1" containsInteger="1" minValue="0" maxValue="100" count="6">
        <m/>
        <n v="30"/>
        <n v="65"/>
        <n v="78"/>
        <n v="26"/>
        <n v="100"/>
      </sharedItems>
    </cacheField>
    <cacheField name="沈阳工时/h" numFmtId="0">
      <sharedItems containsString="0" containsBlank="1" containsNumber="1" minValue="0" maxValue="470.58" count="145">
        <n v="180"/>
        <n v="160"/>
        <n v="300"/>
        <m/>
        <n v="164"/>
        <n v="152"/>
        <n v="192"/>
        <n v="166"/>
        <n v="200"/>
        <n v="140"/>
        <n v="168"/>
        <n v="30"/>
        <n v="110"/>
        <n v="50"/>
        <n v="122.5"/>
        <n v="80"/>
        <n v="120"/>
        <n v="170"/>
        <n v="25"/>
        <n v="100"/>
        <n v="220"/>
        <n v="60"/>
        <n v="75"/>
        <n v="40"/>
        <n v="340"/>
        <n v="320"/>
        <n v="245"/>
        <n v="10"/>
        <n v="150"/>
        <n v="206"/>
        <n v="7.5"/>
        <n v="4.5"/>
        <n v="4"/>
        <n v="12"/>
        <n v="11.5"/>
        <n v="54.5"/>
        <n v="2"/>
        <n v="2.5"/>
        <n v="20"/>
        <n v="19.5"/>
        <n v="15"/>
        <n v="7"/>
        <n v="6.5"/>
        <n v="6"/>
        <n v="5"/>
        <n v="3"/>
        <n v="240"/>
        <n v="255"/>
        <n v="225"/>
        <n v="260"/>
        <n v="235"/>
        <n v="190"/>
        <n v="252"/>
        <n v="104"/>
        <n v="149"/>
        <n v="42"/>
        <n v="35"/>
        <n v="70"/>
        <n v="84"/>
        <n v="69"/>
        <n v="91"/>
        <n v="125"/>
        <n v="90"/>
        <n v="130"/>
        <n v="37.5"/>
        <n v="27.5"/>
        <n v="280"/>
        <n v="92"/>
        <n v="32"/>
        <n v="17"/>
        <n v="49"/>
        <n v="315"/>
        <n v="211.5"/>
        <n v="40.5"/>
        <n v="301.5"/>
        <n v="283.5"/>
        <n v="126"/>
        <n v="22.5"/>
        <n v="88"/>
        <n v="67.5"/>
        <n v="155"/>
        <n v="96"/>
        <n v="135"/>
        <n v="48"/>
        <n v="9"/>
        <n v="44"/>
        <n v="29"/>
        <n v="45"/>
        <n v="43"/>
        <n v="8"/>
        <n v="18"/>
        <n v="16"/>
        <n v="55"/>
        <n v="38"/>
        <n v="24"/>
        <n v="0"/>
        <n v="226.46"/>
        <n v="379.72"/>
        <n v="287.92"/>
        <n v="336.65"/>
        <n v="393.37"/>
        <n v="170.7"/>
        <n v="372.13"/>
        <n v="326.1"/>
        <n v="343.09"/>
        <n v="393.65"/>
        <n v="470.58"/>
        <n v="278.585"/>
        <n v="457.69"/>
        <n v="331.564"/>
        <n v="224.55"/>
        <n v="270.25"/>
        <n v="227.25"/>
        <n v="376.21"/>
        <n v="384.4"/>
        <n v="384.69"/>
        <n v="366.72"/>
        <n v="358.92"/>
        <n v="293.6"/>
        <n v="378.85"/>
        <n v="375.81"/>
        <n v="291.5"/>
        <n v="292"/>
        <n v="157.5"/>
        <n v="145.5"/>
        <n v="34.7"/>
        <n v="150.5"/>
        <n v="154"/>
        <n v="146"/>
        <n v="58"/>
        <n v="64.5"/>
        <n v="157"/>
        <n v="127"/>
        <n v="138.17"/>
        <n v="284.4"/>
        <n v="221.5"/>
        <n v="218.3"/>
        <n v="205.3"/>
        <n v="343.7"/>
        <n v="261.6"/>
        <n v="284.6"/>
        <n v="278.1"/>
        <n v="222.9"/>
        <n v="115"/>
        <n v="123"/>
      </sharedItems>
    </cacheField>
    <cacheField name="市外出差工时/h" numFmtId="0">
      <sharedItems containsString="0" containsBlank="1" containsNumber="1" containsInteger="1" minValue="0" maxValue="208" count="2">
        <m/>
        <n v="208"/>
      </sharedItems>
    </cacheField>
    <cacheField name="专业" numFmtId="0">
      <sharedItems containsBlank="1" count="8">
        <s v="结构"/>
        <s v="强度"/>
        <s v="PMO"/>
        <m/>
        <s v="TPUB"/>
        <s v="系统"/>
        <s v="其他"/>
        <s v="工程支持"/>
      </sharedItems>
    </cacheField>
    <cacheField name="工作包" numFmtId="0">
      <sharedItems containsBlank="1" count="41">
        <s v="前机身"/>
        <s v="中机身"/>
        <s v="后压力框"/>
        <s v="后机身"/>
        <s v="机翼"/>
        <s v="平尾"/>
        <s v="垂尾"/>
        <s v="舵面"/>
        <s v="货舱门"/>
        <s v="起落架舱门"/>
        <s v="3#登机门"/>
        <s v="1#登机门"/>
        <s v="散货舱门"/>
        <s v="登机门"/>
        <s v="工程项目"/>
        <m/>
        <s v="SRM"/>
        <s v="静强度手册"/>
        <s v="舱门强度"/>
        <s v="鸟撞"/>
        <s v="手册允许损伤特性研究"/>
        <s v="C919产品损伤容限报告"/>
        <s v="SRM手册强度"/>
        <s v="可达性"/>
        <s v="301EWIS"/>
        <s v="1,919燃油箱闪电防护试验_x000a_2,919燃油箱安全性分析"/>
        <s v="党建工时"/>
        <s v="机体结构设计"/>
        <s v="项目管控"/>
        <s v="质量体系建设"/>
        <s v="GJB质量保证体系"/>
        <s v="重点工作任务管控"/>
        <s v="AOS"/>
        <s v="工程支持"/>
        <s v="设计制造一体化"/>
        <s v="A220"/>
        <s v="转包"/>
        <s v="商飞"/>
        <s v="转包国内"/>
        <s v="国内"/>
        <s v="数据"/>
      </sharedItems>
    </cacheField>
    <cacheField name="主要工作任务_x000a_（请简要说明每项设计任务、工时及所属任务通知单编号）_x000a_例：序号.工作包-任务通知单编号-设计任务-工时" numFmtId="0">
      <sharedItems containsBlank="1" count="164" longText="1">
        <m/>
        <s v="内控工作"/>
        <s v="编制1份文件"/>
        <s v="编制4份"/>
        <s v="结构识别"/>
        <s v="1.编制4份-60。_x000a_2.校对6份-24。_x000a_3.编写模板-15._x000a_4.联络工时-50"/>
        <s v="编制2份文件（前机身主货舱滑轨、中后机身地板支撑结构）；_x000a_校对3份文件（前机身主货舱地板面板、中后机身滑轨、中后机身主货舱地板排水结构）"/>
        <s v="项目管理、实施方案评审"/>
        <s v="结构识别编制、校对"/>
        <s v="C919短舱结构识别、允许损伤、修理文件翻译"/>
        <s v="修理更新"/>
        <s v="项目管理"/>
        <s v="允许损伤更新、CFM翻译"/>
        <s v="静强度手册报告更新"/>
        <s v="1.919登机门内饰板支架4个方案的设计及分析_x000a_2.919货舱门机构（2轴方案）Adams建模和卡滞工况分析及报告"/>
        <s v="1.球面框适航总结-15h_x000a_2.APU连接适航总结-15h_x000a_3.做ppt、分解工时-10h"/>
        <s v="1.C919平尾悬挂框适航总结-20h_x000a_2.C919平尾悬挂接头适航总结-17.5h"/>
        <s v="1.C919后段壁板适航总结-20h_x000a_2.C919后机身工作分解工时-7.5h"/>
        <s v="补发工时"/>
        <s v="1.C919前后段对接适航总结-15h_x000a_2.C919垂尾连接适航总结-15h_x000a_3.任务单、验收单和工时汇总表填写-10h"/>
        <s v="1.C919前段壁板适航总结-20h"/>
        <s v="1.C919平尾开口梁适航总结-20h"/>
        <s v="补发6月工时"/>
        <s v="1.静强度修理报告—采用盲铆钉对长桁间蒙皮的外补修理-60h_x000a_2.静强度修理报告—采用实心铆钉对长桁间蒙皮的外补修理-80h_x000a_3.静强度修理报告—舱门梁间蒙皮外补修理-40h"/>
        <s v="1.静强度修理报告—采用盲铆钉对长桁位置蒙皮的外补修理-40h_x000a_2.静强度修理报告—采用实心铆钉对长桁位置蒙皮的外补修理-60h"/>
        <s v="  1).C919风挡细节有限元建模"/>
        <s v="1 团队技术支持 2 客户沟通及技术讨论 3 允许损伤有限元报告编制（数据处理及交付） 4 跑道型表面损伤分析 5 表面损伤模型无损伤有孔模型分析"/>
        <s v="1 有无表面损伤50mm裂纹扩展分析 2 六组表面损伤模型分析 3 两个耳片模型分析"/>
        <s v="四组带孔缘条边缘损伤有限元分析"/>
        <s v="第一组耳片边缘损伤模型修改分析"/>
        <s v="1 四组无孔缘条边缘损伤及集中系数为1.5模型有限元分析 2 有无孔表面损伤模型、有无孔边缘损伤缘条模型等结果处理"/>
        <s v="前起舱及RAT舱结构损伤容限方法研究及整理并启动编写总结报告_x000a_"/>
        <s v="登机门框结构损伤容限方法研究及整理并启动编写总结报告_x000a_"/>
        <s v="天窗骨架结构损伤容限方法研究及整理并启动编写总结报告_x000a_"/>
        <s v="C919机身结构损伤容限分析方法研究_x000a_整体总结报告适航条款及符合性研究并编写总结"/>
        <s v="E-E舱门/驾驶舱应急门结构损伤容限方法研究及整理并启动编写总结报告_x000a_"/>
        <s v="拉伸接头典型结构损伤容限方法研究及整理并启动编写总结报告_x000a_旅客观察窗结构损伤容限方法研究及整理并启动编写总结报告_x000a_"/>
        <s v="机身壁板结构损伤容限方法研究及整理并启动编写总结报告_x000a_"/>
        <s v="货舱门框结构损伤容限方法研究及整理并启动编写总结报告_x000a_"/>
        <s v="机身普通框结构损伤容限方法研究及整理并启动编写总结报告_x000a_"/>
        <s v="中后机身长桁结构损伤容限方法研究及整理并启动编写总结报告"/>
        <s v="前机身-长桁允许损伤损伤容限报告编制及意见贯彻_x000a_中后机身-后登机门框允许损伤损伤容限报告更新"/>
        <s v="前机身框允许损伤损伤容限报告更新及意见贯彻_x000a_机身长桁间蒙皮修理损伤容限报告编制"/>
        <s v="机身长桁站位蒙皮修理损伤容限报告编制_x000a_中后机身框允许损伤损伤容限报告更新"/>
        <s v="机头-前登机门框允许损伤损伤容限报告更新_x000a_典型修理损伤容限分析方法确认_x000a_本月提交报告校对并答复上海意见"/>
        <s v="中后机身-后货舱门框允许损伤损伤容限报告更新"/>
        <s v="舱门蒙皮小孔平补修理损伤容限报告编制"/>
        <s v="机头长桁允许损伤损伤容限报告更新及意见贯彻"/>
        <s v="舱门长桁间蒙皮修理损伤容限报告编制"/>
        <s v="机身-蒙皮小孔平补修理损伤容限报告编制（含模型）"/>
        <s v="1.整理财务审计报告等"/>
        <s v="2.1例会及协调2h_x000a_2.2评审资料准备2h"/>
        <s v="1.校对华小歌5759C22001G24/G25;5759C22002G25/G26-2h；_x000a_2.华小歌5369C51、52、53、54、55、57、58工作单-80h；_x000a_3.商飞第八批任务通知单及验收单编制-10；"/>
        <s v="1.施任杰-5349C21000G22、5349C21000G23设计任务-26h;_x000a_2.施任杰-5349C21000G20、5349C21000G21校对任务-4h;_x000a_3.修改第八批验收单和通知单-2h。"/>
        <s v="1.孙晨晨9月工作单2设计-4h；_x000a_2.陈锋-5319C82000G2设计-4h；_x000a_3.刘振芳-5349C16000G26设计-5h；_x000a_4.华小歌-5389C03000、5389C24000工作单校对-2h_x000a_5.刘振芳-5349C16000G25校对-2h；"/>
        <s v="1孙晨晨9月工作单1设计-7h_x000a_2.华小歌-575922001G2*设计-14h_x000a_3.陈锋-5319C80000G2X设计-21h_x000a_4.华小歌-5389C03000/5389C24000G2*设计-18h"/>
        <s v="1.施任杰-5349C21000G20、5349C21000G21设计任务-26h_x000a_2.施任杰-5349C21000G22、5349C21000G23校对任务-4h_x000a_3.刘振芳-5349C16000G25设计-5h_x000a_4.孙晨晨9月工作单1校对-2h_x000a_5.陈锋-5319C82000G2校对-1h_x000a_6.华小歌-5389C03000/5389C24000G2*校对-3h_x000a_7.华小歌5369C51、52、53、54、55、57、58校对-6h_x000a_8.刘振芳-5349C16000G26校对-2h；"/>
        <s v="1.孙晨晨9月工作单2校对-2h"/>
        <s v="1.陈锋-5319C82000G2校对-4h；"/>
        <s v="应急门手柄更改方案设计、登机门扭力杆方案设计"/>
        <s v="货舱门万向节方案更改、登机门内饰支架方案更改、舱门发图更改"/>
        <s v="应急门飞行锁机构设计"/>
        <s v="货舱门增压预防门方案设计、舱门发图更改"/>
        <s v="应急门手柄方案设计、舱门发图更改"/>
        <s v="舱门发图更改"/>
        <s v="1.与上海沟通输入、方法文件等，研究分析方法_x000a_2.尾锥蒙皮允许损伤静强度分析及报告编制"/>
        <s v="手册疲劳更新"/>
        <s v="其中允许损伤文件100，修理文件75，C919翻译25"/>
        <s v="机身蒙皮小孔临时修理静强度分析温度载荷工况更新后多部段新增分析-90_x000a_机身蒙皮小孔临时修理静强度报告更新-30_x000a_"/>
        <s v="机身蒙皮小孔临时修理静强度分析温度载荷工况更新后多部段新增分析"/>
        <s v="1号设计（2022年KTB）"/>
        <s v="C919设计（2022年上飞院）"/>
        <s v="强度建模练习"/>
        <s v="C919项目允许损伤静强度报告、ARJ21结构识别"/>
        <s v="CR929登机门可靠性分析"/>
        <s v="CR929登机门可靠性分析、ARJ21结构识别"/>
        <s v="ARJ21结构识别"/>
        <s v="C919项目允许损伤静强度报告"/>
        <s v="强度培训"/>
        <s v="CR929登机门有限元建模"/>
        <s v="公司“雏鹰”培训"/>
        <s v="静强度培训、强度建模练习"/>
        <s v="纪录片制作"/>
        <s v="撰写文化案例集"/>
        <s v="1、组织开展党支部党课学习；_x000a_2、写季度党课学习记录；_x000a_3、三会一课检查。"/>
        <s v="组织质量竞赛考试、组织观看红色电影团日活动、参加公司职场三观大讨论、青年突击队"/>
        <s v="1.党小组会议材料准备、开会_x000a_2.党员学习笔记_x000a_3.写宣传稿《航空报国的先锋旗帜，研发战线的杰出代表》"/>
        <s v="1、工程研发事业部电子月刊编辑制作_x000a_2、三会一课材料整理_x000a_3、沈飞民机简报投稿2篇_x000a_4、“文化案例集”材料编写_x000a_5、“我与公司共成长”剧本编写及修改"/>
        <s v="三会一课记录本的填写及投稿一篇"/>
        <s v="结构第二党小组组织召开党小组会议，记录会议纪要，梳理检查组内党建材料，编写宣传稿等工作"/>
        <s v="党小组事务"/>
        <s v="第三季度党小组会议，党小组笔记记录，党员笔记收集及签阅"/>
        <s v="组织三会一课"/>
        <s v="前机身结构设计"/>
        <s v="项目验收准备"/>
        <s v="项目管控"/>
        <s v="1）参加质量体系建设例会，各项资料传递，梳理Z-文件列表，标准化审核Z-文件 7.5_x000a_2）完成AS9100审计相关工作（准备、完善迎审相关文件资料，参与现场审计）22.5_x000a_3）完成质量月相关工作（编制计划、组织答题、统计人数、整理问题清单、编制培训教材、编写活动总结）45"/>
        <s v="1）梳理M700迎审资料 24_x000a_2）编制军机迎审文件 15_x000a_3）问题沟通、参加会议等   5"/>
        <s v="1.参加质量会议-5h；_x000a_2.完善电磁兼容性分析指南、电子元器件选用管理要求、安全性方法和程序、安全性设计准则文件-24h"/>
        <s v="1.参加质量会议-5h；_x000a_2.完成蓄压器强度分析建模-24h；_x000a_3.完善 机载设备故障分析手册编制要求-16h："/>
        <s v="编写KK4文件，参加文件编制讨论会议"/>
        <s v="编写KK4文件"/>
        <s v="1.参加质量体系例会-8_x000a_2.KK3-JB2000-0035Rev-蓄压器研发项目维修性分析报告-15_x000a_3.KK4-可靠性工作计划-20"/>
        <s v="质量例会、初稿文件修改完善：_x000a_1-04 修理级别分析 （ 15 页） _x000a_2-01 综合保障程序和方法（通用要求） （ 14 页） _x000a_2-02 综合保障工作计划编制要求 （ 9 页） _x000a_2-03 综合保障评审 （ 23 页） _x000a_2-04 保障方案和保障计划编制 （ 14 页） _x000a_2-05 保障设备规划与研制要求 （ 10 页） _x000a_3-01 环境适应性（环境工程）程序和方法 （ 19 页） _x000a_3-02 环境工程文件编写要求 （ 58 页） _x000a_3-03 装备实验室环境试验方法  通用要求 （ 9 页） _x000a_4-01 腐蚀防护设计和控制要求 （ 25 页）"/>
        <s v="1.按模板编制蓄压器性能试验任务书5h；_x000a_2.按模板编制蓄压器性能试验大纲5h；。"/>
        <s v="编写《可靠性》相关文件"/>
        <s v="参加质量体系例会，整理表中强度的交付物，识别查找文件列表"/>
        <s v="1.质量会议5h_x000a_2.重量设计报告30h"/>
        <s v="1.编制《蓄压器研发项目外形尺寸图和外部连接图》-8h"/>
        <s v="1.编制风险管理计划。-5h。_x000a_2.编制武器装备研制项目风险管理指南。-5h_x000a_3.编制蓄压器风险管理计划及风险评估表。-8h"/>
        <s v="1.修改蓄压器研发项目设计输出清单-初样设计阶段-5h_x000a_2.修改蓄压器研发项目设计输出清单-5h"/>
        <s v="1.参加质量体系例会_x000a_2.维修性报告、安全性报告等六分KK3文件的技术要求参数贯彻_x000a_3.特性分类校对"/>
        <s v="1.编制蓄压器需求分析报告报告"/>
        <s v="1.编制蓄压器研发项目研制方案报告-16h"/>
        <s v="1.编制蓄压器过载分析报告-5h_x000a_2.创建蓄压器有限元模型-5h"/>
        <s v="1、EDRN、RFC、DCP文件整理_x000a_2、模块数模整理、陪审"/>
        <s v="1、编制《可靠性方法和程序》文件-5h；_x000a_2、编制《可靠性准则》文件-5h"/>
        <s v="1、EDRN编制13份。"/>
        <s v="1.参加会议，2h_x000a_2.编制GLC12030201-A方案阶段设计实现管理程序，6h"/>
        <s v="1.参加会议，2h_x000a_2.编制GLC12030202-A工程研制阶段设计实现管理程序，10h"/>
        <s v="1.参加会议，2h_x000a_2.编制GLC12030203-A工程研制阶段设计实现管理程序，3h"/>
        <s v="GLC120108产品设计和开发的更改管理程序"/>
        <s v="GLC120110产品设计和开发的DRD交付过程管理程序"/>
        <s v="ARJ灭火机RFP回复、方案更新"/>
        <s v="GLC120204关键特性确定管理程序"/>
        <s v="起落架舱门RFP回复编辑"/>
        <s v="S-GD2000-0016Rev.A 产品支援工作流程文件编制、产品支援检查单编制"/>
        <s v="经验教训案例库查询程序开发"/>
        <s v="整理舱门设计经验教训库"/>
        <s v="整理机身设计经验教训库"/>
        <s v="GLC120202产品设计策划管理程序、GLC120203设计输入管理程序"/>
        <s v="GLC120109产品设计和开发的试验管理程序、GLB12030101-01-A 工程数据集成熟度管理标准"/>
        <s v="GLC120111产品设计风险识别与控制管理程序"/>
        <s v="AOS文件编制会议讨论"/>
        <s v="原材料、标准件验收试验项目表AOS文件编制"/>
        <s v="AOS联络员工作"/>
        <s v="GLC12030101  概念定义阶段设计实现管理程序"/>
        <s v="编写复杂装配件容差分配管理标准"/>
        <s v="详细定义阶段设计实现管理程序"/>
        <s v="科技成果"/>
        <s v="小型巡飞弹（巡飞无人机）平台技术研究和验证"/>
        <s v="小型巡飞弹（巡飞无人机）平台技术研究和验证_x000a_电动垂直起降航空器（eVTOL）技术研究"/>
        <s v="运输类飞机内滑式舱门设计技术"/>
        <s v="民用飞机复合材料后机身适航符合性验证技术研究"/>
        <s v="民用飞机结构损伤容限分析方法及适航验证流程研究"/>
        <s v="大型商用飞机鸟撞强度分析技术研究"/>
        <s v="飞机电子电气功能设备架集成设计技术的研究"/>
        <s v="后机身前、后段对接结构优化设计研究（攻关）"/>
        <s v="宽体飞机复合材料后压力框结构设计技术攻关"/>
        <s v="基于性能等效理论的复合材料3D建模技术研究（攻关）"/>
        <s v="重点任务-适航设计保证手册"/>
        <s v="借调结构室"/>
        <s v="借调强度室"/>
        <s v="借调人员，工作地点601所"/>
        <s v="制造项目 AOS 党建 技改"/>
        <s v="制造项目 国内项目支持"/>
        <s v="国外项目支持"/>
        <s v="标准组工程支持"/>
        <s v="材料及工艺支持"/>
        <s v="构型管理支持 MA700支持 适航管理"/>
        <s v="构型管理支持 MA700支持 "/>
        <s v="适航支持"/>
        <s v="货舱门开口周边结构设计优化攻关"/>
        <s v="基于框架式平尾悬挂框的平尾悬挂结构设计研究技术攻关"/>
      </sharedItems>
    </cacheField>
    <cacheField name="订单号" numFmtId="0">
      <sharedItems containsNumber="1" containsInteger="1" containsMixedTypes="1" count="5">
        <e v="#N/A"/>
        <n v="10502"/>
        <s v="YZ40000741"/>
        <s v="YZ40000680"/>
        <n v="0"/>
      </sharedItems>
    </cacheField>
    <cacheField name="是否国际" numFmtId="0">
      <sharedItems containsNumber="1" containsInteger="1" containsMixedTypes="1" count="6">
        <e v="#N/A"/>
        <n v="50709"/>
        <n v="51162"/>
        <n v="26621"/>
        <n v="51202"/>
        <n v="51188"/>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5" refreshedVersion="5" minRefreshableVersion="3" refreshedDate="45847.3802199074" refreshedBy="50843" recordCount="498">
  <cacheSource type="worksheet">
    <worksheetSource ref="A1:O500" sheet="X月项目工时"/>
  </cacheSource>
  <cacheFields count="15">
    <cacheField name="序号" numFmtId="0">
      <sharedItems containsString="0" containsBlank="1" containsNumber="1" containsInteger="1" minValue="0" maxValue="497" count="498">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m/>
      </sharedItems>
    </cacheField>
    <cacheField name="姓名" numFmtId="0">
      <sharedItems containsBlank="1" count="169">
        <s v="徐丽娜"/>
        <s v="耿璐璐"/>
        <s v="石荣荣"/>
        <s v="夏新鑫"/>
        <s v="费天行"/>
        <s v="吕冬兰"/>
        <s v="朱海"/>
        <s v="孙永光"/>
        <s v="王健"/>
        <s v="魏士礼"/>
        <s v="杨春"/>
        <s v="孟祥瑞"/>
        <s v="马岩"/>
        <s v="郑石"/>
        <s v="晨曦"/>
        <s v="祝堃"/>
        <s v="张文静"/>
        <s v="刘媛媛"/>
        <s v="宋凯"/>
        <s v="任斌"/>
        <s v="夏雷"/>
        <s v="赵子维"/>
        <s v="魏春生"/>
        <s v="赵艳秦"/>
        <s v="贾永亮"/>
        <s v="徐丹"/>
        <s v="马爽"/>
        <s v="罗贵骞"/>
        <s v="张继斌"/>
        <s v="任璐璐"/>
        <s v="尤宏良"/>
        <s v="刘全"/>
        <s v="赵婷"/>
        <s v="秦超"/>
        <s v="支晗"/>
        <s v="刘曦"/>
        <s v="刘凯男"/>
        <s v="李忠霖"/>
        <s v="刘超"/>
        <s v="万方"/>
        <s v="骆美玲"/>
        <s v="李妍"/>
        <s v="乔志斌"/>
        <s v="刘成"/>
        <s v="吴晓莉"/>
        <s v="王琛"/>
        <s v="潘英"/>
        <s v="张刚"/>
        <s v="霍东旭"/>
        <s v="赵长辉"/>
        <s v="李其鹏"/>
        <s v="丛家勇"/>
        <s v="葛春生"/>
        <s v="刘金晶"/>
        <s v="孟力华"/>
        <s v="赵莉"/>
        <s v="王世清"/>
        <s v="姚庆丰"/>
        <s v="马雪菲"/>
        <s v="刘杰"/>
        <s v="王大昱"/>
        <s v="刘洋"/>
        <s v="崔明慧"/>
        <s v="高奇"/>
        <s v="付强"/>
        <s v="王超"/>
        <s v="刘岩东"/>
        <s v="孙盘滔"/>
        <s v="刘旭"/>
        <s v="孟维宇"/>
        <s v="闫洪乐"/>
        <s v="靳海丰"/>
        <s v="刘磊"/>
        <s v="康志明"/>
        <s v="毛磊凯"/>
        <s v="李森"/>
        <s v="徐君升"/>
        <s v="陈诗春"/>
        <s v="王岩"/>
        <s v="朱照泽"/>
        <s v="张铎耀"/>
        <s v="纪可"/>
        <s v="许美娟"/>
        <s v="刘可佳"/>
        <s v="赵永利"/>
        <s v="焦凯"/>
        <s v="王呈呈"/>
        <s v="何续斌"/>
        <s v="刘红双"/>
        <s v="杨琼"/>
        <s v="陈志禹"/>
        <s v="王勇"/>
        <s v="董晓莉"/>
        <s v="韦杰琼"/>
        <s v="张成"/>
        <s v="马壮"/>
        <s v="陈杰"/>
        <s v="刘朕"/>
        <s v="牛福春"/>
        <s v="王哲"/>
        <s v="栾鹏"/>
        <s v="康霞"/>
        <s v="宋建毅"/>
        <s v="刘聪"/>
        <s v="李湘芝"/>
        <s v="郭静"/>
        <s v="梁枫"/>
        <s v="赵海"/>
        <s v="赵书凯"/>
        <s v="刘志秀"/>
        <s v="王连斌"/>
        <s v="张一峤"/>
        <s v="臧爱丽"/>
        <s v="马艺丹"/>
        <s v="杨珺涵"/>
        <s v="陈坤"/>
        <s v="王川"/>
        <s v="褚永鑫"/>
        <s v="高秉芳"/>
        <s v="王立庆"/>
        <s v="林楠"/>
        <s v="牛建庄"/>
        <s v="郭晓庆"/>
        <s v="杨炎通"/>
        <s v="陈瑞东"/>
        <s v="张秀丽"/>
        <s v="徐楚桓"/>
        <s v="孟玲俊"/>
        <s v="王瑞龙"/>
        <s v="李守玺"/>
        <s v="付泉铭"/>
        <s v="柴宝"/>
        <s v="陈磊"/>
        <s v="崔建军"/>
        <s v="杜洪雨"/>
        <s v="付容容"/>
        <s v="李爱环"/>
        <s v="李金鹰"/>
        <s v="李泽霖"/>
        <s v="卢伟"/>
        <s v="马佳"/>
        <s v="曲汝文"/>
        <s v="塔拉"/>
        <s v="王佳琪"/>
        <s v="王君元"/>
        <s v="王艺霖"/>
        <s v="杨帆"/>
        <s v="于磊"/>
        <s v="张熙尧"/>
        <s v="张智浩"/>
        <s v="周弘扬"/>
        <s v="周莫普"/>
        <s v="周天一"/>
        <m/>
        <s v="赵陈" u="1"/>
        <s v="林树德" u="1"/>
        <s v="吕国成" u="1"/>
        <s v="唐铭远" u="1"/>
        <s v="杨会宁" u="1"/>
        <s v="孙红军" u="1"/>
        <s v="任傲" u="1"/>
        <s v="宋凯（总体）" u="1"/>
        <s v="孔婷婷" u="1"/>
        <s v="赵东阳" u="1"/>
        <s v="黄文超" u="1"/>
        <s v="王佳淇" u="1"/>
        <s v="韩南逍" u="1"/>
        <s v="程镕瑷" u="1"/>
        <s v="张曾霞" u="1"/>
      </sharedItems>
    </cacheField>
    <cacheField name="胸卡号" numFmtId="0">
      <sharedItems containsBlank="1" containsNumber="1" containsInteger="1" containsMixedTypes="1" count="155">
        <n v="50079"/>
        <n v="51405"/>
        <n v="51166"/>
        <n v="50876"/>
        <n v="52570"/>
        <n v="51160"/>
        <n v="52232"/>
        <n v="25601"/>
        <n v="51784"/>
        <n v="22294"/>
        <n v="51624"/>
        <n v="51615"/>
        <n v="50730"/>
        <n v="26766"/>
        <n v="50030"/>
        <n v="52256"/>
        <n v="22259"/>
        <n v="51385"/>
        <n v="51951"/>
        <n v="51517"/>
        <n v="52587"/>
        <n v="52585"/>
        <n v="51389"/>
        <n v="50022"/>
        <n v="52131"/>
        <n v="51407"/>
        <n v="51642"/>
        <n v="51186"/>
        <n v="17243"/>
        <n v="50032"/>
        <n v="18550"/>
        <n v="50874"/>
        <n v="50702"/>
        <n v="51591"/>
        <n v="51589"/>
        <n v="52130"/>
        <n v="52156"/>
        <n v="23524"/>
        <n v="51430"/>
        <n v="51387"/>
        <n v="50713"/>
        <n v="51435"/>
        <n v="53422"/>
        <n v="51860"/>
        <n v="50872"/>
        <n v="22291"/>
        <n v="50864"/>
        <n v="50278"/>
        <n v="51941"/>
        <n v="17725"/>
        <n v="51429"/>
        <n v="50281"/>
        <n v="51410"/>
        <n v="51641"/>
        <n v="51234"/>
        <n v="50065"/>
        <n v="50317"/>
        <n v="18672"/>
        <n v="52560"/>
        <n v="17242"/>
        <n v="51162"/>
        <n v="50709"/>
        <n v="14901"/>
        <n v="17732"/>
        <n v="25549"/>
        <n v="26621"/>
        <n v="50245"/>
        <n v="50686"/>
        <n v="22296"/>
        <n v="50722"/>
        <n v="52347"/>
        <n v="51158"/>
        <n v="23527"/>
        <n v="25765"/>
        <n v="51184"/>
        <n v="17238"/>
        <n v="50716"/>
        <n v="52153"/>
        <n v="51175"/>
        <n v="51763"/>
        <n v="52581"/>
        <n v="26689"/>
        <n v="51194"/>
        <n v="51793"/>
        <n v="28161"/>
        <n v="52342"/>
        <n v="51196"/>
        <n v="50871"/>
        <n v="51151"/>
        <n v="26828"/>
        <n v="17787"/>
        <n v="51226"/>
        <n v="51211"/>
        <n v="25599"/>
        <n v="18548"/>
        <n v="51640"/>
        <n v="25600"/>
        <n v="51190"/>
        <n v="50710"/>
        <n v="25071"/>
        <n v="51781"/>
        <n v="52132"/>
        <n v="27100"/>
        <n v="52018"/>
        <n v="50019"/>
        <n v="50027"/>
        <n v="50316"/>
        <n v="50323"/>
        <n v="50832"/>
        <n v="51395"/>
        <n v="51396"/>
        <n v="50853"/>
        <n v="51428"/>
        <n v="51665"/>
        <n v="51570"/>
        <n v="51576"/>
        <n v="22250"/>
        <n v="22253"/>
        <n v="26688"/>
        <n v="27106"/>
        <n v="25603"/>
        <n v="17090"/>
        <n v="50275"/>
        <n v="51955"/>
        <n v="51181"/>
        <n v="51165"/>
        <n v="52579"/>
        <n v="22298"/>
        <n v="26654"/>
        <n v="25763"/>
        <n v="51555"/>
        <n v="51944"/>
        <n v="52180"/>
        <n v="51647"/>
        <n v="51170"/>
        <n v="51183"/>
        <n v="50726"/>
        <n v="51227"/>
        <n v="52569"/>
        <n v="51844"/>
        <n v="52236"/>
        <n v="52133"/>
        <n v="25548"/>
        <n v="52341"/>
        <n v="50735"/>
        <n v="25762"/>
        <n v="25078"/>
        <n v="51400"/>
        <n v="52017"/>
        <n v="52063"/>
        <n v="52124"/>
        <n v="51397"/>
        <n v="52345"/>
        <s v=""/>
        <m/>
      </sharedItems>
    </cacheField>
    <cacheField name="专业室" numFmtId="0">
      <sharedItems containsBlank="1" count="11">
        <s v="工程项目室 /适航工程室"/>
        <s v="综合技术室"/>
        <s v="结构二室"/>
        <s v="联络工程室"/>
        <s v="结构一室"/>
        <s v="强度室"/>
        <s v="系统室"/>
        <s v="总体室"/>
        <s v="办公室"/>
        <s v=""/>
        <m/>
      </sharedItems>
    </cacheField>
    <cacheField name="项目简称" numFmtId="0">
      <sharedItems containsBlank="1" count="18">
        <s v="项目开发与管控"/>
        <s v="WH1项目总体/系统/适航等其它专业"/>
        <s v="重点工作任务"/>
        <s v="8号-1.3设计"/>
        <s v="C919YJTD设计"/>
        <s v="C919基本型设计（2025年上飞院）"/>
        <s v="C919手册优化（2025年复材中心）"/>
        <s v="C919高原型设计（2025年上飞院）"/>
        <s v="巡飞无人机课题"/>
        <s v="党建工作"/>
        <s v="培训工作"/>
        <s v="WH1项目结构强度综合"/>
        <s v="工程支持"/>
        <s v="临时工程支持"/>
        <s v="SIA无人机设计-2"/>
        <s v="C929设计（2025年上飞院）"/>
        <s v="C929设计（2025年复材中心）"/>
        <m/>
      </sharedItems>
    </cacheField>
    <cacheField name="个人原始项目工时之和/h" numFmtId="179">
      <sharedItems containsString="0" containsBlank="1" containsNumber="1" minValue="0" maxValue="243" count="102">
        <n v="70"/>
        <n v="50"/>
        <n v="115"/>
        <n v="150"/>
        <n v="58"/>
        <n v="60"/>
        <n v="10"/>
        <n v="30"/>
        <n v="32"/>
        <n v="57"/>
        <n v="15"/>
        <n v="48"/>
        <n v="7.5"/>
        <n v="2"/>
        <n v="25"/>
        <n v="92"/>
        <n v="20"/>
        <n v="17.5"/>
        <n v="6"/>
        <n v="5.5"/>
        <n v="210"/>
        <n v="130"/>
        <n v="140"/>
        <n v="243"/>
        <n v="200"/>
        <n v="170"/>
        <n v="100"/>
        <n v="180"/>
        <n v="190"/>
        <n v="120"/>
        <n v="131"/>
        <n v="185"/>
        <n v="98"/>
        <n v="36"/>
        <n v="52"/>
        <n v="91"/>
        <n v="62"/>
        <n v="65"/>
        <n v="59"/>
        <n v="230"/>
        <n v="7"/>
        <n v="8"/>
        <n v="12"/>
        <n v="13"/>
        <n v="9.5"/>
        <n v="4.5"/>
        <n v="3"/>
        <n v="1"/>
        <n v="5"/>
        <n v="4.8"/>
        <n v="2.4"/>
        <n v="9.6"/>
        <n v="3.6"/>
        <n v="10.8"/>
        <n v="8.4"/>
        <n v="14.4"/>
        <n v="7.6"/>
        <n v="2.5"/>
        <n v="0.5"/>
        <n v="14"/>
        <n v="17"/>
        <n v="16"/>
        <n v="213"/>
        <n v="195"/>
        <n v="191"/>
        <n v="90"/>
        <n v="155"/>
        <n v="135"/>
        <n v="35"/>
        <n v="96.5"/>
        <n v="112"/>
        <n v="215"/>
        <n v="80"/>
        <n v="110"/>
        <n v="157"/>
        <n v="168.05"/>
        <n v="150.2"/>
        <n v="160"/>
        <n v="151.48"/>
        <n v="132"/>
        <n v="150.41"/>
        <n v="160.638"/>
        <n v="137.25"/>
        <n v="164.88"/>
        <n v="139"/>
        <n v="189"/>
        <n v="166.68"/>
        <n v="157.51"/>
        <n v="193.5"/>
        <n v="194"/>
        <n v="4"/>
        <n v="45"/>
        <n v="22.5"/>
        <n v="40"/>
        <n v="47"/>
        <n v="42"/>
        <n v="125"/>
        <n v="220"/>
        <n v="235"/>
        <n v="28"/>
        <n v="0"/>
        <m/>
      </sharedItems>
    </cacheField>
    <cacheField name="第一年跨专业原始项目工时/h" numFmtId="179">
      <sharedItems containsString="0" containsBlank="1" containsNonDate="0" count="1">
        <m/>
      </sharedItems>
    </cacheField>
    <cacheField name="第二年跨专业原始项目工时/h" numFmtId="179">
      <sharedItems containsString="0" containsBlank="1" containsNonDate="0" count="1">
        <m/>
      </sharedItems>
    </cacheField>
    <cacheField name="沈阳工时/h" numFmtId="0">
      <sharedItems containsString="0" containsBlank="1" containsNumber="1" minValue="0" maxValue="243" count="101">
        <n v="70"/>
        <n v="50"/>
        <n v="115"/>
        <n v="150"/>
        <n v="58"/>
        <n v="60"/>
        <n v="10"/>
        <n v="30"/>
        <n v="32"/>
        <n v="57"/>
        <n v="15"/>
        <n v="48"/>
        <n v="7.5"/>
        <n v="2"/>
        <m/>
        <n v="92"/>
        <n v="20"/>
        <n v="17.5"/>
        <n v="6"/>
        <n v="5.5"/>
        <n v="210"/>
        <n v="130"/>
        <n v="140"/>
        <n v="243"/>
        <n v="200"/>
        <n v="170"/>
        <n v="100"/>
        <n v="180"/>
        <n v="190"/>
        <n v="120"/>
        <n v="131"/>
        <n v="185"/>
        <n v="98"/>
        <n v="36"/>
        <n v="52"/>
        <n v="91"/>
        <n v="62"/>
        <n v="65"/>
        <n v="59"/>
        <n v="230"/>
        <n v="7"/>
        <n v="8"/>
        <n v="12"/>
        <n v="13"/>
        <n v="9.5"/>
        <n v="4.5"/>
        <n v="3"/>
        <n v="1"/>
        <n v="5"/>
        <n v="4.8"/>
        <n v="2.4"/>
        <n v="9.6"/>
        <n v="3.6"/>
        <n v="10.8"/>
        <n v="8.4"/>
        <n v="14.4"/>
        <n v="7.6"/>
        <n v="25"/>
        <n v="2.5"/>
        <n v="0.5"/>
        <n v="14"/>
        <n v="17"/>
        <n v="16"/>
        <n v="213"/>
        <n v="195"/>
        <n v="191"/>
        <n v="90"/>
        <n v="155"/>
        <n v="135"/>
        <n v="35"/>
        <n v="96.5"/>
        <n v="112"/>
        <n v="215"/>
        <n v="80"/>
        <n v="110"/>
        <n v="157"/>
        <n v="168.05"/>
        <n v="150.2"/>
        <n v="160"/>
        <n v="151.48"/>
        <n v="132"/>
        <n v="150.41"/>
        <n v="160.638"/>
        <n v="137.25"/>
        <n v="164.88"/>
        <n v="139"/>
        <n v="189"/>
        <n v="166.68"/>
        <n v="157.51"/>
        <n v="193.5"/>
        <n v="194"/>
        <n v="4"/>
        <n v="45"/>
        <n v="22.5"/>
        <n v="40"/>
        <n v="47"/>
        <n v="42"/>
        <n v="125"/>
        <n v="220"/>
        <n v="235"/>
        <n v="28"/>
      </sharedItems>
    </cacheField>
    <cacheField name="市外出差工时/h" numFmtId="179">
      <sharedItems containsString="0" containsBlank="1" containsNumber="1" containsInteger="1" minValue="0" maxValue="25" count="3">
        <m/>
        <n v="25"/>
        <n v="10"/>
      </sharedItems>
    </cacheField>
    <cacheField name="专业" numFmtId="0">
      <sharedItems containsBlank="1" count="9">
        <s v="PMO"/>
        <s v="适航"/>
        <s v="材料及工艺"/>
        <s v="结构"/>
        <s v="强度"/>
        <s v="其他"/>
        <s v="系统"/>
        <m/>
        <s v="工程支持"/>
      </sharedItems>
    </cacheField>
    <cacheField name="工作包" numFmtId="0">
      <sharedItems containsBlank="1" count="39">
        <s v="项目管理"/>
        <m/>
        <s v="贯彻民用航空高质量发展三年行动方案任务"/>
        <s v="8号垂尾优化设计"/>
        <s v="垂尾"/>
        <s v="后机身"/>
        <s v="后机身/垂尾"/>
        <s v="CSDB录入"/>
        <s v="C919手册2025年"/>
        <s v="巡飞无人机"/>
        <s v="党建工作"/>
        <s v="机身"/>
        <s v="临时工程支持"/>
        <s v="重点任务管控"/>
        <s v="管理成果"/>
        <s v="研发数字化转型"/>
        <s v="十四五任务"/>
        <s v="系统性改进"/>
        <s v="AUK项目审计"/>
        <s v="拉杆课题"/>
        <s v="辽宁省科学技术奖申报"/>
        <s v="沈阳市创新大赛材料编写"/>
        <s v="C919"/>
        <s v="培训"/>
        <s v="陕飞8-2项目"/>
        <s v="设计制造一体化"/>
        <s v="科技成果申报"/>
        <s v="复合材料机体机构健康寿命管理研究"/>
        <s v="C919YJTD-强度报告培训"/>
        <s v="国军标质量体系"/>
        <s v="质量工作"/>
        <s v="散货舱门质量迎审"/>
        <s v="QC答辩"/>
        <s v="燃油成品件研制"/>
        <s v="管理课题"/>
        <s v="结构"/>
        <s v="强度"/>
        <s v="科研课题"/>
        <s v="技术攻关"/>
      </sharedItems>
    </cacheField>
    <cacheField name="主要工作任务_x000a_（请简要说明每项设计任务、工时及所属任务通知单编号）_x000a_例：序号.工作包-任务通知单编号-设计任务-工时" numFmtId="0">
      <sharedItems containsBlank="1" count="257" longText="1">
        <s v="8号设计（2025年）：_x000a__x000a_1.上报项目月工时。_x000a_2.统计每月工时发生汇总，差旅发生费用，成本归集。_x000a_3.内部及涉密信息导入导出。_x000a_4.审签出差报销。_x000a_5.跟踪8-1.1、8-1.2项目回款状态，提醒客户启动第三笔回款申请。  _x000a_6.组织8-1.3项目减重合同中期评审报告及PPT的准备，组织客户预评审技术报告。_x000a_7.完成8-1.3项目减重合同及技术协议的签订。_x000a_8.准备8-1.3项目减重合同及技术协议外带及对外提供手续。_x000a_9.组织准备8-1.3项目减重合同免税申报材料（技术方案）。_x000a_10.组织陕飞某项目舱门、后机身设计外包技术方案的编制、参加其评审会。_x000a_"/>
        <s v="C919基本型设计（2025年上飞院）：_x000a_1.上报项目月工时。_x000a_2.统计每月工时发生汇总，差旅发生费用，成本归集。_x000a_3.审签出差报销。_x000a_4.交付物存储地址建立。_x000a_5.编制并跟踪任务分解计划，协调处理项目进展问题。_x000a_6.协调项目人力资源。_x000a_7.与客户沟通项目任务清单、推动项目CSDB录入文件计划及存在的问题、损伤容限报告编制计划进展。_x000a_8.与客户沟通项目合同签订情况。_x000a_9.编制文件审签封面并组织实施。_x000a_"/>
        <s v="1）1号-1.4设计：跟进合同进展情况；_x000a_2）C919YJTD：跟进项目进展，协调后机身工时认定，跟进合同立项情况等；_x000a_3）11号设计：跟进合同签订流程，完成两轮电子采购平台报价，编写合同文本、谈判记录及报价单；_x000a_4）完成集成研发业务域设计评审流程图、绩效指标表、流程清单等编制；_x000a_5）完成事业部驾驶舱PPT更新及业务场景需求数据表填写；_x000a_6）完成PMA流程梳理及可行性分析ppt，协助完成PMA件研制与取证费用预算；_x000a_7）机房/涉密台账管理，资产明细表更新，完成二季度纸质秘密载体台账/光磁介质秘密载体台账上报，内部载体移交。"/>
        <s v="参加项目总师例会并作会议概要;_x000a_沟通协调我方和沈阳所工作衔接和人员衔接工作,协调已经入所人员安装软件解决电脑问题等工作;_x000a_梳理项目退所人员名单,组织填写退所手续,梳理退所所需机器号和key信息及收集蓝色工作证;_x000a_解决办公环境、生活(饭卡喝咖啡)等问题_x000a_完成6号-5项目，通过沈阳所结构部门内部预验收，组织完成项目交付物的准备及签字盖章_x000a_完成6号-5项目，通过沈阳所项目验收，并根据项目主管意见，组织完成项目交付物的整改及签字盖章_x000a_完成我公司在沈阳所供应商管理系统内资格解冻协调工作，并准备供应商整改资料_x000a_"/>
        <s v="完成商飞上岗培训框架协议合同签订；组织参加C929舱门周例会、月度汇报会；组织更新结构、强度专业用检查单等"/>
        <s v="组织参加C929垂尾、平尾周例会；完成复材中心验收评审补充工作并开具发票；沟通对接复材中心年度工作计划；组织更新结构、强度专业用检查单等"/>
        <s v="沟通合同、设计输入、工作电脑等"/>
        <s v="1.与甲方讨论商定技术协议的文本，项目的工作条目与工时量，跟踪进展_x000a_2.实时更新输入清单，记录工作交流过程"/>
        <s v="1.跟踪甲方合同签订情况，项目进展_x000a_2.整理并和甲方确认结构识别工作量，形成验收单"/>
        <s v="无人机：_x000a_1.学习《高风险货运固定翼无人机系统适航标准》,审定基础（CB）初步梳理审核方法，梳理TP500型、UY-100 、翼龙-2气象型无人专用条件,梳理HY1701-HY1913章节_x000a_地址：\\192.168.10.140\newnas\data\yanfadata\WH1项目结构强度综合\05 其他工作包\14=适航管理\6月"/>
        <s v="适航审定基础学习，交付物地址：_x000a_\\192.168.10.140\newnas\data\yanfadata\WH1项目结构强度综合\05 其他工作包\14=适航管理\6月"/>
        <s v="梳理适航条款，参加适航讨论会交付物在公共区\\192.168.10.140\newnas\data\yanfadata\WH1项目结构强度综合\05 其他工作包\14=适航管理\6月"/>
        <s v="讨论并编写审定基础，补充无人机专用条件与条款负责人专业，交付物已经放 \\192.168.10.140\newnas\data\yanfadata\WH1项目结构强度综合\05 其他工作包\14=适航管理\6月"/>
        <s v="大型固定翼货运无人机系统适航审定基础梳理，燃油、滑油、进排气系统适航条款研究，参加讨论会；适航学习交付物存放地址：_x000a_\\192.168.10.140\newnas\data\yanfadata\WH1项目结构强度综合\05 其他工作包\14=适航管理"/>
        <s v="联系供应链和质量部获取试验项目报价，联系物流中心获取质保单和理化试验报告及库存量核实，联系采购部门询问材料价格，计算原材料价格"/>
        <s v="1.学习CATIA逆向工程曲面设计方法；_x000a_2.搜寻B737零件图纸。"/>
        <s v="1、参加PMA取证讨论会；_x000a_2、协助完成PMA件费用测算。"/>
        <s v="8-1.3垂尾中期评审报告和交付物优化"/>
        <s v="8-1.3垂尾中期评审报告优化和交付物校对"/>
        <s v="8号舱门及减重合同：_x000a_1.出差去汉中送减重合同_x000a_2.协助陕飞解决复材舱门问题、登机门安装调整问题_x000a_3.协助陕飞处理试验规划相关问题_x000a_"/>
        <s v="1.垂尾虚拟试验件根部接头垂向载荷对比分析，肋剖面载荷对比分析_x000a_2.垂尾试验件73框位置两种优化方案与原DFEM模型的垂向根部载荷对比"/>
        <s v="1.垂尾根部试验件细节有限元模型建模_x000a_2.垂尾根部试验件加载、边界约束、试算。根部接头载荷对比与问题分析。_x000a_3.垂尾虚拟试验件方案二有限元模型修改与试算。"/>
        <s v="919后机身许用值更新，协调任务分配，校核分析结果，汇总裕度变化情况"/>
        <s v="919后机身泄压报告前后段对接、后机身与中后机身对接、77-78框部分工具与报告内容校对"/>
        <s v="919泄压报告球面框、平尾开口加强梁和74-76框部分工具与报告内容校核"/>
        <s v="919后机身许用值更新，77-78框拉压剪许用值受影响工具更新；挤压许用值受影响工具更新"/>
        <s v="919后机身许用值更新，74-76框拉压剪、拉脱和层间、挤压等许用值受影响的工具更新"/>
        <s v="919后机身许用值更新，前后段对接和平尾开口加强梁结构挤压许用值受影响的工具更新"/>
        <s v="919后机身许用值更新，前段壁板拉压剪、拉脱和层间、挤压等许用值受影响的工具更新"/>
        <s v="919后机身许用值更新，平尾开口加强梁结构挤压许用值更新受影响工具更新"/>
        <s v="919后机身许用值更新，后机身与中后机身对接挤压许用值更新受影响工具更新"/>
        <s v="后机身组件P产数模注释更改，共计27个组件，多个零件设计更改，3个实验组件更改；垂尾新增加框根部试验件，PT20垂尾试验组件设计更改"/>
        <s v="垂尾新设计一个试验组件，蒙皮设计和校对框"/>
        <s v="校对P产8个模块多个零件装配区域注释更改"/>
        <s v="后机组件P产数模注释更改，共计8个组件，多个零件设计更改，1个使用组件更改；垂尾新增加框根部试验件框组件的设计，蒙皮组件的校对，PT20垂尾试验组件设计更改"/>
        <s v="垂尾新增加框根部试验件框组件的设计，蒙皮组件的校对，PT20垂尾试验组件设计校对"/>
        <s v="垂尾新增加框根部试验件壁板组件的设计，框组件的校对"/>
        <s v="垂尾新增加框根部试验件机身壁板组件的设计，框组件的校对"/>
        <s v="CSDB手册上线基础数据准备（警告类信息整理）12h_x000a_CSDB手册上线图片要求整理及讲解 10h_x000a_CSDB手册上线与上飞院沟通协调 8h"/>
        <s v="CSDB手册上线账号任务，录入文件5份：36h_x000a_开会培训：4h"/>
        <s v="CSDB手册上线账号任务，录入文件15份：100h_x000a_开会培训：4h_x000a_图片整理 46h"/>
        <s v="CSDB手册上线账号任务，录入9份标准实施文件和14份结构识别文件100多页（包括文字内容、有序列表识别、表格内容、添加链接、添加注释等）：100h_x000a_开会培训（与商飞沟通录入问题）：4h_x000a_130张图片整理（包括从参考中查询相应iso图片，图片按格式统一改号，增加图片中区域热点，图片内容改为与word一致等） 26h"/>
        <s v="CSDB手册上线图片整理任务，录入文件3份：16h_x000a_开会培训：4h"/>
        <s v="CSDB手册上线账号任务，录入文件10份，86h_x000a_整理警告类信息和允许损伤模板20h_x000a_开会培训：4h_x000a_图片整理：40h"/>
        <s v="1.有限元工作技术支持及交付物审核提交 2.与甲方讨论技术问题、对接输入等 3.手册损伤容限分析指南编制与培训 4.校对八份文件 5.审核九份文件 6.手册分析团队成员技术支持"/>
        <s v="中机身蒙皮、缝翼蒙皮分析及报告编制、蒙皮凹坑分析方法研究及培训、校对六份文件、审核五份文件"/>
        <s v="中后机身后段蒙皮、中后机身前段蒙皮、货舱门蒙皮分析及报告编制"/>
        <s v="登机门服务门主结构手册分析及报告编制、校对五份文件、审核四份文件"/>
        <s v="外翼蒙皮、中央翼蒙皮、货舱门接头、主结构、机头蒙皮手册分析及报告编制"/>
        <s v="1.有限元模型建模 2.全部模型计算、数据汇总 3.提载研究 4.一份手册分析"/>
        <s v="1.有限元模型建模 2.机头服务舱蒙皮、机头EE舱蒙皮、中后机身前段、中后机身后段蒙皮凹坑分析及报告编制 3.报告格式修改等"/>
        <s v="有限元模型建模、机头驾驶舱蒙皮凹坑分析及报告编制"/>
        <s v="应急门接头、主结构、驾驶舱应急门接头、主结构、缝翼蒙皮、机头登机门服务门框手册分析及报告编制"/>
        <s v="外翼长桁等两份手册分析及报告编制"/>
        <s v="机头长桁、机头框手册分析及报告编制、一份校对"/>
        <s v="中机身长桁、中机身框、中后机身前段框手册分析及报告编制、一份校对"/>
        <s v="1. 登机门服务门接头、货舱门蒙皮、中后机身后段框、固定前缘主结构、固定后缘结构、固定后缘主起落架连接区结构、前机身蒙皮手册分析及报告编制2.格式修改等"/>
        <s v="有限元模型建模"/>
        <s v="18份报告手册文件对比"/>
        <s v="26份报告手册文件对比"/>
        <s v="1.1 CSDB三方线上会议一次-2h_x000a_1.2 CSDB三方线线上会议，问题梳理及对解答的整理-2h_x000a_1.3 CSDB内部培训会议一次-2h_x000a_2.1 梳理自己45份文件的警戒、警戒、警示、注意命令，并删除同类项，识别相似项并就近标记-2h_x000a_2.2 梳理复材组（5人合并后）的警戒、警戒、警示、注意命令，并删除同类项，识别相似项并就近标记-2h_x000a_2.3 梳理金属组和复材组的警戒、警戒、警示、注意命令，并删除同类项，识别相似项并就近标记，提交给上飞院，作为资源库录入的输入-2h_x000a_3 按录入操作具体情况，更新录入样例两份PPT-2h_x000a_4.1 与上飞院、金属组沟通图片库命名事项及具体问题讨论-8h_x000a_4.2 组织对Arbortext IsoDraw 7.3版本的转化，降为7.2版本-1h_x000a_4.3 6月份复材中心预计陆续发放87份文件，统计87份文件对应信息及对应人员，方便个人进行识别，下载自己相关8份已发布文件，并对图片进行版本识别，确认是7.2版本，7.3版本的继续转化成7.2版本-8h_x000a_4.4 按上飞院刘馨阳的要求，更改word文件中的图号，重新生成一版更改后的word文件，作为录入的基础（涉及重命名的文件20份）-16h_x000a_4.5 识别复材允许损伤的共用图，并标记-4h_x000a_4.6 统计金属复材共用SNS信息，与金属共同确认流水号的起始信息-2h_x000a_4.7 按上飞院刘馨阳的要求，一个SNS中进行流水编号的原则，对自己负责的45份文件进行流水编号（初步编号），并填写名称、格式、在文中位置等相关信息，共计338项信息统计-24_x000a_5.开展录入工作完成14份文件的录入（图片除外）-14h"/>
        <s v="1.CSDB三方线线上会议，问题梳理及对解答的整理-2h_x000a_2.CSDB内部培训会议一次-2h_x000a_3.梳理自己27份文件的警戒、警戒、警示、注意命令，并删除同类项，识别相似项并就近标记-1h；_x000a_4.开展文件录入工作，完成16份文件的录入（图片除外）-8h；_x000a_5.完成12份文件的图片与ISO文件对比一致性-8h；_x000a_6.更改12份文件中的图号，重新生成一版更改后的word文件，作为录入的基础-8h；_x000a_7.识别复材允许损伤的共用图，并标记-3h；_x000a_8.一个SNS中进行流水编号的原则，对自己负责的27份文件进行流水编号（初步编号），并填写名称、格式、在文中位置等相关信息-15h；_x000a_9.完成12份技术文件中ISO图片增加热点的工作-15h"/>
        <s v="1.CSDB三方线线上会议，问题梳理及对解答的整理-2h_x000a_2.CSDB内部培训会议一次-2h_x000a_3.梳理自己48份文件的警戒、警戒、警示、注意命令，并删除同类项，识别相似项并就近标记-2h；_x000a_4.开展文件录入工作，完成21份文件的录入（图片除外）-9h；_x000a_5.Arbortext IsoDraw 7.3版本的转化，降为7.2版本-1h_x000a_6.完成21份文件的图片与ISO文件对比一致性-9h；_x000a_7.更改9份文件中的图号，重新生成一版更改后的word文件，作为录入的基础-8h；_x000a_8.识别复材允许损伤的共用图，并标记-3h；_x000a_9.一个SNS中进行流水编号的原则，对自己负责的48份文件进行流水编号（初步编号），并填写名称、格式、在文中位置等相关信息-17h；_x000a_10.完成9份技术文件中ISO图片增加热点的工作-12h"/>
        <s v="1.CSDB三方线线上会议，问题梳理及对解答的整理-2h_x000a_2.CSDB内部培训会议一次-2h_x000a_3.梳理自己42份文件的警戒、警戒、警示、注意命令，并删除同类项，识别相似项并就近标记-1h；_x000a_4.开展文件录入工作，完成16份文件的录入（图片除外）-8h；_x000a_5.完成42份文件的图片与ISO文件对比一致性-8h；_x000a_6.更改10份文件中的图号，重新生成一版更改后的word文件，作为录入的基础-8h；_x000a_7.识别复材允许损伤的共用图，并标记-3h；_x000a_8.一个SNS中进行流水编号的原则，对自己负责的42份文件进行流水编号（初步编号），并填写名称、格式、在文中位置等相关信息-17h；_x000a_9.完成12份技术文件中ISO图片增加热点的工作-13h"/>
        <s v="1.CSDB三方线线上会议，问题梳理及对解答的整理-2h_x000a_2.CSDB内部培训会议一次-2h_x000a_3.梳理自己40份文件的警戒、警戒、警示、注意命令，并删除同类项，识别相似项并就近标记-1h；_x000a_4.开展文件录入工作，完成22份文件的录入（图片除外）-8h；_x000a_5.完成40份文件的图片与ISO文件对比一致性-8h；_x000a_6.更改17份文件中的图号，重新生成一版更改后的word文件，作为录入的基础-8h；_x000a_7.识别复材允许损伤的共用图，并标记-3h；_x000a_8.一个SNS中进行流水编号的原则，对自己负责的40份文件进行流水编号（初步编号），并填写名称、格式、在文中位置等相关信息-17h；_x000a_9.完成9份技术文件中ISO图片增加热点的工作-10h"/>
        <s v="1、编制：_x000a_C919-A-53-40-08-01A-04CA-A 机身-中机身-隔框-结构识别_x000a_C919-A-53-40-71-01A-04CA-A 机身-中机身-前部整流罩面板-结构识别_x000a_C919-A-53-40-71-04A-04CA-A 机身-中机身-后部整流罩面板-结构识别_x000a_C919-A-57-54-70-01A-04CA-A 机翼-襟翼机构-滑轨-结构识别_x000a_2、校对：_x000a_C919-A-57-41-01-02A-04CA-A 机翼-固定前缘-下壁板蒙皮-结构识别_x000a_C919-A-57-41-02-01A-04CA-A 机翼-固定前缘-主结构-结构识别_x000a_C919-A-57-42-02-01A-04CA-A 机翼-缝翼-主结构-结构识别_x000a_3、发现基本型错误，反馈给甲方_x000a_4、与甲方就高原型结构识别输入所需内容、工作协调沟通等"/>
        <s v="1、编制：_x000a_C919-A-57-41-01-02A-04CA-A 机翼-固定前缘-下壁板蒙皮-结构识别_x000a_C919-A-57-41-02-01A-04CA-A 机翼-固定前缘-主结构-结构识别_x000a_C919-A-57-42-02-01A-04CA-A 机翼-缝翼-主结构-结构识别_x000a_2、校对：_x000a_C919-A-53-40-01-01A-04CA-A 机身-中机身-蒙皮-结构识别_x000a_C919-A-53-40-03-01A-04CA-A 机身-中机身-长桁-结构识别_x000a_C919-A-57-42-01-01A-04CA-A 机翼-缝翼-蒙皮-结构识别"/>
        <s v="1、编制：_x000a_C919-A-53-40-01-01A-04CA-A 机身-中机身-蒙皮-结构识别_x000a_C919-A-53-40-03-01A-04CA-A 机身-中机身-长桁-结构识别_x000a_C919-A-57-42-01-01A-04CA-A 机翼-缝翼-蒙皮-结构识别_x000a_2、校对：_x000a_C919-A-53-40-08-01A-04CA-A 机身-中机身-隔框-结构识别_x000a_C919-A-53-40-71-01A-04CA-A 机身-中机身-前部整流罩面板-结构识别_x000a_C919-A-53-40-71-04A-04CA-A 机身-中机身-后部整流罩面板-结构识别_x000a_C919-A-57-54-70-01A-04CA-A 机翼-襟翼机构-滑轨-结构识别"/>
        <s v="1）高原型后货舱门口框后移货前/后边框X-STOP结构设计更改（前后边框止动块、门周蒙皮及纵向加强件）；_x000a_2）高原型高原型FR66环向对接接头行李支架详细设计更改；_x000a_3）高原型FR50\FR52\FR62\FR64框行李支架设计更改（接头更改、框剪切角片、轴承装配、紧固件排布、MBD标注）；_x000a_4）高原型后货舱门口框上纵梁设计更改；_x000a_5）高原型中后机身行李支架与主结构共铆复查及校对，共439项；_x000a_6）高原型中后机身轻量化模型创建（后段及总装配）。"/>
        <s v="1）高原型中后机身精细建模钉线整理（共31个框位）；_x000a_2）高原型中后机身行李支架与主结构共铆复查及校对，共439项；_x000a_3）高原型中后机身轻量化模型创建（前段）；_x000a_4）高原型中后机身等直段角片相似性设计更改；_x000a_5）基本型FR49-FR50起吊框设计更改。"/>
        <s v="编制九份"/>
        <s v="（1）复材翼面及机加外协加工跟进和协调，试验台外协加工工作跟进和协调；_x000a_（2）总体设计总结和总体设计报告文件更新；_x000a_（3）技术外协结题准备工作和结题PPT文件修改；_x000a_（4）气动发射架和气动发射筒技术条件文件修改，设计接口问题处理；_x000a_（5）无人机试飞标准规范文件学习研究，试飞任务书和试飞大纲文件编制；_x000a_（6）课题中期评审PPT文件编制"/>
        <s v="1） 结题材料收集整理。_x000a_2） 完成巡飞无人机定常拉升有限元模型搭建。_x000a_3） 完成西工大结题评审相关事宜。_x000a_4） 完成西工大技术服务协议与振鹭试飞服务协议（第一笔）预算申报。_x000a_5） 沈航1名学生毕业论文内容审核与修改。"/>
        <s v="1、一种新型的无人机动力系统测试平台专利编制；"/>
        <s v="1） 巡飞无人机数模整理；_x000a_2） 更改结构设计报告。"/>
        <m/>
        <s v="1、协助组织主题党日活动，参加支委会，1.5小时；_x000a_2、记录支委会会议，1小时；_x000a_3、迎接党建检查，党建资料准备，6小时；_x000a_4、记录主题党日，1小时。"/>
        <s v="1、准备党小组会议资料1小时，召开党小组会1小时。_x000a_2、全体党员二季度积分统计，2小时；_x000a_3、入党积极分子考察并记录考察意见，0.5小时。"/>
        <s v="1、记录党员大会，2小时。"/>
        <s v="1、准备党小组会议资料1小时，召开党小组会1小时；_x000a_2、统计党小组党员积分1小时。"/>
        <s v="记录第一党小组会议记录，1小时。"/>
        <s v="记录第二党小组会议记录，1小时。"/>
        <s v="记录党课学习内容，2小时。"/>
        <s v="见原表"/>
        <s v="培训：飞机减重设计方法及零件的优化设计方法培训"/>
        <s v="培训：巡飞无人机试验台架设计培训"/>
        <s v="培训：翼载及推重比在方案设计初期的计算选定培训"/>
        <s v="培训：飞机总体参数初步确定培训、飞机总体初步布局培训"/>
        <s v="培训：民机设计和开发概要培训"/>
        <s v="培训：适航理念与中国适航法规体系基础培训"/>
        <s v="培训：机体结构可达性分析之AMM区域检查任务及人机仿真应用培训"/>
        <s v="培训：民用飞机EWIS安全性分析培训"/>
        <s v="培训：工程MBD技术培训"/>
        <s v="培训：AUK项目工程数据及识图培训"/>
        <s v="培训：系统安装图设计培训"/>
        <s v="培训：A220项目ABCL知识培训"/>
        <s v="培训：EWIS常用保护材料培训、线束常用屏蔽类型及屏蔽层接地方式培训、EWIS适航条款解析培训"/>
        <s v="培训：技术文件的编写培训"/>
        <s v="培训：变形铝合金专业知识培训、铸造铝合金专业知识培训"/>
        <s v="培训：无人机工程数据编号及发图培训"/>
        <s v="培训：飞机直接运营成本快速预估方法培训、飞机设计需求系统建模实例培训"/>
        <s v="培训：大型固定翼无人机强度适航符合性方法培训、飞机结构载荷的传力分析培训、DOE试验设计培训"/>
        <s v="培训：金属结构损伤容限符合性方法培训_x000a_系统室能力提升强度基础知识培训:GFEM模型建模技术，模型简化方法，单元编号规则（3.6学时）"/>
        <s v="培训：复合材料加筋壁板稳定性试验设计培训"/>
        <s v="培训：飞机鸟撞动力学仿真有限元建模的培训"/>
        <s v="培训：制造偏离处置后的强度评估方法培训_x000a_系统室能力提升强度基础知识培训:_x000a_1.R区分析方法及工具应用；_x000a_2.挤压旁路分析工具使用介绍；_x000a_3.919后机身静强度分析方法与分析工具使用和答疑_x000a_(共21学时：五次培训，每次2.5小时，培训课件准备）"/>
        <s v="培训：数字孪生技术及其在航空领域的应用培训、JJ适航与安全性发展综述培训"/>
        <s v="培训：平移型登机门典型闩锁机构设计方案论证培训"/>
        <s v="培训：带碳毡的复材蒙皮设计方法培训"/>
        <s v="培训：翼面结构低成本设计考虑因素培训"/>
        <s v="培训：曲面逆向建模技术培训"/>
        <s v="编制S-技术文件疲劳及损伤容限分析流程_x000a_编制S-技术文件结构疲劳载荷谱编制流程_x000a_校对S-技术文件静强度分析流程_x000a_校对S-技术文件舱门结构强度分析流程"/>
        <s v="校对审核修改全部27份S-技术文件"/>
        <s v="编制S-2023GD-0002 舱门结构强度分析流程_x000a_校对S-2024GD-0002 结构疲劳载荷谱编制流程"/>
        <s v="编制S-2027GD-0008强度试验数据有效性分析要求及分析方法_x000a_编制S-2027GD-0009试验前质量检查管理规定_x000a_编制S-2027GD-0010试验件验收管理规定_x000a_编制S-2027GD-0011试验界面控制数据集（TICD）的编写要求_x000a_编制S-2027GD-0012试验技术协调单的管理规定_x000a_校对四份技术文件"/>
        <s v="编制两份、校对三份"/>
        <s v="校对一份"/>
        <s v="编制两份、校对两份"/>
        <s v="编制两份、校对一份"/>
        <s v="编制6份，校对5份"/>
        <s v="编制S-2025GD-0010 机构强度分析流程_x000a_编制S-2025GD-0011 舱门机构强度分析流程_x000a_编制S-2025GD-0012 机构强度分析报告的编写要求"/>
        <s v="1.换号S-文件《数据集成熟度管理规定》等31份文件，完成100%（更换31份文件编号，更新每份文件内容，更新对应PPT内容）_x000a_"/>
        <s v="1.S-文件，5份换号、换模版、正文内容引用更改等-5h_x000a_2.S-文件，1份换号、换模版、正文内容引用更改，正文内容补充及修改等-10h_x000a_3.S-文件，校对3份-2h"/>
        <s v="1.S-文件，12份-换号、换模版、正文内容引用更改、打印签字等-10h_x000a_2.S-文件，19份-校对-5h"/>
        <s v="1.S-文件，3份-换号、换模版、正文内容引用更改、打印签字等-5h_x000a_2.S-文件，3份-校对-2h"/>
        <s v="1.S-文件，22份-换号、换模版、正文内容引用更改、补充附录等-20h"/>
        <s v="1.S-文件，3份-换号、换模版、正文内容引用更改、打印签字等-3h_x000a_2.S-文件，1份换号、换模版、正文内容引用更改，正文内容补充及修改等-6h_x000a_3.S-文件，4份-校对-3h"/>
        <s v="1.S-文件10份-换号、换模版、正文内容引用更改、打印签字等-10h_x000a_2.S-文件2份-换号、换模版、正文内容引用更改，章节号更新、正文内容补充及修改等-4h_x000a_3.S-文件17份-校对-6h"/>
        <s v="1.编制文件《S-2041ZN-2001Rev.A_液压系统部件设计要求》-3h；_x000a_2.校对《引气系统安装设计要求》-1h_x000a_3.校对《民用飞机系统安装设计流程指南》-2h_x000a_4.校对《CATIA管路模块使用指南》-4h"/>
        <s v="1.S-文件，11份-换号、换模版、正文内容引用更改、打印签字等-3h_x000a_2.S-文件，1份换号、换模版、正文内容引用更改，正文内容补充及修改等-2h_x000a_3.S-文件，16份-校对-5h"/>
        <s v="1.S-文件，3份换号，换号、换模版、更改正文格式、打印签字等。（一份60多页，一份90多页）-13h_x000a_2.S-文件，3份校对工作-3h"/>
        <s v="1.S-文件，5份-换号、换模版、正文内容引用更改、打印签字等-8h_x000a_2.S-文件，15份-校对-8h_x000a_3.科室全部文件打印并走审签流程，及相关问题解决-4h"/>
        <s v="1.S-文件，7份-换号、换模版、正文内容引用更改、打印签字等-3h_x000a_2.S-文件，5份-校对-2h"/>
        <s v="1.S-文件，6份-换号、换模版、正文内容引用更改、补充附录等-20h"/>
        <s v="1）瘦身模型中机身后段gfem建模，合并中机身及全机模型，建立各段连接_x000a_2）组织提取瘦身模型全机质量点_x000a_3）瘦身前模型，机翼蒙皮、梁分组及尺寸提取，梁腹板稳定性分析和优化_x000a_4）瘦身模型加长桁加筋条，加载输入文件处理，模型调试_x000a_5）全机模型配平方法研究和对比，载荷分载研究和对比"/>
        <s v="1）WH1第二轮（单发瘦身构型）全机有限元模建模加载调试_x000a_2）机翼与机身结构尺寸优化调整_x000a_3）全机载荷分载分析方法_x000a_4）WH1机翼，垂尾，平尾鸟撞分析_x000a_5）动强度资料收集整理"/>
        <s v="1）瘦身模型中机身前段gfem建模_x000a_2）提取瘦身模型垂尾质量点_x000a_3）瘦身前模型，机翼蒙皮、肋、梁分组及尺寸提取，肋腹板稳定性分析和优化_x000a_4）全机模型配平方法研究和对比，载荷分载研究和对比"/>
        <s v="1）前机身gfem建模_x000a_2）机翼gfem模型检查和修改_x000a_3）机翼蒙皮单元分组_x000a_4）缝翼重量点提取_x000a_5）机翼蒙皮金属稳定性分析和优化"/>
        <s v="1.垂尾gfem建模及返参_x000a_2.创建方向舵及升降舵质量点_x000a_3.机翼上蒙皮前段单元筛选，用于稳定性分析_x000a_4.缝翼驱动机构有限元模型建立_x000a_5.对地面操作载荷的平衡方程及求解方法进行深入研究，完成滑跑情况适航条款及限制条件的解读。"/>
        <s v="1）机翼gfem建模_x000a_2）机翼蒙皮、梁、肋优化结果返参_x000a_3）惯性载荷配平研究_x000a_4）地面载荷计算研究"/>
        <s v="1）平尾GFEM建模_x000a_2）机翼肋分组及尺寸量取_x000a_3）机翼、平尾和垂尾鸟撞强度分析_x000a_4）平尾质量点提取_x000a_5)动强度资料收集整理_x000d_"/>
        <s v="WH1项目全机模态计算_x000a_WH1项目机翼模态分析及颤振分析_x000a_WH1项目尾翼模态分析及颤振分析_x000a_WH1项目动气弹分析总结报告"/>
        <s v="完成8份工艺规范编制"/>
        <s v="完成10份工艺规范编制"/>
        <s v="完成7份工艺规范编制"/>
        <s v="完成6份工艺规范编制"/>
        <s v="1.在所内开展无人机结构强度技术协调工作。_x000a_1).对所内新提出的瘦身外形的主承力构建提出建议。_x000a_2).对翼身连接方案提出建议，建议采用成熟的上单翼方案。_x000a_3).协助所内结构强度与货运系统供应商对接界面连着的需求和承载要求。_x000a_4).协助所里完成低成本零件和复材减重可行性评估。_x000a_5).协助完成后部空投门的位置和初步布置。_x000a_6).协助所内完成瘦身构型的结构减重分析，自己和Ma700重量分布的对比分析。"/>
        <s v="主要工作：_x000a_1.与所内对接同事针对尾翼方案沟通协调_x000a_2.垂尾后机身界面结构布置研究_x000a_3.垂尾方向舵铰链结构设计研究"/>
        <s v="主要工作；_x000a_1.WH1垂尾概念设计数模完善优化。_x000a_2.WH1垂尾后缘舱与方向舵连接概念分析研究。"/>
        <s v="WH1项目:_x000a_1.协调研究襟翼方案，与所里设计人员协调襟翼方案，完成对所里某项目连杆方案襟翼机构的原理研究;_x000a_2.与强度协调初始数据参数，并按协调的参教更改部分数_x000a_模，以便较准确的统计初步重里；_x000a_3.6月初新外形与5月份外形对比分析，结合全机外形进行概念方案设计_x000a_4.分别对单双发机翼总体布局方案进行初步概念设计，作为储备"/>
        <s v="1.由于机身变窄，高度变低，前中机身过渡区变长，中机身前段外形变化很大，导致多数零件无法更新，只有少量与外形相关小的零件可以更新。初步重新设计下述结构部分零件_x000a_2.前起作动接头_x000a_3.前起舱侧壁板_x000a_4.与前机身界面框_x000a_5.前起舱后端框部分_x000a_6.中机身地板组件，更新横梁_x000a_7.第12、13、14、15、16各框部分，17框变为油箱端框_x000a_8.与所设计讨论货舱结构事宜"/>
        <s v="1.空投门需求对接_x000a_2.摆尾门方案把控与指导"/>
        <s v="1、评估新骨架模型，初步估计其带来的影响。_x000a_2、根据新骨架模型，整理几何元素设计后机身方案，包括长桁轴线及分段位置、蒙皮分块位置、框分段位置等，方便后续建模。_x000a_3、根据新骨架模型，本地更新后机身前段6块壁板的蒙皮和长桁，更新前3个框的数模。_x000d_"/>
        <s v="平尾升降舵后缘连接结构优化，升降舵运动分析以及旋转轴线位置评估，平尾新版结构布置面片评估，相关问题与所内尾翼负责人沟通反馈"/>
        <s v="1  wh1项目中机身方案设计，按新外形在本地更新数模，包括机身中部机加框，翼盒下壁板，翼盒端肋，翼身对接接头，供油箱端框等建模_x000a_2  重新拟合外形曲面，计算机身容积_x000a_3  翼身对接方案对比，油箱密封技术研究"/>
        <s v="1、新增尾门结构小连接件；_x000a_2、完善细化结构概念；_x000a_3、协调梁站位、货舱门锁位置等问题。_x000a_4、更新零件制造特性及重量等信息表。_x000a_5、评估分析新总体方案对中机身结构影响。"/>
        <s v="1、与所内对接人沟通完善纵梁方案，包括缘条过渡、圆孔尺寸、纵梁分段与框连接配合方向，涉及5根大尺寸纵梁；（90工时）_x000a_2、更新框梁连接件方案，在梁分段与框腹板连接的位置改为4个连接件夹持，在梁分段与框腹板和缘条连接的位置改为2个连接件夹持；（15工时）_x000a_3、增加框梁连接件示意站位，新建44个连接件；（15工时）_x000a_4、更新背鳍支撑框腹板开孔与加筋方案，减轻重量，涉及5个支撑框；（10工时）_x000a_5、更新垂尾固定段后缘，使肋、蒙皮、后缘相互搭接，降低后缘零件加工难度，提高装配工艺性。（10工时）"/>
        <s v="1.与所内主管设计沟通电子样机完善意见。2.参与与庆安公司一起讨论货运系统设计方案,与结构的设计界面,提出自己的疑问及设计思路。3.研究中机身局部设计概念,比较独立整流罩方案与非独立整流罩方案的优缺点。4.所内拟在主起机轮收起位置设计类似C系列的桶形轮舱,研究如何将概念与目前的骨架模型触合在一起。5.根据瘦身后的机身外形更新了30-35框的大部分数模。"/>
        <s v="WH1项目 1.在本地完善了一版共24个壁板组件的结构数模；2.基于瘦外形，更新了16个壁板组件的结构数据；3.深入研究一步扫略法（设计方法）在阳1项目上的应用和适用情况。"/>
        <s v="1无人机后缘舱零组件52项方案跟进及模型维护_x000a_2无人机副翼零组件60项方案跟进及模型维护_x000a_3无人机襟翼零组件68项方案跟进及模型维护_x000a_4后缘舱、襟翼、副翼对称件模型维护_x000a_5.襟翼设计资料整理及运动机构设计方法研究与分析，撰写相关设计总结_x000a_6.机翼设计资料整理及设计要点梳理"/>
        <s v="1.根据第四版中机身承力构件和第三版后机身承力构件更新摆动尾门机构中的导向支座、插销支座、轴、万向节转轴、万向节接头、曲柄、连杆、插销、齿形板、垫片、密封条等零件"/>
        <s v="1、完成飞机动力装置布局与分类文件编制一份_x000a_2、完成飞机动力装置力传载形式部分文件编制工作_x000a_3、完成按照新骨架前机身骨架评估工作_x000a_4、完成多型号发动机使用情况收集工作_x000a_5、完成新骨架8个框数模更新工作_x000a_6、完成发动机设计相关资料统计"/>
        <s v="1.无人机项目：编写《起降系统学习汇报材料_202506-MA700起落架系统安装设计工作》PPT-9h_x000a_2.无人机项目：编写技术总结《起落架系统作动方案权衡分析及应用》-6h_x000a__x000a_交付物地址：\\192.168.10.140\newnas\data\yanfadata\WH1项目结构强度综合\05 其他工作包\05=起降系统\任斌\2025年6月_x000a__x000a__x000a__x000a_"/>
        <s v="在一所参与成品管理流程、模板的编制；管理和导入产品结构树"/>
        <s v="1.完成适用于大型货运无人机燃油系统典型设备布置原则技术文件编制-15h；_x000a_2.完成典型机型的燃油油量测量系统架构对比分析报告编制-10h；_x000a_3.完成大型货运无人机燃油油量测量系统模块化设计技术研究技术报告编制-10h"/>
        <s v="1.整理无人机控制律横向控制律设计方法-33.5h。_x000a_2.整理无人机控制律高度保持回路设计方法-30h。_x000a_3.整理无人机控制律偏航角、侧偏距控制回路设计方法-33.5h。_x000a_"/>
        <s v="1.与飞航智云技术交流PPT-25h_x000a_2.与主机所沟通交流技术问题-5h"/>
        <s v="1.编写大气状态和结冰类型文件-15h_x000a_2.编制防除冰初步技术方案-20h_x000a_3.编制机翼除冰系统总体需求-15h"/>
        <s v="1.完成方案半模基本态情况的气动外形修型和CFD仿真前处理、后处理，结合开展CFD仿真，使用迎角范围内，升力系数及力矩系数提取及处理，逐项仿真计算。并考虑偏航角的影响因素，进行全模仿真，处理网格数量，进行加密区调整，协调计算能力，保证模拟仿真效率。 2.批量计算进行算例复现，测试和比对用dmprj模式当中的设计表格来对单一变量进行控制。目前已能完成基本态仿真模拟。_x000a_地址链接:\\192.168.10.140\newnas\data\\yanfadata\WH1项目结构强度综合\05 其他工作包\04=气动载荷\赵婷\202506"/>
        <s v="（1）货运无人机文件资料收集整理，产品和技术研究，报告和PPT文件编写，专题/专项研究学习（持续性工作）；_x000a_（2）货运无人机市场研究工作；_x000a_（3）竞争/关联机型（支线货机、军用战术运输机）数据对比分析表；_x000a_（4）飞机DOC计算方法研究；_x000a_（5）市场工作规划；_x000a_（6）无人机标准和规范收集整理和研究。"/>
        <s v="WH1项目-AI Agent技术及其在技术出版物等方面应用研究_x000a_地址链接:\\192.168.10.140\newnas\data\yanfadata\WH1项目结构强度综合\05 其他工作包\11=六性综合\刘成\6月工作文件\AI Agent技术及其在技术出版物等方面应用.docx"/>
        <s v="完成以下模型的模型修形及仿真计算：_x000a_垂尾面积调整航向稳定性模型；_x000a_发动机安装位置调整对滑流影响；_x000a_0527带方向舵构型计算方向舵效；_x000a_起飞和降落构型计算升降舵效；_x000a_抬高发动机构型基本态；_x000a_双发构型基本态和侧滑特性；_x000a_三个不同桨叶角的螺旋桨模型；_x000a_双发模型机翼和尾翼调整对焦点变化影响等等_x000a_并对上述仿真进行结果处理及计算整理，特性输出工作。_x000a_交付物在601所"/>
        <s v="波音项目表优化事宜沟通与执行、型号文件收发，项目表审核"/>
        <s v="升版项目表、核对适用文件目录"/>
        <s v="材料及工艺工程支持（翻译文件、发放客户文件、更改分析、升版项目表）"/>
        <s v="材料及工艺工程支持（翻译文件、发放客户文件、更改分析升版项目表）"/>
        <s v="标准件工作工程支持（发放客户文件、更改分析、代料方案、项目表校对）"/>
        <s v="材料及工艺工程支持（翻译文件）"/>
        <s v="货舱门试验件安装调试现场问题处理"/>
        <s v="1、重点任务滚动计划更新，交付物收集，填报各项任务台账进展情况，分别提交7个任务进展表；_x000a_2、重点任务工时统计；_x000a_3、参加APQP例会，完成DFMEA表格填写；_x000a_4、完成数字化转型BI系统驾驶舱及需求表填写（更新2版）；_x000a_5、完成挡块课题接受确认单签字，提交供应链管理部。"/>
        <s v="1、按集团模板要求编发管理成果主报告，并进行答辩"/>
        <s v="1、数字化转型及数据治理的培训、应用场景的流程梳理、数据分布梳理及数据源认定 7h_x000a_2、公司PDM新系统BOM定制功能开发支持 3h_x000a_3、集成制造业务域评审、沟通及支持 5h"/>
        <s v="C909项目工程MRB顺利授权问题沟通"/>
        <s v="系统性改进中期评审报告编制"/>
        <s v="完成项目管理业务域流程图编制工作（一图四表）"/>
        <s v="AUK项目产品审计"/>
        <s v="民机典型PCD件研制与验证课题：_x000a_1.与制造上协调拉杆收口后热处理性能降低问题_x000a_2.制定热处理性能分析解决方案_x000a_3.去场内进行样件硬度测试，并形成文件。_x000a_4.协调泽达展开晶相验证试验，与中航试金石对接需求、试验件切片等信息。_x000a_5.协助编写完成力学试验任务书_x000a_6.出差去泽达、广电、航峰调研，对接需求及试验准备情况。_x000a_7.基于新力学载荷和无损检查要求，更改试验大纲并完成签审。_x000a_8.完成9109和8152两个构型重新设计（两轮）_x000a_9.完成25年中期检查报告和中期答辩PPT_x000a_10.协调不涂漆和拉杆装配工装更改事项_x000a_11.完成C929拉杆装机影响分析、汇报PPT_x000a_12.处理泽达钻孔制造偏移问题、钢丝螺套数量不足问题_x000a_13.去沈飞调研拉杆收口能力及相关制造参数_x000a_14.对接基于制造能力的拉杆收口厚度（角度）设计参数。_x000a_15.协同系统试验件拼箱事项。_x000a_16.项目行动项等管理_x000a_"/>
        <s v="1.试验任务书更改_x000a_2.试验大纲校对_x000a_3.设计报告更新_x000a_4.新构型拉杆校对_x000a_5.929拉杆构型校对"/>
        <s v="C929货舱门拉杆替换汇报材料编写"/>
        <s v="辽宁省科技进步奖评审材料制作：_x000a_1.基于评审要求、申报书内容编写答辩PPT材料_x000a_2.组织完成一次PPT内部评审_x000a_3.编写演讲词_x000a_4.收录音频_x000a_5.协助制作视频_x000a_6.刻盘"/>
        <s v="辽宁省科技进步奖评审材料制作：_x000a_参会讨论、修改PPT格式"/>
        <s v="辽宁省科技进步奖评审材料制作：_x000a_参会讨论、制作视频"/>
        <s v="录制音频"/>
        <s v="申报沈阳市创新大赛，完成3个项目申报，完成材料编写：_x000a_1.飞机舱门装配调整分析工具及创新方法_x000a_2.飞机典型堵塞式舱门智能化设计系统_x000a_3.运输类飞机新型半堵塞式舱门机构设计技术"/>
        <s v="申报沈阳市创新大赛，完成3个项目申报，完成材料校对：_x000a_1.飞机舱门装配调整分析工具及创新方法_x000a_2.飞机典型堵塞式舱门智能化设计系统_x000a_3.运输类飞机新型半堵塞式舱门机构设计技术"/>
        <s v="申报沈阳市创新大赛"/>
        <s v="赴上飞院沟通CXF货舱门工作包事宜"/>
        <s v="飞鹰研修班培训"/>
        <s v="1.与陕飞技术人员沟通、确认登机门、应急门设计需求；_x000a_2.开展前登机门、后登机门门、应急门设计方案研究，创建方案设计模型；_x000a_3.编写型号项目技术响应文件。"/>
        <s v="1.后登机门方案建模"/>
        <s v="1、完成后机身响应文件第一版；_x000a_2、对第一版响应文件进行讨论；_x000a_3、与陕飞技术人员进行一次沟通，了解后机身结构设计要求；_x000a_4、编制第二版响应文件，创建气密框、后机身与尾翼对接结构的方案模型，进行主要结构方案响应；_x000a_5、讨论第二版响应文件框架及部分方案。"/>
        <s v="对309改型项目进行商谈，并参加多轮内部设计讨论会，给出意见。"/>
        <s v="修改设计制造一体化总结报告，完成3轮更改"/>
        <s v="《大型民用飞机新型后压力隔框设计技术》成果申报材料编制_x000a_"/>
        <s v="1.课题项目例会_x000a_2.与生产厂沟通处理试验件相关问题_x000a_3.检查试验大纲_x000a_4.与承试方沟通试验相关问题_x000a_5.线上跟试，沟通试验状态,分析试验数据确定试验步骤_x000a_6、参加装配容差分析评审会"/>
        <s v="根据工作总结编制专利一项"/>
        <s v="垂尾补偿垫专利编制"/>
        <s v="参加C929项目三级会并组织完成行动项；组织分析解决APQP问题；支持编制设计制造一体化验证总结报告；参与C2项目论证；沟通装配工艺对垂尾、吊挂数模要求"/>
        <s v="1.设计需求管理一图四表编制——5h_x000a_2.概念定义阶段设计一图四表修改——5h_x000a_3.初步定义阶段设计一图四表修改——5h_x000a_4.产品定义发放和试制阶段设计一图四表修改——5h_x000a_5.集成研发业务域流程图讨论会——5h_x000a_6.供应商参与研发工作流程说明填写——5h"/>
        <s v="1.参加强度培训-10h；_x000a_2.完成C919后机身前后段对接静强度分析报告学习-7h_x000a_3.完成接头立边拉伸失效分析-3h_x000a_4.完成接头底边连接失效分析-3h_x000a_5.完成接头端部弯曲失效分析=7h_x000a_6.完成端板孔周剪切失效失效分析-3h_x000a_7.完成对拉螺栓失效分析-2h_x000a_8.完成完成前后段对接拉脱失效分析-3h_x000a_9.完成C919复合材料后机身与中后机身对接静强度分析报告学习-7h_x000a_10.完成后机身蒙皮与钛合金带板连接失效分析-5h_x000a_11.完成后机身长桁与I型接头连接失效分析-3h_x000a_12.设计练习-4h"/>
        <s v="1.参加强度培训-4h；_x000a_1.完成蒙皮强度分析中应变强度和局部稳定性，样例梳理及工具使用-30h_x000a_2.完成后机身对应静强度报告中练习部分，包括对应几种情况HyperMesh模型修改和对应.bdf的保存-30h_x000a_3.完成强度报告中应变强度和局部稳定性的工具计算-30h"/>
        <s v="1.参加强度培训-10h；_x000a_1.完成强度分析报告中后段壁板强度计算工具使用，梳理流程-30h_x000a_2.完成静强度报告中的设计练习，掌握单元对应信息的查找方法-20h_x000a_3.完成静强度报告中挤压旁路的工具计算-5h"/>
        <s v="1.完成C919后机身前后段对接静强度分析报告学习_x000a_2.完成接头立边拉伸失效分析_x000a_3.完成接头底边连接失效分析_x000a_4.完成接头端部弯曲失效分析_x000a_5.完成端板孔周剪切失效失效分析_x000a_6.完成对拉螺栓失效分析_x000a_7.完成完成前后段对接拉脱失效分析_x000a_8.完成C919复合材料后机身与中后机身对接静强度分析报告学习_x000a_9.完成后机身蒙皮与钛合金带板连接失效分析_x000a_10.完成后机身长桁与I型接头连接失效分析_x000a_11.完成中后机身蒙皮与钛合金带板连接失效分析_x000a_12.完成中后机身骨架与73框框缘连接失效分析"/>
        <s v="1.参加强度培训-8h；_x000a_2.74-76框静强度报告学习-20h_x000a_3.74-76框换材料设计练习-12h"/>
        <s v="1.参加强度培训-8h；_x000a_2.74-76框静强度报告学习-16h_x000a_3.74、75、76框强度数模提取和提对应载荷-19h_x000a_4、完成75框复合材料内外缘分析并写算例-20h_x000a_5、完成R区学习-8h_x000a_6、完成蒙皮拉脱学习-7h_x000a_7、完成复合材料腹板强度学习和算例分析-19h"/>
        <s v="1.参加强度培训、开展相应的练习-10h；"/>
        <s v="1.参加强度培训-8h；_x000a_2.完成后机身长桁与长桁连接计算工具及算例原理学习：-7.5h_x000a_3.完成中后机身蒙皮与钛合金带板的连接计算工具及算例原理学习；-7.5h_x000a_4.完成三角撑和支撑件结构的连接计算工具的学习;-7.5h_x000a_5.完成支撑件与周围结构的连接计算工具学习;-7.5h_x000a_6.完成三角撑结构与周围结构件的连接计算工具学习；-7.5h_x000a_7.中后机身长桁和角材连接的工具学习和使用；-7.5h_x000a_8.完成中后机身和后机身连接静强度报告中的算例学习，以及计算方法的学习；-7h_x000a__x000a__x000a__x000a__x000a__x000a_"/>
        <s v="1.参加强度培训-4h；_x000a_2.完成框部件静强度报告学习-8h"/>
        <s v="1.完成放沉淀阀功能试验大纲、放沉淀阀试验报告、密封性试验记录、排放流量试验记录、放沉淀阀试验总结、放沉淀阀试验任务书、放沉淀阀试验项目申请、放沉淀阀试验项目申请材料的补充编制和完善-20h；_x000a_2.编制完善放沉淀阀诊断指南、放沉淀阀产品和服务安全使用培训教程、放沉淀阀使用维护说明书三份材料-15h_x000a_3.完善放沉淀阀金属材料力学性能设计值、放沉淀阀制造验收技术条件、放沉淀阀工程数据清单、放沉淀阀电子样机（工程研制阶段、研制报告模板等五份材料-10h；_x000a_4.校对完善方案阶段相应材料7份-10h；"/>
        <s v="1.新增文件放沉淀阀转阶段风险评估报告（工程研制阶段）编制——15h_x000a_2.新增文件放沉淀阀风险评审纪要（工程研制阶段）编制——15h_x000a_3.校对放沉淀阀尺寸外形图（工程研制阶段）——2h_x000a_4.校对放沉淀阀产品详细规范——2h_x000a_5.校对放沉淀阀协调单（系统—强度）并修改——4h_x000a_6.校对放沉淀阀风险识别分析（工程研制阶段）并修改——7.5h_x000a_7.校对放沉淀阀风险管理表（工程研制阶段）并修改——7.5h_x000a_8.校对放沉淀阀协调单（强度—系统）并修改——4h_x000a_9.校对放沉淀阀强度分析报告（工程研制阶段）并修改-4h"/>
        <s v="1.修改产品研制（试制）技术报告-5_x000a_2.修改产品性能测试数据-2_x000a_3.修改产品质量评审结论报告-3_x000a_4.修改项目整体研制简介-3_x000a_5.修改工艺设计工作总结-2_x000a_6.修改项目首件鉴定报告数据库维护-3_x000a_7.修改制造记录或装配大纲-2_x000a_8.修改首件鉴定特性草图-2_x000a_9.修改首件鉴定审查报告-3"/>
        <s v="1、组织完成质量文化手册宣贯培训，编制考试题，汇总上报宣贯情况；_x000a_2、组织完成质量承诺书签订；_x000a_3、组织完成穿透式检查自查报告；_x000a_4、完成军民机二季度基层审核报表；_x000a_5、协助完成航空质协QC成果申报。"/>
        <s v="组织8号登机门项目GJB审计材料。_x000a_1.参加启动会，对接需求。_x000a_2.梳理审核时间线、项目计划、行动项、会议纪要、协调单等信息，制定任务计划。_x000a_3.组织校对概念、初步、详细阶段交付物，列出更改项。_x000a_4.梳理项目策划、计划、过程管控文件及输出物并更改。_x000a_5.组织中期评审、末期评审后的技术报告及模型的升版。_x000a_6.数据传递到六楼、打印交付物并更换。_x000a_7.组织2025年2季度二、三方审核问题进行内部自查。_x000a__x000a_"/>
        <s v="GJB质量审核_x000a_1.参加启动会，对接需求_x000a_2.梳理审核时间线、项目计划、行动项等信息，制定补偿计划_x000a_3.校对概念、初步、详细阶段交付物，列出更改项_x000a_4.校对会议纪要、协调单等信息_x000a_"/>
        <s v="1.完成型号项目结构详细设计报告、重量中心报告、安装调整报告更改；_x000a_2.完成会议纪要、协调单等补充、更改；_x000a_3.完成行动项重新整理，完成行动项列表更改；_x000a_4.完成挡块试验相关文件更改、编制，其中包括试验项目清单、试验任务书、试验跟产记录、试验总结报告等。"/>
        <s v="8号登机门强度文件复查及更新"/>
        <s v="编制《安全性分析工具型号应用总结报告》-20_x000a_散货舱门可靠性安全性相关报告的更新-80_x000a_8号登机门四性文件复查及更新-15"/>
        <s v="散货舱门设计输入、设计评审等文件更新"/>
        <s v="于2025年6月4日至2025年6月6日前往宁夏银川参加沈阳市第44次质量管理小组代表会议并进行QC成果发表"/>
        <s v="1.协助完成成品件课题采购申请流程审签-5h；_x000a_2.完成成品件课题两份报价材料的编制和完善-20h；_x000a_3.完成成品件课题试验费用与试验方案匹配两轮，与供应商协调试验项的可行性和合理性，并最终确认试验项-15h；_x000a_4.完成成品件与拉杆合并环境试验的材料准备，与供应商完成技术协调，完成试验件准备并发给供应商-5h_x000a_5.完成成品件课题报价税率问题的沟通-5h；_x000a_6.跟进、提交供应商询价相关的资料信息、与供应商协调试验细节问题-5h_x000a_7.完成成品件课题中期评审材料补充-5h"/>
        <s v="整理并更改8#项目迎审文件3份，打印并替换；5h"/>
        <s v="1.建立完整的正向系统研制流程。"/>
        <s v="编制设计更改流程卡片、设计更改流程图、流程绩效指标表、流程目录；10h"/>
        <s v="6200外翼结构设计"/>
        <s v="1、机翼骨架模型设计_x000a_2、中央翼结构设计"/>
        <s v="1、机翼骨架模型设计_x000a_2、中央翼结构设计_x000a_3、7600外翼结构设计_x000a_4、6200副翼结构设计_x000a_5、7600副翼结构设计_x000a_6、组织方案、制造及装配讨论"/>
        <s v="有限元模型建立，载荷加载处理等"/>
        <s v="梳理输入，沟通问题，有限元模型建立，载荷加载处理等"/>
        <s v="WH1项目燃油油量测量系统设计技术研究：_x000a_1.补充课题中期评审材料，完成中期答辩-10h；"/>
        <s v="基于适航的WH1项目遥控台(站)系统设计技术研究：_x000a_1.补充课题中期评审材料，完成中期答辩-10h。"/>
        <s v="WH1项目飞行控制与管理系统架构设计研究：_x000a_1.完成编制课题中期评审材料，并完成中期答辩-10h；_x000a_2.完成飞行传感器子系统选型文件编制-10h。"/>
        <s v="WH1项目飞行控制与管理系统架构设计研究：_x000a_1.飞控课题相关报告编写-20h。"/>
        <s v="WH1项目总体参数计算分析工具研究"/>
        <s v="WH1项目翼身连接结构设计技术研究"/>
        <s v="WH1项目尾门装载式后机身货舱门口框设计技术研究"/>
        <s v="WH1项目机头结构设计技术研究"/>
        <s v="适用多型号的 MRB典型处置方案数据库搭建：_x000a_1、ACCESS数据库的设计应用 6h_x000a_2、中期评审材料编制 4h"/>
        <s v="《C919项目预发放数据核查系统开发》编码开发工作"/>
        <s v="面向维护性的宽体客机吊挂次级结构设计研究"/>
        <s v="WH1项目面向维修性的涡桨发动机短舱结构设计研究"/>
        <s v="WH1项目前起落架连接结构设计技术研究"/>
        <s v="C929垂尾容差分析方法研究"/>
        <s v="分块式方向舵的设计技术研究"/>
        <s v="WH1项目方向舵悬挂设计技术研究"/>
        <s v="权衡要素资料消化吸收讨论，从客户需求、性能、成本、进度、四性、环境保护影响、适航性、风险、制造工艺性和改装潜力等要素维度整理分析结合，将性能拆分细化，单独列出重量、工装、法规和技术成熟度四个要素维度，增加打分趋势列内容以说明各个要素何种趋势打分更高，并贯彻汇报部门领导专家提出的意见。_x000a_共享区存放地址链接:\\192.168.10.140\newnas\data\yanfadata\WH1项目结构强度综合\05 其他工作包\04=气动载荷\刘全\202506\权衡要素"/>
        <s v="搜集权衡研究方法资料二十余篇论文（包括ANP方法、VIKOR方法和CRITIC方法等），对其中VIKOR排序方法进行研究计算，完成总结《权衡研究之VIKOR排序法》。_x000a_共享区存放地址链接:\\192.168.10.140\newnas\data\yanfadata\WH1项目结构强度综合\05 其他工作包\04=气动载荷\刘全\202505\权衡方法"/>
        <s v="沈阳市创新大赛材料编写"/>
      </sharedItems>
    </cacheField>
    <cacheField name="订单号" numFmtId="0">
      <sharedItems containsBlank="1" containsNumber="1" containsInteger="1" containsMixedTypes="1" count="14">
        <e v="#N/A"/>
        <s v="YZ-RD202428"/>
        <n v="0"/>
        <s v="YZ40000414"/>
        <s v="YZ40000410"/>
        <s v="YZ40000419"/>
        <s v="YZ40000416"/>
        <s v="YZ40000417"/>
        <s v="YZ40000403"/>
        <n v="10502"/>
        <s v="YZ40000422"/>
        <s v="YZ40000415"/>
        <s v="YZ40000418"/>
        <m/>
      </sharedItems>
    </cacheField>
    <cacheField name="是否国际" numFmtId="0">
      <sharedItems containsBlank="1" containsNumber="1" containsInteger="1" containsMixedTypes="1" count="8">
        <e v="#N/A"/>
        <n v="17242"/>
        <n v="51162"/>
        <n v="50709"/>
        <n v="26621"/>
        <n v="22296"/>
        <n v="51184"/>
        <m/>
      </sharedItems>
    </cacheField>
  </cacheFields>
</pivotCacheDefinition>
</file>

<file path=xl/pivotCache/pivotCacheRecords1.xml><?xml version="1.0" encoding="utf-8"?>
<pivotCacheRecords xmlns="http://schemas.openxmlformats.org/spreadsheetml/2006/main" xmlns:r="http://schemas.openxmlformats.org/officeDocument/2006/relationships" count="463">
  <r>
    <x v="0"/>
    <x v="0"/>
    <x v="0"/>
    <x v="0"/>
    <x v="0"/>
    <x v="0"/>
    <x v="0"/>
    <x v="0"/>
    <x v="0"/>
    <x v="0"/>
    <x v="0"/>
    <x v="0"/>
    <x v="0"/>
    <x v="0"/>
    <x v="0"/>
  </r>
  <r>
    <x v="1"/>
    <x v="1"/>
    <x v="1"/>
    <x v="0"/>
    <x v="0"/>
    <x v="1"/>
    <x v="0"/>
    <x v="0"/>
    <x v="1"/>
    <x v="0"/>
    <x v="0"/>
    <x v="0"/>
    <x v="0"/>
    <x v="0"/>
    <x v="0"/>
  </r>
  <r>
    <x v="2"/>
    <x v="2"/>
    <x v="2"/>
    <x v="1"/>
    <x v="0"/>
    <x v="2"/>
    <x v="0"/>
    <x v="0"/>
    <x v="2"/>
    <x v="0"/>
    <x v="1"/>
    <x v="0"/>
    <x v="0"/>
    <x v="0"/>
    <x v="0"/>
  </r>
  <r>
    <x v="3"/>
    <x v="3"/>
    <x v="3"/>
    <x v="2"/>
    <x v="0"/>
    <x v="3"/>
    <x v="0"/>
    <x v="1"/>
    <x v="3"/>
    <x v="0"/>
    <x v="1"/>
    <x v="0"/>
    <x v="0"/>
    <x v="0"/>
    <x v="0"/>
  </r>
  <r>
    <x v="4"/>
    <x v="4"/>
    <x v="4"/>
    <x v="0"/>
    <x v="0"/>
    <x v="4"/>
    <x v="0"/>
    <x v="0"/>
    <x v="3"/>
    <x v="1"/>
    <x v="0"/>
    <x v="1"/>
    <x v="0"/>
    <x v="0"/>
    <x v="0"/>
  </r>
  <r>
    <x v="5"/>
    <x v="5"/>
    <x v="5"/>
    <x v="0"/>
    <x v="0"/>
    <x v="5"/>
    <x v="0"/>
    <x v="0"/>
    <x v="4"/>
    <x v="0"/>
    <x v="0"/>
    <x v="1"/>
    <x v="0"/>
    <x v="0"/>
    <x v="0"/>
  </r>
  <r>
    <x v="6"/>
    <x v="6"/>
    <x v="6"/>
    <x v="0"/>
    <x v="0"/>
    <x v="6"/>
    <x v="0"/>
    <x v="0"/>
    <x v="5"/>
    <x v="0"/>
    <x v="0"/>
    <x v="1"/>
    <x v="0"/>
    <x v="0"/>
    <x v="0"/>
  </r>
  <r>
    <x v="7"/>
    <x v="7"/>
    <x v="7"/>
    <x v="0"/>
    <x v="0"/>
    <x v="7"/>
    <x v="0"/>
    <x v="0"/>
    <x v="6"/>
    <x v="0"/>
    <x v="0"/>
    <x v="1"/>
    <x v="0"/>
    <x v="0"/>
    <x v="0"/>
  </r>
  <r>
    <x v="8"/>
    <x v="8"/>
    <x v="8"/>
    <x v="0"/>
    <x v="0"/>
    <x v="8"/>
    <x v="0"/>
    <x v="0"/>
    <x v="7"/>
    <x v="0"/>
    <x v="0"/>
    <x v="1"/>
    <x v="0"/>
    <x v="0"/>
    <x v="0"/>
  </r>
  <r>
    <x v="9"/>
    <x v="9"/>
    <x v="9"/>
    <x v="1"/>
    <x v="0"/>
    <x v="9"/>
    <x v="0"/>
    <x v="0"/>
    <x v="8"/>
    <x v="0"/>
    <x v="1"/>
    <x v="1"/>
    <x v="0"/>
    <x v="0"/>
    <x v="0"/>
  </r>
  <r>
    <x v="10"/>
    <x v="10"/>
    <x v="10"/>
    <x v="1"/>
    <x v="0"/>
    <x v="10"/>
    <x v="0"/>
    <x v="0"/>
    <x v="9"/>
    <x v="0"/>
    <x v="1"/>
    <x v="1"/>
    <x v="0"/>
    <x v="0"/>
    <x v="0"/>
  </r>
  <r>
    <x v="11"/>
    <x v="11"/>
    <x v="11"/>
    <x v="3"/>
    <x v="0"/>
    <x v="11"/>
    <x v="1"/>
    <x v="0"/>
    <x v="3"/>
    <x v="0"/>
    <x v="1"/>
    <x v="1"/>
    <x v="0"/>
    <x v="0"/>
    <x v="0"/>
  </r>
  <r>
    <x v="12"/>
    <x v="12"/>
    <x v="12"/>
    <x v="4"/>
    <x v="0"/>
    <x v="12"/>
    <x v="2"/>
    <x v="0"/>
    <x v="3"/>
    <x v="0"/>
    <x v="1"/>
    <x v="1"/>
    <x v="0"/>
    <x v="0"/>
    <x v="0"/>
  </r>
  <r>
    <x v="13"/>
    <x v="13"/>
    <x v="13"/>
    <x v="1"/>
    <x v="0"/>
    <x v="0"/>
    <x v="0"/>
    <x v="0"/>
    <x v="0"/>
    <x v="0"/>
    <x v="1"/>
    <x v="2"/>
    <x v="0"/>
    <x v="0"/>
    <x v="0"/>
  </r>
  <r>
    <x v="14"/>
    <x v="14"/>
    <x v="14"/>
    <x v="0"/>
    <x v="0"/>
    <x v="13"/>
    <x v="0"/>
    <x v="0"/>
    <x v="10"/>
    <x v="0"/>
    <x v="0"/>
    <x v="3"/>
    <x v="0"/>
    <x v="0"/>
    <x v="0"/>
  </r>
  <r>
    <x v="15"/>
    <x v="15"/>
    <x v="15"/>
    <x v="0"/>
    <x v="0"/>
    <x v="3"/>
    <x v="0"/>
    <x v="0"/>
    <x v="11"/>
    <x v="0"/>
    <x v="0"/>
    <x v="3"/>
    <x v="0"/>
    <x v="0"/>
    <x v="0"/>
  </r>
  <r>
    <x v="16"/>
    <x v="16"/>
    <x v="16"/>
    <x v="0"/>
    <x v="0"/>
    <x v="13"/>
    <x v="0"/>
    <x v="0"/>
    <x v="10"/>
    <x v="0"/>
    <x v="0"/>
    <x v="3"/>
    <x v="0"/>
    <x v="0"/>
    <x v="0"/>
  </r>
  <r>
    <x v="17"/>
    <x v="17"/>
    <x v="17"/>
    <x v="0"/>
    <x v="0"/>
    <x v="13"/>
    <x v="0"/>
    <x v="0"/>
    <x v="10"/>
    <x v="0"/>
    <x v="0"/>
    <x v="3"/>
    <x v="0"/>
    <x v="0"/>
    <x v="0"/>
  </r>
  <r>
    <x v="18"/>
    <x v="18"/>
    <x v="18"/>
    <x v="1"/>
    <x v="0"/>
    <x v="14"/>
    <x v="0"/>
    <x v="0"/>
    <x v="12"/>
    <x v="0"/>
    <x v="1"/>
    <x v="3"/>
    <x v="0"/>
    <x v="0"/>
    <x v="0"/>
  </r>
  <r>
    <x v="19"/>
    <x v="19"/>
    <x v="19"/>
    <x v="1"/>
    <x v="0"/>
    <x v="15"/>
    <x v="0"/>
    <x v="0"/>
    <x v="13"/>
    <x v="0"/>
    <x v="1"/>
    <x v="3"/>
    <x v="0"/>
    <x v="0"/>
    <x v="0"/>
  </r>
  <r>
    <x v="20"/>
    <x v="20"/>
    <x v="20"/>
    <x v="1"/>
    <x v="0"/>
    <x v="16"/>
    <x v="0"/>
    <x v="0"/>
    <x v="14"/>
    <x v="0"/>
    <x v="1"/>
    <x v="3"/>
    <x v="0"/>
    <x v="0"/>
    <x v="0"/>
  </r>
  <r>
    <x v="21"/>
    <x v="21"/>
    <x v="21"/>
    <x v="1"/>
    <x v="0"/>
    <x v="17"/>
    <x v="0"/>
    <x v="0"/>
    <x v="15"/>
    <x v="0"/>
    <x v="1"/>
    <x v="3"/>
    <x v="0"/>
    <x v="0"/>
    <x v="0"/>
  </r>
  <r>
    <x v="22"/>
    <x v="22"/>
    <x v="22"/>
    <x v="5"/>
    <x v="0"/>
    <x v="18"/>
    <x v="0"/>
    <x v="2"/>
    <x v="3"/>
    <x v="0"/>
    <x v="1"/>
    <x v="3"/>
    <x v="0"/>
    <x v="0"/>
    <x v="0"/>
  </r>
  <r>
    <x v="23"/>
    <x v="15"/>
    <x v="15"/>
    <x v="0"/>
    <x v="0"/>
    <x v="19"/>
    <x v="0"/>
    <x v="3"/>
    <x v="3"/>
    <x v="0"/>
    <x v="1"/>
    <x v="3"/>
    <x v="0"/>
    <x v="0"/>
    <x v="0"/>
  </r>
  <r>
    <x v="24"/>
    <x v="3"/>
    <x v="3"/>
    <x v="2"/>
    <x v="0"/>
    <x v="20"/>
    <x v="0"/>
    <x v="4"/>
    <x v="3"/>
    <x v="0"/>
    <x v="1"/>
    <x v="3"/>
    <x v="0"/>
    <x v="0"/>
    <x v="0"/>
  </r>
  <r>
    <x v="25"/>
    <x v="23"/>
    <x v="23"/>
    <x v="1"/>
    <x v="0"/>
    <x v="10"/>
    <x v="0"/>
    <x v="0"/>
    <x v="9"/>
    <x v="0"/>
    <x v="1"/>
    <x v="4"/>
    <x v="0"/>
    <x v="0"/>
    <x v="0"/>
  </r>
  <r>
    <x v="26"/>
    <x v="24"/>
    <x v="24"/>
    <x v="1"/>
    <x v="0"/>
    <x v="21"/>
    <x v="0"/>
    <x v="0"/>
    <x v="16"/>
    <x v="0"/>
    <x v="1"/>
    <x v="4"/>
    <x v="0"/>
    <x v="0"/>
    <x v="0"/>
  </r>
  <r>
    <x v="27"/>
    <x v="25"/>
    <x v="25"/>
    <x v="1"/>
    <x v="0"/>
    <x v="21"/>
    <x v="0"/>
    <x v="0"/>
    <x v="16"/>
    <x v="0"/>
    <x v="1"/>
    <x v="4"/>
    <x v="0"/>
    <x v="0"/>
    <x v="0"/>
  </r>
  <r>
    <x v="28"/>
    <x v="26"/>
    <x v="26"/>
    <x v="1"/>
    <x v="0"/>
    <x v="21"/>
    <x v="0"/>
    <x v="0"/>
    <x v="16"/>
    <x v="0"/>
    <x v="1"/>
    <x v="4"/>
    <x v="0"/>
    <x v="0"/>
    <x v="0"/>
  </r>
  <r>
    <x v="29"/>
    <x v="27"/>
    <x v="27"/>
    <x v="1"/>
    <x v="0"/>
    <x v="21"/>
    <x v="0"/>
    <x v="0"/>
    <x v="16"/>
    <x v="0"/>
    <x v="1"/>
    <x v="4"/>
    <x v="0"/>
    <x v="0"/>
    <x v="0"/>
  </r>
  <r>
    <x v="30"/>
    <x v="28"/>
    <x v="28"/>
    <x v="4"/>
    <x v="0"/>
    <x v="21"/>
    <x v="3"/>
    <x v="0"/>
    <x v="3"/>
    <x v="0"/>
    <x v="1"/>
    <x v="4"/>
    <x v="0"/>
    <x v="0"/>
    <x v="0"/>
  </r>
  <r>
    <x v="31"/>
    <x v="29"/>
    <x v="29"/>
    <x v="4"/>
    <x v="0"/>
    <x v="22"/>
    <x v="4"/>
    <x v="0"/>
    <x v="3"/>
    <x v="0"/>
    <x v="1"/>
    <x v="4"/>
    <x v="0"/>
    <x v="0"/>
    <x v="0"/>
  </r>
  <r>
    <x v="32"/>
    <x v="30"/>
    <x v="30"/>
    <x v="4"/>
    <x v="0"/>
    <x v="23"/>
    <x v="5"/>
    <x v="0"/>
    <x v="3"/>
    <x v="0"/>
    <x v="1"/>
    <x v="4"/>
    <x v="0"/>
    <x v="0"/>
    <x v="0"/>
  </r>
  <r>
    <x v="33"/>
    <x v="31"/>
    <x v="31"/>
    <x v="4"/>
    <x v="0"/>
    <x v="24"/>
    <x v="6"/>
    <x v="0"/>
    <x v="3"/>
    <x v="0"/>
    <x v="1"/>
    <x v="4"/>
    <x v="0"/>
    <x v="0"/>
    <x v="0"/>
  </r>
  <r>
    <x v="34"/>
    <x v="12"/>
    <x v="12"/>
    <x v="4"/>
    <x v="0"/>
    <x v="24"/>
    <x v="6"/>
    <x v="0"/>
    <x v="3"/>
    <x v="0"/>
    <x v="1"/>
    <x v="4"/>
    <x v="0"/>
    <x v="0"/>
    <x v="0"/>
  </r>
  <r>
    <x v="35"/>
    <x v="32"/>
    <x v="32"/>
    <x v="4"/>
    <x v="0"/>
    <x v="25"/>
    <x v="7"/>
    <x v="0"/>
    <x v="3"/>
    <x v="0"/>
    <x v="1"/>
    <x v="4"/>
    <x v="0"/>
    <x v="0"/>
    <x v="0"/>
  </r>
  <r>
    <x v="36"/>
    <x v="33"/>
    <x v="33"/>
    <x v="6"/>
    <x v="0"/>
    <x v="17"/>
    <x v="0"/>
    <x v="0"/>
    <x v="15"/>
    <x v="0"/>
    <x v="0"/>
    <x v="5"/>
    <x v="0"/>
    <x v="0"/>
    <x v="0"/>
  </r>
  <r>
    <x v="37"/>
    <x v="34"/>
    <x v="34"/>
    <x v="6"/>
    <x v="0"/>
    <x v="26"/>
    <x v="0"/>
    <x v="0"/>
    <x v="17"/>
    <x v="0"/>
    <x v="0"/>
    <x v="5"/>
    <x v="0"/>
    <x v="0"/>
    <x v="0"/>
  </r>
  <r>
    <x v="38"/>
    <x v="33"/>
    <x v="33"/>
    <x v="6"/>
    <x v="0"/>
    <x v="27"/>
    <x v="0"/>
    <x v="0"/>
    <x v="18"/>
    <x v="0"/>
    <x v="0"/>
    <x v="5"/>
    <x v="0"/>
    <x v="0"/>
    <x v="0"/>
  </r>
  <r>
    <x v="39"/>
    <x v="35"/>
    <x v="35"/>
    <x v="6"/>
    <x v="0"/>
    <x v="3"/>
    <x v="0"/>
    <x v="0"/>
    <x v="11"/>
    <x v="0"/>
    <x v="0"/>
    <x v="5"/>
    <x v="0"/>
    <x v="0"/>
    <x v="0"/>
  </r>
  <r>
    <x v="40"/>
    <x v="36"/>
    <x v="36"/>
    <x v="6"/>
    <x v="0"/>
    <x v="21"/>
    <x v="0"/>
    <x v="0"/>
    <x v="16"/>
    <x v="0"/>
    <x v="0"/>
    <x v="5"/>
    <x v="0"/>
    <x v="0"/>
    <x v="0"/>
  </r>
  <r>
    <x v="41"/>
    <x v="32"/>
    <x v="32"/>
    <x v="4"/>
    <x v="0"/>
    <x v="28"/>
    <x v="8"/>
    <x v="0"/>
    <x v="3"/>
    <x v="0"/>
    <x v="1"/>
    <x v="5"/>
    <x v="0"/>
    <x v="0"/>
    <x v="0"/>
  </r>
  <r>
    <x v="42"/>
    <x v="25"/>
    <x v="25"/>
    <x v="1"/>
    <x v="0"/>
    <x v="23"/>
    <x v="0"/>
    <x v="0"/>
    <x v="19"/>
    <x v="0"/>
    <x v="1"/>
    <x v="6"/>
    <x v="0"/>
    <x v="0"/>
    <x v="0"/>
  </r>
  <r>
    <x v="43"/>
    <x v="37"/>
    <x v="37"/>
    <x v="5"/>
    <x v="0"/>
    <x v="15"/>
    <x v="0"/>
    <x v="0"/>
    <x v="13"/>
    <x v="0"/>
    <x v="1"/>
    <x v="6"/>
    <x v="0"/>
    <x v="0"/>
    <x v="0"/>
  </r>
  <r>
    <x v="44"/>
    <x v="24"/>
    <x v="24"/>
    <x v="1"/>
    <x v="0"/>
    <x v="15"/>
    <x v="0"/>
    <x v="0"/>
    <x v="13"/>
    <x v="0"/>
    <x v="1"/>
    <x v="6"/>
    <x v="0"/>
    <x v="0"/>
    <x v="0"/>
  </r>
  <r>
    <x v="45"/>
    <x v="27"/>
    <x v="27"/>
    <x v="1"/>
    <x v="0"/>
    <x v="17"/>
    <x v="0"/>
    <x v="0"/>
    <x v="15"/>
    <x v="0"/>
    <x v="1"/>
    <x v="6"/>
    <x v="0"/>
    <x v="0"/>
    <x v="0"/>
  </r>
  <r>
    <x v="46"/>
    <x v="38"/>
    <x v="38"/>
    <x v="6"/>
    <x v="0"/>
    <x v="26"/>
    <x v="0"/>
    <x v="0"/>
    <x v="17"/>
    <x v="0"/>
    <x v="0"/>
    <x v="7"/>
    <x v="0"/>
    <x v="0"/>
    <x v="0"/>
  </r>
  <r>
    <x v="47"/>
    <x v="39"/>
    <x v="39"/>
    <x v="6"/>
    <x v="0"/>
    <x v="26"/>
    <x v="0"/>
    <x v="0"/>
    <x v="17"/>
    <x v="0"/>
    <x v="0"/>
    <x v="7"/>
    <x v="0"/>
    <x v="0"/>
    <x v="0"/>
  </r>
  <r>
    <x v="48"/>
    <x v="40"/>
    <x v="40"/>
    <x v="6"/>
    <x v="0"/>
    <x v="29"/>
    <x v="0"/>
    <x v="0"/>
    <x v="20"/>
    <x v="0"/>
    <x v="0"/>
    <x v="7"/>
    <x v="0"/>
    <x v="0"/>
    <x v="0"/>
  </r>
  <r>
    <x v="49"/>
    <x v="37"/>
    <x v="37"/>
    <x v="5"/>
    <x v="0"/>
    <x v="15"/>
    <x v="0"/>
    <x v="0"/>
    <x v="13"/>
    <x v="0"/>
    <x v="1"/>
    <x v="7"/>
    <x v="0"/>
    <x v="0"/>
    <x v="0"/>
  </r>
  <r>
    <x v="50"/>
    <x v="41"/>
    <x v="41"/>
    <x v="6"/>
    <x v="0"/>
    <x v="22"/>
    <x v="0"/>
    <x v="0"/>
    <x v="21"/>
    <x v="0"/>
    <x v="0"/>
    <x v="8"/>
    <x v="0"/>
    <x v="0"/>
    <x v="0"/>
  </r>
  <r>
    <x v="51"/>
    <x v="42"/>
    <x v="42"/>
    <x v="6"/>
    <x v="0"/>
    <x v="30"/>
    <x v="0"/>
    <x v="0"/>
    <x v="22"/>
    <x v="0"/>
    <x v="0"/>
    <x v="8"/>
    <x v="0"/>
    <x v="0"/>
    <x v="0"/>
  </r>
  <r>
    <x v="52"/>
    <x v="43"/>
    <x v="43"/>
    <x v="6"/>
    <x v="0"/>
    <x v="15"/>
    <x v="0"/>
    <x v="0"/>
    <x v="13"/>
    <x v="0"/>
    <x v="0"/>
    <x v="9"/>
    <x v="0"/>
    <x v="0"/>
    <x v="0"/>
  </r>
  <r>
    <x v="53"/>
    <x v="44"/>
    <x v="44"/>
    <x v="6"/>
    <x v="0"/>
    <x v="31"/>
    <x v="0"/>
    <x v="0"/>
    <x v="23"/>
    <x v="0"/>
    <x v="0"/>
    <x v="9"/>
    <x v="0"/>
    <x v="0"/>
    <x v="0"/>
  </r>
  <r>
    <x v="54"/>
    <x v="45"/>
    <x v="45"/>
    <x v="6"/>
    <x v="1"/>
    <x v="32"/>
    <x v="0"/>
    <x v="0"/>
    <x v="24"/>
    <x v="0"/>
    <x v="0"/>
    <x v="10"/>
    <x v="0"/>
    <x v="0"/>
    <x v="0"/>
  </r>
  <r>
    <x v="55"/>
    <x v="46"/>
    <x v="46"/>
    <x v="6"/>
    <x v="1"/>
    <x v="33"/>
    <x v="0"/>
    <x v="0"/>
    <x v="25"/>
    <x v="0"/>
    <x v="0"/>
    <x v="10"/>
    <x v="0"/>
    <x v="0"/>
    <x v="0"/>
  </r>
  <r>
    <x v="56"/>
    <x v="47"/>
    <x v="47"/>
    <x v="6"/>
    <x v="1"/>
    <x v="34"/>
    <x v="0"/>
    <x v="0"/>
    <x v="26"/>
    <x v="0"/>
    <x v="0"/>
    <x v="10"/>
    <x v="0"/>
    <x v="0"/>
    <x v="0"/>
  </r>
  <r>
    <x v="57"/>
    <x v="48"/>
    <x v="48"/>
    <x v="6"/>
    <x v="1"/>
    <x v="15"/>
    <x v="0"/>
    <x v="0"/>
    <x v="13"/>
    <x v="0"/>
    <x v="0"/>
    <x v="11"/>
    <x v="0"/>
    <x v="0"/>
    <x v="0"/>
  </r>
  <r>
    <x v="58"/>
    <x v="46"/>
    <x v="46"/>
    <x v="6"/>
    <x v="1"/>
    <x v="35"/>
    <x v="0"/>
    <x v="0"/>
    <x v="27"/>
    <x v="0"/>
    <x v="0"/>
    <x v="11"/>
    <x v="0"/>
    <x v="0"/>
    <x v="0"/>
  </r>
  <r>
    <x v="59"/>
    <x v="43"/>
    <x v="43"/>
    <x v="6"/>
    <x v="1"/>
    <x v="25"/>
    <x v="0"/>
    <x v="0"/>
    <x v="28"/>
    <x v="0"/>
    <x v="0"/>
    <x v="12"/>
    <x v="0"/>
    <x v="0"/>
    <x v="0"/>
  </r>
  <r>
    <x v="60"/>
    <x v="42"/>
    <x v="42"/>
    <x v="6"/>
    <x v="1"/>
    <x v="36"/>
    <x v="0"/>
    <x v="0"/>
    <x v="3"/>
    <x v="0"/>
    <x v="0"/>
    <x v="12"/>
    <x v="0"/>
    <x v="0"/>
    <x v="0"/>
  </r>
  <r>
    <x v="61"/>
    <x v="49"/>
    <x v="49"/>
    <x v="1"/>
    <x v="1"/>
    <x v="22"/>
    <x v="0"/>
    <x v="0"/>
    <x v="21"/>
    <x v="0"/>
    <x v="1"/>
    <x v="12"/>
    <x v="0"/>
    <x v="0"/>
    <x v="0"/>
  </r>
  <r>
    <x v="62"/>
    <x v="50"/>
    <x v="50"/>
    <x v="1"/>
    <x v="1"/>
    <x v="29"/>
    <x v="0"/>
    <x v="0"/>
    <x v="20"/>
    <x v="0"/>
    <x v="1"/>
    <x v="13"/>
    <x v="0"/>
    <x v="0"/>
    <x v="0"/>
  </r>
  <r>
    <x v="63"/>
    <x v="51"/>
    <x v="51"/>
    <x v="5"/>
    <x v="1"/>
    <x v="26"/>
    <x v="0"/>
    <x v="0"/>
    <x v="17"/>
    <x v="0"/>
    <x v="1"/>
    <x v="13"/>
    <x v="0"/>
    <x v="0"/>
    <x v="0"/>
  </r>
  <r>
    <x v="64"/>
    <x v="52"/>
    <x v="52"/>
    <x v="7"/>
    <x v="0"/>
    <x v="37"/>
    <x v="0"/>
    <x v="0"/>
    <x v="29"/>
    <x v="0"/>
    <x v="2"/>
    <x v="14"/>
    <x v="0"/>
    <x v="0"/>
    <x v="0"/>
  </r>
  <r>
    <x v="65"/>
    <x v="37"/>
    <x v="37"/>
    <x v="5"/>
    <x v="2"/>
    <x v="38"/>
    <x v="0"/>
    <x v="0"/>
    <x v="30"/>
    <x v="0"/>
    <x v="3"/>
    <x v="15"/>
    <x v="1"/>
    <x v="1"/>
    <x v="0"/>
  </r>
  <r>
    <x v="66"/>
    <x v="53"/>
    <x v="53"/>
    <x v="5"/>
    <x v="2"/>
    <x v="39"/>
    <x v="0"/>
    <x v="0"/>
    <x v="31"/>
    <x v="0"/>
    <x v="3"/>
    <x v="15"/>
    <x v="1"/>
    <x v="1"/>
    <x v="0"/>
  </r>
  <r>
    <x v="67"/>
    <x v="54"/>
    <x v="54"/>
    <x v="5"/>
    <x v="2"/>
    <x v="39"/>
    <x v="0"/>
    <x v="0"/>
    <x v="31"/>
    <x v="0"/>
    <x v="3"/>
    <x v="15"/>
    <x v="1"/>
    <x v="1"/>
    <x v="0"/>
  </r>
  <r>
    <x v="68"/>
    <x v="55"/>
    <x v="55"/>
    <x v="5"/>
    <x v="2"/>
    <x v="39"/>
    <x v="0"/>
    <x v="0"/>
    <x v="31"/>
    <x v="0"/>
    <x v="3"/>
    <x v="15"/>
    <x v="1"/>
    <x v="1"/>
    <x v="0"/>
  </r>
  <r>
    <x v="69"/>
    <x v="51"/>
    <x v="51"/>
    <x v="5"/>
    <x v="2"/>
    <x v="39"/>
    <x v="0"/>
    <x v="0"/>
    <x v="31"/>
    <x v="0"/>
    <x v="3"/>
    <x v="15"/>
    <x v="1"/>
    <x v="1"/>
    <x v="0"/>
  </r>
  <r>
    <x v="70"/>
    <x v="56"/>
    <x v="56"/>
    <x v="5"/>
    <x v="2"/>
    <x v="39"/>
    <x v="0"/>
    <x v="0"/>
    <x v="31"/>
    <x v="0"/>
    <x v="3"/>
    <x v="15"/>
    <x v="1"/>
    <x v="1"/>
    <x v="0"/>
  </r>
  <r>
    <x v="71"/>
    <x v="22"/>
    <x v="22"/>
    <x v="5"/>
    <x v="2"/>
    <x v="40"/>
    <x v="0"/>
    <x v="0"/>
    <x v="32"/>
    <x v="0"/>
    <x v="3"/>
    <x v="15"/>
    <x v="1"/>
    <x v="1"/>
    <x v="0"/>
  </r>
  <r>
    <x v="72"/>
    <x v="37"/>
    <x v="37"/>
    <x v="5"/>
    <x v="2"/>
    <x v="41"/>
    <x v="0"/>
    <x v="0"/>
    <x v="33"/>
    <x v="0"/>
    <x v="3"/>
    <x v="15"/>
    <x v="1"/>
    <x v="1"/>
    <x v="0"/>
  </r>
  <r>
    <x v="73"/>
    <x v="34"/>
    <x v="34"/>
    <x v="6"/>
    <x v="2"/>
    <x v="41"/>
    <x v="0"/>
    <x v="0"/>
    <x v="33"/>
    <x v="0"/>
    <x v="3"/>
    <x v="15"/>
    <x v="1"/>
    <x v="1"/>
    <x v="0"/>
  </r>
  <r>
    <x v="74"/>
    <x v="41"/>
    <x v="41"/>
    <x v="6"/>
    <x v="2"/>
    <x v="41"/>
    <x v="0"/>
    <x v="0"/>
    <x v="33"/>
    <x v="0"/>
    <x v="3"/>
    <x v="15"/>
    <x v="1"/>
    <x v="1"/>
    <x v="0"/>
  </r>
  <r>
    <x v="75"/>
    <x v="45"/>
    <x v="45"/>
    <x v="6"/>
    <x v="2"/>
    <x v="42"/>
    <x v="0"/>
    <x v="0"/>
    <x v="34"/>
    <x v="0"/>
    <x v="3"/>
    <x v="15"/>
    <x v="1"/>
    <x v="1"/>
    <x v="0"/>
  </r>
  <r>
    <x v="76"/>
    <x v="57"/>
    <x v="57"/>
    <x v="6"/>
    <x v="2"/>
    <x v="42"/>
    <x v="0"/>
    <x v="0"/>
    <x v="34"/>
    <x v="0"/>
    <x v="3"/>
    <x v="15"/>
    <x v="1"/>
    <x v="1"/>
    <x v="0"/>
  </r>
  <r>
    <x v="77"/>
    <x v="58"/>
    <x v="58"/>
    <x v="0"/>
    <x v="2"/>
    <x v="43"/>
    <x v="0"/>
    <x v="0"/>
    <x v="35"/>
    <x v="0"/>
    <x v="3"/>
    <x v="15"/>
    <x v="1"/>
    <x v="1"/>
    <x v="0"/>
  </r>
  <r>
    <x v="78"/>
    <x v="59"/>
    <x v="59"/>
    <x v="4"/>
    <x v="2"/>
    <x v="44"/>
    <x v="0"/>
    <x v="0"/>
    <x v="36"/>
    <x v="0"/>
    <x v="3"/>
    <x v="15"/>
    <x v="1"/>
    <x v="1"/>
    <x v="1"/>
  </r>
  <r>
    <x v="79"/>
    <x v="12"/>
    <x v="12"/>
    <x v="4"/>
    <x v="2"/>
    <x v="45"/>
    <x v="0"/>
    <x v="0"/>
    <x v="37"/>
    <x v="0"/>
    <x v="3"/>
    <x v="15"/>
    <x v="1"/>
    <x v="1"/>
    <x v="0"/>
  </r>
  <r>
    <x v="80"/>
    <x v="60"/>
    <x v="60"/>
    <x v="4"/>
    <x v="2"/>
    <x v="45"/>
    <x v="0"/>
    <x v="0"/>
    <x v="37"/>
    <x v="0"/>
    <x v="3"/>
    <x v="15"/>
    <x v="1"/>
    <x v="1"/>
    <x v="0"/>
  </r>
  <r>
    <x v="81"/>
    <x v="61"/>
    <x v="61"/>
    <x v="4"/>
    <x v="2"/>
    <x v="44"/>
    <x v="0"/>
    <x v="0"/>
    <x v="36"/>
    <x v="0"/>
    <x v="3"/>
    <x v="15"/>
    <x v="1"/>
    <x v="1"/>
    <x v="0"/>
  </r>
  <r>
    <x v="82"/>
    <x v="31"/>
    <x v="31"/>
    <x v="4"/>
    <x v="2"/>
    <x v="45"/>
    <x v="0"/>
    <x v="0"/>
    <x v="37"/>
    <x v="0"/>
    <x v="3"/>
    <x v="15"/>
    <x v="1"/>
    <x v="1"/>
    <x v="0"/>
  </r>
  <r>
    <x v="83"/>
    <x v="62"/>
    <x v="62"/>
    <x v="4"/>
    <x v="2"/>
    <x v="45"/>
    <x v="0"/>
    <x v="0"/>
    <x v="37"/>
    <x v="0"/>
    <x v="3"/>
    <x v="15"/>
    <x v="1"/>
    <x v="1"/>
    <x v="0"/>
  </r>
  <r>
    <x v="84"/>
    <x v="63"/>
    <x v="63"/>
    <x v="4"/>
    <x v="2"/>
    <x v="45"/>
    <x v="0"/>
    <x v="0"/>
    <x v="37"/>
    <x v="0"/>
    <x v="3"/>
    <x v="15"/>
    <x v="1"/>
    <x v="1"/>
    <x v="0"/>
  </r>
  <r>
    <x v="85"/>
    <x v="64"/>
    <x v="64"/>
    <x v="4"/>
    <x v="2"/>
    <x v="44"/>
    <x v="0"/>
    <x v="0"/>
    <x v="36"/>
    <x v="0"/>
    <x v="3"/>
    <x v="15"/>
    <x v="1"/>
    <x v="1"/>
    <x v="0"/>
  </r>
  <r>
    <x v="86"/>
    <x v="29"/>
    <x v="29"/>
    <x v="4"/>
    <x v="2"/>
    <x v="44"/>
    <x v="0"/>
    <x v="0"/>
    <x v="36"/>
    <x v="0"/>
    <x v="3"/>
    <x v="15"/>
    <x v="1"/>
    <x v="1"/>
    <x v="0"/>
  </r>
  <r>
    <x v="87"/>
    <x v="30"/>
    <x v="30"/>
    <x v="4"/>
    <x v="2"/>
    <x v="45"/>
    <x v="0"/>
    <x v="0"/>
    <x v="37"/>
    <x v="0"/>
    <x v="3"/>
    <x v="15"/>
    <x v="1"/>
    <x v="1"/>
    <x v="0"/>
  </r>
  <r>
    <x v="88"/>
    <x v="28"/>
    <x v="28"/>
    <x v="4"/>
    <x v="2"/>
    <x v="45"/>
    <x v="0"/>
    <x v="0"/>
    <x v="37"/>
    <x v="0"/>
    <x v="3"/>
    <x v="15"/>
    <x v="1"/>
    <x v="1"/>
    <x v="0"/>
  </r>
  <r>
    <x v="89"/>
    <x v="32"/>
    <x v="32"/>
    <x v="4"/>
    <x v="2"/>
    <x v="44"/>
    <x v="0"/>
    <x v="0"/>
    <x v="36"/>
    <x v="0"/>
    <x v="3"/>
    <x v="15"/>
    <x v="1"/>
    <x v="1"/>
    <x v="0"/>
  </r>
  <r>
    <x v="90"/>
    <x v="65"/>
    <x v="65"/>
    <x v="7"/>
    <x v="2"/>
    <x v="28"/>
    <x v="0"/>
    <x v="0"/>
    <x v="38"/>
    <x v="0"/>
    <x v="3"/>
    <x v="15"/>
    <x v="1"/>
    <x v="1"/>
    <x v="2"/>
  </r>
  <r>
    <x v="91"/>
    <x v="66"/>
    <x v="66"/>
    <x v="2"/>
    <x v="2"/>
    <x v="46"/>
    <x v="0"/>
    <x v="0"/>
    <x v="39"/>
    <x v="0"/>
    <x v="3"/>
    <x v="15"/>
    <x v="1"/>
    <x v="1"/>
    <x v="0"/>
  </r>
  <r>
    <x v="92"/>
    <x v="67"/>
    <x v="67"/>
    <x v="2"/>
    <x v="2"/>
    <x v="47"/>
    <x v="0"/>
    <x v="0"/>
    <x v="40"/>
    <x v="0"/>
    <x v="3"/>
    <x v="15"/>
    <x v="1"/>
    <x v="1"/>
    <x v="0"/>
  </r>
  <r>
    <x v="93"/>
    <x v="68"/>
    <x v="68"/>
    <x v="2"/>
    <x v="2"/>
    <x v="47"/>
    <x v="0"/>
    <x v="0"/>
    <x v="40"/>
    <x v="0"/>
    <x v="3"/>
    <x v="15"/>
    <x v="1"/>
    <x v="1"/>
    <x v="0"/>
  </r>
  <r>
    <x v="94"/>
    <x v="69"/>
    <x v="69"/>
    <x v="1"/>
    <x v="2"/>
    <x v="28"/>
    <x v="0"/>
    <x v="0"/>
    <x v="38"/>
    <x v="0"/>
    <x v="3"/>
    <x v="15"/>
    <x v="1"/>
    <x v="1"/>
    <x v="0"/>
  </r>
  <r>
    <x v="95"/>
    <x v="70"/>
    <x v="70"/>
    <x v="3"/>
    <x v="2"/>
    <x v="48"/>
    <x v="0"/>
    <x v="0"/>
    <x v="41"/>
    <x v="0"/>
    <x v="3"/>
    <x v="15"/>
    <x v="1"/>
    <x v="1"/>
    <x v="0"/>
  </r>
  <r>
    <x v="96"/>
    <x v="71"/>
    <x v="71"/>
    <x v="3"/>
    <x v="2"/>
    <x v="49"/>
    <x v="0"/>
    <x v="0"/>
    <x v="42"/>
    <x v="0"/>
    <x v="3"/>
    <x v="15"/>
    <x v="1"/>
    <x v="1"/>
    <x v="0"/>
  </r>
  <r>
    <x v="97"/>
    <x v="72"/>
    <x v="72"/>
    <x v="3"/>
    <x v="2"/>
    <x v="49"/>
    <x v="0"/>
    <x v="0"/>
    <x v="42"/>
    <x v="0"/>
    <x v="3"/>
    <x v="15"/>
    <x v="1"/>
    <x v="1"/>
    <x v="0"/>
  </r>
  <r>
    <x v="98"/>
    <x v="73"/>
    <x v="73"/>
    <x v="3"/>
    <x v="2"/>
    <x v="49"/>
    <x v="0"/>
    <x v="0"/>
    <x v="42"/>
    <x v="0"/>
    <x v="3"/>
    <x v="15"/>
    <x v="1"/>
    <x v="1"/>
    <x v="0"/>
  </r>
  <r>
    <x v="99"/>
    <x v="74"/>
    <x v="74"/>
    <x v="3"/>
    <x v="2"/>
    <x v="50"/>
    <x v="0"/>
    <x v="0"/>
    <x v="43"/>
    <x v="0"/>
    <x v="3"/>
    <x v="15"/>
    <x v="1"/>
    <x v="1"/>
    <x v="3"/>
  </r>
  <r>
    <x v="100"/>
    <x v="75"/>
    <x v="75"/>
    <x v="3"/>
    <x v="2"/>
    <x v="50"/>
    <x v="0"/>
    <x v="0"/>
    <x v="43"/>
    <x v="0"/>
    <x v="3"/>
    <x v="15"/>
    <x v="1"/>
    <x v="1"/>
    <x v="0"/>
  </r>
  <r>
    <x v="101"/>
    <x v="76"/>
    <x v="76"/>
    <x v="3"/>
    <x v="2"/>
    <x v="24"/>
    <x v="0"/>
    <x v="0"/>
    <x v="44"/>
    <x v="0"/>
    <x v="3"/>
    <x v="15"/>
    <x v="1"/>
    <x v="1"/>
    <x v="0"/>
  </r>
  <r>
    <x v="102"/>
    <x v="77"/>
    <x v="77"/>
    <x v="3"/>
    <x v="2"/>
    <x v="24"/>
    <x v="0"/>
    <x v="0"/>
    <x v="44"/>
    <x v="0"/>
    <x v="3"/>
    <x v="15"/>
    <x v="1"/>
    <x v="1"/>
    <x v="0"/>
  </r>
  <r>
    <x v="103"/>
    <x v="78"/>
    <x v="78"/>
    <x v="3"/>
    <x v="2"/>
    <x v="24"/>
    <x v="0"/>
    <x v="0"/>
    <x v="44"/>
    <x v="0"/>
    <x v="3"/>
    <x v="15"/>
    <x v="1"/>
    <x v="1"/>
    <x v="0"/>
  </r>
  <r>
    <x v="104"/>
    <x v="79"/>
    <x v="79"/>
    <x v="3"/>
    <x v="2"/>
    <x v="24"/>
    <x v="0"/>
    <x v="0"/>
    <x v="44"/>
    <x v="0"/>
    <x v="3"/>
    <x v="15"/>
    <x v="1"/>
    <x v="1"/>
    <x v="0"/>
  </r>
  <r>
    <x v="105"/>
    <x v="80"/>
    <x v="80"/>
    <x v="3"/>
    <x v="2"/>
    <x v="24"/>
    <x v="0"/>
    <x v="0"/>
    <x v="44"/>
    <x v="0"/>
    <x v="3"/>
    <x v="15"/>
    <x v="1"/>
    <x v="1"/>
    <x v="0"/>
  </r>
  <r>
    <x v="106"/>
    <x v="81"/>
    <x v="81"/>
    <x v="3"/>
    <x v="2"/>
    <x v="24"/>
    <x v="0"/>
    <x v="0"/>
    <x v="44"/>
    <x v="0"/>
    <x v="3"/>
    <x v="15"/>
    <x v="1"/>
    <x v="1"/>
    <x v="0"/>
  </r>
  <r>
    <x v="107"/>
    <x v="82"/>
    <x v="82"/>
    <x v="3"/>
    <x v="2"/>
    <x v="51"/>
    <x v="0"/>
    <x v="0"/>
    <x v="45"/>
    <x v="0"/>
    <x v="3"/>
    <x v="15"/>
    <x v="1"/>
    <x v="1"/>
    <x v="0"/>
  </r>
  <r>
    <x v="108"/>
    <x v="83"/>
    <x v="83"/>
    <x v="6"/>
    <x v="3"/>
    <x v="2"/>
    <x v="0"/>
    <x v="0"/>
    <x v="2"/>
    <x v="0"/>
    <x v="3"/>
    <x v="15"/>
    <x v="0"/>
    <x v="0"/>
    <x v="0"/>
  </r>
  <r>
    <x v="109"/>
    <x v="84"/>
    <x v="84"/>
    <x v="6"/>
    <x v="3"/>
    <x v="52"/>
    <x v="0"/>
    <x v="0"/>
    <x v="46"/>
    <x v="0"/>
    <x v="3"/>
    <x v="15"/>
    <x v="0"/>
    <x v="0"/>
    <x v="0"/>
  </r>
  <r>
    <x v="110"/>
    <x v="85"/>
    <x v="85"/>
    <x v="6"/>
    <x v="3"/>
    <x v="53"/>
    <x v="0"/>
    <x v="0"/>
    <x v="47"/>
    <x v="0"/>
    <x v="3"/>
    <x v="15"/>
    <x v="0"/>
    <x v="0"/>
    <x v="0"/>
  </r>
  <r>
    <x v="111"/>
    <x v="33"/>
    <x v="33"/>
    <x v="6"/>
    <x v="3"/>
    <x v="3"/>
    <x v="0"/>
    <x v="0"/>
    <x v="11"/>
    <x v="0"/>
    <x v="3"/>
    <x v="15"/>
    <x v="0"/>
    <x v="0"/>
    <x v="0"/>
  </r>
  <r>
    <x v="112"/>
    <x v="86"/>
    <x v="86"/>
    <x v="0"/>
    <x v="3"/>
    <x v="54"/>
    <x v="0"/>
    <x v="0"/>
    <x v="48"/>
    <x v="0"/>
    <x v="3"/>
    <x v="15"/>
    <x v="0"/>
    <x v="0"/>
    <x v="0"/>
  </r>
  <r>
    <x v="113"/>
    <x v="87"/>
    <x v="87"/>
    <x v="0"/>
    <x v="3"/>
    <x v="55"/>
    <x v="0"/>
    <x v="0"/>
    <x v="49"/>
    <x v="0"/>
    <x v="3"/>
    <x v="15"/>
    <x v="0"/>
    <x v="0"/>
    <x v="0"/>
  </r>
  <r>
    <x v="114"/>
    <x v="88"/>
    <x v="88"/>
    <x v="0"/>
    <x v="3"/>
    <x v="29"/>
    <x v="0"/>
    <x v="0"/>
    <x v="20"/>
    <x v="0"/>
    <x v="3"/>
    <x v="15"/>
    <x v="0"/>
    <x v="0"/>
    <x v="0"/>
  </r>
  <r>
    <x v="115"/>
    <x v="89"/>
    <x v="89"/>
    <x v="0"/>
    <x v="3"/>
    <x v="56"/>
    <x v="0"/>
    <x v="0"/>
    <x v="50"/>
    <x v="0"/>
    <x v="3"/>
    <x v="15"/>
    <x v="0"/>
    <x v="0"/>
    <x v="0"/>
  </r>
  <r>
    <x v="116"/>
    <x v="90"/>
    <x v="90"/>
    <x v="0"/>
    <x v="3"/>
    <x v="9"/>
    <x v="0"/>
    <x v="0"/>
    <x v="8"/>
    <x v="0"/>
    <x v="3"/>
    <x v="15"/>
    <x v="0"/>
    <x v="0"/>
    <x v="0"/>
  </r>
  <r>
    <x v="117"/>
    <x v="58"/>
    <x v="58"/>
    <x v="0"/>
    <x v="3"/>
    <x v="55"/>
    <x v="0"/>
    <x v="0"/>
    <x v="49"/>
    <x v="0"/>
    <x v="3"/>
    <x v="15"/>
    <x v="0"/>
    <x v="0"/>
    <x v="0"/>
  </r>
  <r>
    <x v="118"/>
    <x v="91"/>
    <x v="91"/>
    <x v="3"/>
    <x v="3"/>
    <x v="34"/>
    <x v="9"/>
    <x v="0"/>
    <x v="3"/>
    <x v="0"/>
    <x v="3"/>
    <x v="15"/>
    <x v="0"/>
    <x v="0"/>
    <x v="0"/>
  </r>
  <r>
    <x v="119"/>
    <x v="92"/>
    <x v="92"/>
    <x v="3"/>
    <x v="3"/>
    <x v="54"/>
    <x v="10"/>
    <x v="0"/>
    <x v="3"/>
    <x v="0"/>
    <x v="3"/>
    <x v="15"/>
    <x v="0"/>
    <x v="0"/>
    <x v="0"/>
  </r>
  <r>
    <x v="120"/>
    <x v="54"/>
    <x v="54"/>
    <x v="5"/>
    <x v="3"/>
    <x v="54"/>
    <x v="0"/>
    <x v="0"/>
    <x v="48"/>
    <x v="0"/>
    <x v="3"/>
    <x v="15"/>
    <x v="0"/>
    <x v="0"/>
    <x v="0"/>
  </r>
  <r>
    <x v="121"/>
    <x v="93"/>
    <x v="93"/>
    <x v="2"/>
    <x v="3"/>
    <x v="57"/>
    <x v="11"/>
    <x v="0"/>
    <x v="3"/>
    <x v="0"/>
    <x v="3"/>
    <x v="15"/>
    <x v="0"/>
    <x v="0"/>
    <x v="0"/>
  </r>
  <r>
    <x v="122"/>
    <x v="94"/>
    <x v="94"/>
    <x v="2"/>
    <x v="3"/>
    <x v="58"/>
    <x v="12"/>
    <x v="0"/>
    <x v="3"/>
    <x v="0"/>
    <x v="3"/>
    <x v="15"/>
    <x v="0"/>
    <x v="0"/>
    <x v="0"/>
  </r>
  <r>
    <x v="123"/>
    <x v="95"/>
    <x v="95"/>
    <x v="2"/>
    <x v="3"/>
    <x v="17"/>
    <x v="13"/>
    <x v="0"/>
    <x v="3"/>
    <x v="0"/>
    <x v="3"/>
    <x v="15"/>
    <x v="0"/>
    <x v="0"/>
    <x v="0"/>
  </r>
  <r>
    <x v="124"/>
    <x v="29"/>
    <x v="29"/>
    <x v="4"/>
    <x v="3"/>
    <x v="35"/>
    <x v="14"/>
    <x v="0"/>
    <x v="3"/>
    <x v="0"/>
    <x v="3"/>
    <x v="15"/>
    <x v="0"/>
    <x v="0"/>
    <x v="0"/>
  </r>
  <r>
    <x v="125"/>
    <x v="96"/>
    <x v="96"/>
    <x v="6"/>
    <x v="3"/>
    <x v="2"/>
    <x v="0"/>
    <x v="0"/>
    <x v="2"/>
    <x v="0"/>
    <x v="3"/>
    <x v="15"/>
    <x v="0"/>
    <x v="0"/>
    <x v="0"/>
  </r>
  <r>
    <x v="126"/>
    <x v="97"/>
    <x v="97"/>
    <x v="6"/>
    <x v="3"/>
    <x v="2"/>
    <x v="0"/>
    <x v="0"/>
    <x v="2"/>
    <x v="0"/>
    <x v="3"/>
    <x v="15"/>
    <x v="0"/>
    <x v="0"/>
    <x v="0"/>
  </r>
  <r>
    <x v="127"/>
    <x v="98"/>
    <x v="98"/>
    <x v="0"/>
    <x v="3"/>
    <x v="2"/>
    <x v="0"/>
    <x v="0"/>
    <x v="2"/>
    <x v="0"/>
    <x v="3"/>
    <x v="15"/>
    <x v="0"/>
    <x v="0"/>
    <x v="0"/>
  </r>
  <r>
    <x v="128"/>
    <x v="31"/>
    <x v="31"/>
    <x v="4"/>
    <x v="3"/>
    <x v="59"/>
    <x v="15"/>
    <x v="0"/>
    <x v="3"/>
    <x v="0"/>
    <x v="3"/>
    <x v="15"/>
    <x v="0"/>
    <x v="0"/>
    <x v="0"/>
  </r>
  <r>
    <x v="129"/>
    <x v="62"/>
    <x v="62"/>
    <x v="4"/>
    <x v="3"/>
    <x v="60"/>
    <x v="16"/>
    <x v="0"/>
    <x v="3"/>
    <x v="0"/>
    <x v="3"/>
    <x v="15"/>
    <x v="0"/>
    <x v="0"/>
    <x v="0"/>
  </r>
  <r>
    <x v="130"/>
    <x v="99"/>
    <x v="99"/>
    <x v="6"/>
    <x v="3"/>
    <x v="2"/>
    <x v="0"/>
    <x v="0"/>
    <x v="2"/>
    <x v="0"/>
    <x v="3"/>
    <x v="15"/>
    <x v="0"/>
    <x v="0"/>
    <x v="0"/>
  </r>
  <r>
    <x v="131"/>
    <x v="100"/>
    <x v="100"/>
    <x v="6"/>
    <x v="3"/>
    <x v="61"/>
    <x v="0"/>
    <x v="0"/>
    <x v="51"/>
    <x v="0"/>
    <x v="3"/>
    <x v="15"/>
    <x v="0"/>
    <x v="0"/>
    <x v="0"/>
  </r>
  <r>
    <x v="132"/>
    <x v="101"/>
    <x v="101"/>
    <x v="6"/>
    <x v="3"/>
    <x v="34"/>
    <x v="0"/>
    <x v="0"/>
    <x v="26"/>
    <x v="0"/>
    <x v="3"/>
    <x v="15"/>
    <x v="0"/>
    <x v="0"/>
    <x v="0"/>
  </r>
  <r>
    <x v="133"/>
    <x v="102"/>
    <x v="102"/>
    <x v="6"/>
    <x v="3"/>
    <x v="62"/>
    <x v="0"/>
    <x v="0"/>
    <x v="52"/>
    <x v="0"/>
    <x v="3"/>
    <x v="15"/>
    <x v="0"/>
    <x v="0"/>
    <x v="0"/>
  </r>
  <r>
    <x v="134"/>
    <x v="103"/>
    <x v="103"/>
    <x v="2"/>
    <x v="3"/>
    <x v="63"/>
    <x v="17"/>
    <x v="0"/>
    <x v="3"/>
    <x v="0"/>
    <x v="3"/>
    <x v="15"/>
    <x v="0"/>
    <x v="0"/>
    <x v="0"/>
  </r>
  <r>
    <x v="135"/>
    <x v="64"/>
    <x v="64"/>
    <x v="4"/>
    <x v="3"/>
    <x v="23"/>
    <x v="5"/>
    <x v="0"/>
    <x v="3"/>
    <x v="0"/>
    <x v="3"/>
    <x v="15"/>
    <x v="0"/>
    <x v="0"/>
    <x v="0"/>
  </r>
  <r>
    <x v="136"/>
    <x v="31"/>
    <x v="31"/>
    <x v="4"/>
    <x v="3"/>
    <x v="31"/>
    <x v="18"/>
    <x v="0"/>
    <x v="3"/>
    <x v="0"/>
    <x v="3"/>
    <x v="15"/>
    <x v="0"/>
    <x v="0"/>
    <x v="0"/>
  </r>
  <r>
    <x v="137"/>
    <x v="63"/>
    <x v="63"/>
    <x v="4"/>
    <x v="3"/>
    <x v="64"/>
    <x v="19"/>
    <x v="0"/>
    <x v="3"/>
    <x v="0"/>
    <x v="3"/>
    <x v="15"/>
    <x v="0"/>
    <x v="0"/>
    <x v="0"/>
  </r>
  <r>
    <x v="138"/>
    <x v="61"/>
    <x v="61"/>
    <x v="4"/>
    <x v="3"/>
    <x v="15"/>
    <x v="20"/>
    <x v="0"/>
    <x v="3"/>
    <x v="0"/>
    <x v="3"/>
    <x v="15"/>
    <x v="0"/>
    <x v="0"/>
    <x v="0"/>
  </r>
  <r>
    <x v="139"/>
    <x v="12"/>
    <x v="12"/>
    <x v="4"/>
    <x v="3"/>
    <x v="38"/>
    <x v="21"/>
    <x v="0"/>
    <x v="3"/>
    <x v="0"/>
    <x v="3"/>
    <x v="15"/>
    <x v="0"/>
    <x v="0"/>
    <x v="0"/>
  </r>
  <r>
    <x v="140"/>
    <x v="32"/>
    <x v="32"/>
    <x v="4"/>
    <x v="3"/>
    <x v="28"/>
    <x v="8"/>
    <x v="0"/>
    <x v="3"/>
    <x v="0"/>
    <x v="3"/>
    <x v="15"/>
    <x v="0"/>
    <x v="0"/>
    <x v="0"/>
  </r>
  <r>
    <x v="141"/>
    <x v="29"/>
    <x v="29"/>
    <x v="4"/>
    <x v="3"/>
    <x v="38"/>
    <x v="21"/>
    <x v="0"/>
    <x v="3"/>
    <x v="0"/>
    <x v="3"/>
    <x v="15"/>
    <x v="0"/>
    <x v="0"/>
    <x v="0"/>
  </r>
  <r>
    <x v="142"/>
    <x v="62"/>
    <x v="62"/>
    <x v="4"/>
    <x v="3"/>
    <x v="28"/>
    <x v="8"/>
    <x v="0"/>
    <x v="3"/>
    <x v="0"/>
    <x v="3"/>
    <x v="15"/>
    <x v="0"/>
    <x v="0"/>
    <x v="0"/>
  </r>
  <r>
    <x v="143"/>
    <x v="30"/>
    <x v="30"/>
    <x v="4"/>
    <x v="3"/>
    <x v="28"/>
    <x v="8"/>
    <x v="0"/>
    <x v="3"/>
    <x v="0"/>
    <x v="3"/>
    <x v="15"/>
    <x v="0"/>
    <x v="0"/>
    <x v="0"/>
  </r>
  <r>
    <x v="144"/>
    <x v="104"/>
    <x v="104"/>
    <x v="1"/>
    <x v="3"/>
    <x v="1"/>
    <x v="0"/>
    <x v="0"/>
    <x v="1"/>
    <x v="0"/>
    <x v="3"/>
    <x v="15"/>
    <x v="0"/>
    <x v="0"/>
    <x v="0"/>
  </r>
  <r>
    <x v="145"/>
    <x v="105"/>
    <x v="105"/>
    <x v="1"/>
    <x v="3"/>
    <x v="17"/>
    <x v="0"/>
    <x v="0"/>
    <x v="15"/>
    <x v="0"/>
    <x v="3"/>
    <x v="15"/>
    <x v="0"/>
    <x v="0"/>
    <x v="0"/>
  </r>
  <r>
    <x v="146"/>
    <x v="18"/>
    <x v="18"/>
    <x v="1"/>
    <x v="3"/>
    <x v="21"/>
    <x v="0"/>
    <x v="0"/>
    <x v="16"/>
    <x v="0"/>
    <x v="3"/>
    <x v="15"/>
    <x v="0"/>
    <x v="0"/>
    <x v="0"/>
  </r>
  <r>
    <x v="147"/>
    <x v="24"/>
    <x v="24"/>
    <x v="1"/>
    <x v="3"/>
    <x v="21"/>
    <x v="0"/>
    <x v="0"/>
    <x v="16"/>
    <x v="0"/>
    <x v="3"/>
    <x v="15"/>
    <x v="0"/>
    <x v="0"/>
    <x v="0"/>
  </r>
  <r>
    <x v="148"/>
    <x v="26"/>
    <x v="26"/>
    <x v="1"/>
    <x v="3"/>
    <x v="21"/>
    <x v="0"/>
    <x v="0"/>
    <x v="16"/>
    <x v="0"/>
    <x v="3"/>
    <x v="15"/>
    <x v="0"/>
    <x v="0"/>
    <x v="0"/>
  </r>
  <r>
    <x v="149"/>
    <x v="106"/>
    <x v="106"/>
    <x v="1"/>
    <x v="3"/>
    <x v="23"/>
    <x v="0"/>
    <x v="0"/>
    <x v="19"/>
    <x v="0"/>
    <x v="3"/>
    <x v="15"/>
    <x v="0"/>
    <x v="0"/>
    <x v="0"/>
  </r>
  <r>
    <x v="150"/>
    <x v="107"/>
    <x v="107"/>
    <x v="1"/>
    <x v="3"/>
    <x v="21"/>
    <x v="0"/>
    <x v="0"/>
    <x v="16"/>
    <x v="0"/>
    <x v="3"/>
    <x v="15"/>
    <x v="0"/>
    <x v="0"/>
    <x v="0"/>
  </r>
  <r>
    <x v="151"/>
    <x v="27"/>
    <x v="27"/>
    <x v="1"/>
    <x v="3"/>
    <x v="23"/>
    <x v="0"/>
    <x v="0"/>
    <x v="19"/>
    <x v="0"/>
    <x v="3"/>
    <x v="15"/>
    <x v="0"/>
    <x v="0"/>
    <x v="0"/>
  </r>
  <r>
    <x v="152"/>
    <x v="25"/>
    <x v="25"/>
    <x v="1"/>
    <x v="3"/>
    <x v="23"/>
    <x v="0"/>
    <x v="0"/>
    <x v="19"/>
    <x v="0"/>
    <x v="3"/>
    <x v="15"/>
    <x v="0"/>
    <x v="0"/>
    <x v="0"/>
  </r>
  <r>
    <x v="153"/>
    <x v="108"/>
    <x v="108"/>
    <x v="1"/>
    <x v="3"/>
    <x v="28"/>
    <x v="0"/>
    <x v="0"/>
    <x v="38"/>
    <x v="0"/>
    <x v="3"/>
    <x v="15"/>
    <x v="0"/>
    <x v="0"/>
    <x v="0"/>
  </r>
  <r>
    <x v="154"/>
    <x v="13"/>
    <x v="13"/>
    <x v="1"/>
    <x v="3"/>
    <x v="17"/>
    <x v="0"/>
    <x v="0"/>
    <x v="15"/>
    <x v="0"/>
    <x v="3"/>
    <x v="15"/>
    <x v="0"/>
    <x v="0"/>
    <x v="0"/>
  </r>
  <r>
    <x v="155"/>
    <x v="109"/>
    <x v="109"/>
    <x v="7"/>
    <x v="3"/>
    <x v="28"/>
    <x v="0"/>
    <x v="0"/>
    <x v="38"/>
    <x v="0"/>
    <x v="3"/>
    <x v="15"/>
    <x v="0"/>
    <x v="0"/>
    <x v="0"/>
  </r>
  <r>
    <x v="156"/>
    <x v="22"/>
    <x v="22"/>
    <x v="5"/>
    <x v="3"/>
    <x v="3"/>
    <x v="22"/>
    <x v="0"/>
    <x v="3"/>
    <x v="0"/>
    <x v="3"/>
    <x v="15"/>
    <x v="0"/>
    <x v="0"/>
    <x v="0"/>
  </r>
  <r>
    <x v="157"/>
    <x v="110"/>
    <x v="110"/>
    <x v="6"/>
    <x v="4"/>
    <x v="47"/>
    <x v="23"/>
    <x v="0"/>
    <x v="3"/>
    <x v="0"/>
    <x v="0"/>
    <x v="15"/>
    <x v="2"/>
    <x v="2"/>
    <x v="0"/>
  </r>
  <r>
    <x v="158"/>
    <x v="111"/>
    <x v="111"/>
    <x v="6"/>
    <x v="4"/>
    <x v="22"/>
    <x v="0"/>
    <x v="0"/>
    <x v="21"/>
    <x v="0"/>
    <x v="0"/>
    <x v="15"/>
    <x v="3"/>
    <x v="2"/>
    <x v="0"/>
  </r>
  <r>
    <x v="159"/>
    <x v="55"/>
    <x v="55"/>
    <x v="5"/>
    <x v="4"/>
    <x v="65"/>
    <x v="0"/>
    <x v="0"/>
    <x v="53"/>
    <x v="0"/>
    <x v="4"/>
    <x v="15"/>
    <x v="4"/>
    <x v="2"/>
    <x v="0"/>
  </r>
  <r>
    <x v="160"/>
    <x v="33"/>
    <x v="33"/>
    <x v="6"/>
    <x v="4"/>
    <x v="47"/>
    <x v="23"/>
    <x v="0"/>
    <x v="3"/>
    <x v="0"/>
    <x v="3"/>
    <x v="15"/>
    <x v="4"/>
    <x v="2"/>
    <x v="0"/>
  </r>
  <r>
    <x v="161"/>
    <x v="35"/>
    <x v="35"/>
    <x v="6"/>
    <x v="4"/>
    <x v="47"/>
    <x v="23"/>
    <x v="0"/>
    <x v="3"/>
    <x v="0"/>
    <x v="3"/>
    <x v="15"/>
    <x v="4"/>
    <x v="2"/>
    <x v="0"/>
  </r>
  <r>
    <x v="162"/>
    <x v="38"/>
    <x v="38"/>
    <x v="6"/>
    <x v="4"/>
    <x v="47"/>
    <x v="23"/>
    <x v="0"/>
    <x v="3"/>
    <x v="0"/>
    <x v="3"/>
    <x v="15"/>
    <x v="4"/>
    <x v="2"/>
    <x v="0"/>
  </r>
  <r>
    <x v="163"/>
    <x v="39"/>
    <x v="39"/>
    <x v="6"/>
    <x v="4"/>
    <x v="47"/>
    <x v="23"/>
    <x v="0"/>
    <x v="3"/>
    <x v="0"/>
    <x v="3"/>
    <x v="15"/>
    <x v="4"/>
    <x v="2"/>
    <x v="0"/>
  </r>
  <r>
    <x v="164"/>
    <x v="53"/>
    <x v="53"/>
    <x v="5"/>
    <x v="4"/>
    <x v="66"/>
    <x v="0"/>
    <x v="0"/>
    <x v="54"/>
    <x v="0"/>
    <x v="3"/>
    <x v="15"/>
    <x v="5"/>
    <x v="2"/>
    <x v="0"/>
  </r>
  <r>
    <x v="165"/>
    <x v="52"/>
    <x v="52"/>
    <x v="7"/>
    <x v="4"/>
    <x v="67"/>
    <x v="0"/>
    <x v="0"/>
    <x v="55"/>
    <x v="0"/>
    <x v="4"/>
    <x v="16"/>
    <x v="6"/>
    <x v="2"/>
    <x v="0"/>
  </r>
  <r>
    <x v="166"/>
    <x v="109"/>
    <x v="109"/>
    <x v="7"/>
    <x v="4"/>
    <x v="68"/>
    <x v="0"/>
    <x v="0"/>
    <x v="56"/>
    <x v="0"/>
    <x v="2"/>
    <x v="15"/>
    <x v="7"/>
    <x v="2"/>
    <x v="0"/>
  </r>
  <r>
    <x v="167"/>
    <x v="109"/>
    <x v="109"/>
    <x v="7"/>
    <x v="4"/>
    <x v="25"/>
    <x v="0"/>
    <x v="0"/>
    <x v="28"/>
    <x v="0"/>
    <x v="4"/>
    <x v="15"/>
    <x v="8"/>
    <x v="2"/>
    <x v="0"/>
  </r>
  <r>
    <x v="168"/>
    <x v="36"/>
    <x v="36"/>
    <x v="6"/>
    <x v="5"/>
    <x v="69"/>
    <x v="0"/>
    <x v="0"/>
    <x v="57"/>
    <x v="0"/>
    <x v="3"/>
    <x v="15"/>
    <x v="9"/>
    <x v="3"/>
    <x v="0"/>
  </r>
  <r>
    <x v="169"/>
    <x v="35"/>
    <x v="35"/>
    <x v="6"/>
    <x v="5"/>
    <x v="70"/>
    <x v="0"/>
    <x v="0"/>
    <x v="58"/>
    <x v="0"/>
    <x v="3"/>
    <x v="15"/>
    <x v="9"/>
    <x v="3"/>
    <x v="0"/>
  </r>
  <r>
    <x v="170"/>
    <x v="39"/>
    <x v="39"/>
    <x v="6"/>
    <x v="5"/>
    <x v="70"/>
    <x v="0"/>
    <x v="0"/>
    <x v="58"/>
    <x v="0"/>
    <x v="3"/>
    <x v="15"/>
    <x v="9"/>
    <x v="3"/>
    <x v="0"/>
  </r>
  <r>
    <x v="171"/>
    <x v="33"/>
    <x v="33"/>
    <x v="6"/>
    <x v="5"/>
    <x v="70"/>
    <x v="0"/>
    <x v="0"/>
    <x v="58"/>
    <x v="0"/>
    <x v="3"/>
    <x v="15"/>
    <x v="9"/>
    <x v="3"/>
    <x v="0"/>
  </r>
  <r>
    <x v="172"/>
    <x v="38"/>
    <x v="38"/>
    <x v="6"/>
    <x v="5"/>
    <x v="70"/>
    <x v="0"/>
    <x v="0"/>
    <x v="58"/>
    <x v="0"/>
    <x v="3"/>
    <x v="15"/>
    <x v="9"/>
    <x v="3"/>
    <x v="0"/>
  </r>
  <r>
    <x v="173"/>
    <x v="40"/>
    <x v="40"/>
    <x v="6"/>
    <x v="5"/>
    <x v="71"/>
    <x v="0"/>
    <x v="0"/>
    <x v="59"/>
    <x v="0"/>
    <x v="3"/>
    <x v="15"/>
    <x v="9"/>
    <x v="3"/>
    <x v="0"/>
  </r>
  <r>
    <x v="174"/>
    <x v="57"/>
    <x v="57"/>
    <x v="6"/>
    <x v="5"/>
    <x v="27"/>
    <x v="0"/>
    <x v="0"/>
    <x v="18"/>
    <x v="0"/>
    <x v="3"/>
    <x v="15"/>
    <x v="9"/>
    <x v="3"/>
    <x v="0"/>
  </r>
  <r>
    <x v="175"/>
    <x v="112"/>
    <x v="112"/>
    <x v="2"/>
    <x v="5"/>
    <x v="22"/>
    <x v="0"/>
    <x v="0"/>
    <x v="21"/>
    <x v="0"/>
    <x v="3"/>
    <x v="15"/>
    <x v="0"/>
    <x v="3"/>
    <x v="4"/>
  </r>
  <r>
    <x v="176"/>
    <x v="53"/>
    <x v="53"/>
    <x v="5"/>
    <x v="5"/>
    <x v="23"/>
    <x v="0"/>
    <x v="0"/>
    <x v="19"/>
    <x v="0"/>
    <x v="3"/>
    <x v="15"/>
    <x v="10"/>
    <x v="3"/>
    <x v="0"/>
  </r>
  <r>
    <x v="177"/>
    <x v="109"/>
    <x v="109"/>
    <x v="7"/>
    <x v="5"/>
    <x v="28"/>
    <x v="0"/>
    <x v="0"/>
    <x v="38"/>
    <x v="0"/>
    <x v="2"/>
    <x v="15"/>
    <x v="11"/>
    <x v="3"/>
    <x v="0"/>
  </r>
  <r>
    <x v="178"/>
    <x v="109"/>
    <x v="109"/>
    <x v="7"/>
    <x v="5"/>
    <x v="21"/>
    <x v="0"/>
    <x v="0"/>
    <x v="16"/>
    <x v="0"/>
    <x v="3"/>
    <x v="15"/>
    <x v="12"/>
    <x v="3"/>
    <x v="0"/>
  </r>
  <r>
    <x v="179"/>
    <x v="13"/>
    <x v="13"/>
    <x v="1"/>
    <x v="5"/>
    <x v="10"/>
    <x v="0"/>
    <x v="0"/>
    <x v="9"/>
    <x v="0"/>
    <x v="1"/>
    <x v="17"/>
    <x v="13"/>
    <x v="3"/>
    <x v="0"/>
  </r>
  <r>
    <x v="180"/>
    <x v="9"/>
    <x v="9"/>
    <x v="1"/>
    <x v="5"/>
    <x v="72"/>
    <x v="0"/>
    <x v="0"/>
    <x v="60"/>
    <x v="0"/>
    <x v="1"/>
    <x v="17"/>
    <x v="13"/>
    <x v="3"/>
    <x v="0"/>
  </r>
  <r>
    <x v="181"/>
    <x v="2"/>
    <x v="2"/>
    <x v="1"/>
    <x v="5"/>
    <x v="73"/>
    <x v="0"/>
    <x v="0"/>
    <x v="61"/>
    <x v="0"/>
    <x v="1"/>
    <x v="17"/>
    <x v="13"/>
    <x v="3"/>
    <x v="0"/>
  </r>
  <r>
    <x v="182"/>
    <x v="69"/>
    <x v="69"/>
    <x v="1"/>
    <x v="5"/>
    <x v="68"/>
    <x v="0"/>
    <x v="0"/>
    <x v="56"/>
    <x v="0"/>
    <x v="1"/>
    <x v="17"/>
    <x v="13"/>
    <x v="3"/>
    <x v="0"/>
  </r>
  <r>
    <x v="183"/>
    <x v="20"/>
    <x v="20"/>
    <x v="1"/>
    <x v="5"/>
    <x v="69"/>
    <x v="0"/>
    <x v="0"/>
    <x v="57"/>
    <x v="0"/>
    <x v="1"/>
    <x v="17"/>
    <x v="13"/>
    <x v="3"/>
    <x v="0"/>
  </r>
  <r>
    <x v="184"/>
    <x v="113"/>
    <x v="113"/>
    <x v="1"/>
    <x v="5"/>
    <x v="10"/>
    <x v="0"/>
    <x v="0"/>
    <x v="9"/>
    <x v="0"/>
    <x v="1"/>
    <x v="17"/>
    <x v="13"/>
    <x v="3"/>
    <x v="0"/>
  </r>
  <r>
    <x v="185"/>
    <x v="26"/>
    <x v="26"/>
    <x v="1"/>
    <x v="5"/>
    <x v="69"/>
    <x v="0"/>
    <x v="0"/>
    <x v="57"/>
    <x v="0"/>
    <x v="1"/>
    <x v="17"/>
    <x v="13"/>
    <x v="3"/>
    <x v="0"/>
  </r>
  <r>
    <x v="186"/>
    <x v="95"/>
    <x v="95"/>
    <x v="2"/>
    <x v="5"/>
    <x v="47"/>
    <x v="0"/>
    <x v="0"/>
    <x v="40"/>
    <x v="0"/>
    <x v="1"/>
    <x v="17"/>
    <x v="13"/>
    <x v="3"/>
    <x v="0"/>
  </r>
  <r>
    <x v="187"/>
    <x v="35"/>
    <x v="35"/>
    <x v="6"/>
    <x v="5"/>
    <x v="47"/>
    <x v="0"/>
    <x v="0"/>
    <x v="40"/>
    <x v="0"/>
    <x v="1"/>
    <x v="17"/>
    <x v="13"/>
    <x v="3"/>
    <x v="0"/>
  </r>
  <r>
    <x v="188"/>
    <x v="15"/>
    <x v="15"/>
    <x v="0"/>
    <x v="5"/>
    <x v="64"/>
    <x v="0"/>
    <x v="0"/>
    <x v="62"/>
    <x v="0"/>
    <x v="1"/>
    <x v="17"/>
    <x v="13"/>
    <x v="3"/>
    <x v="0"/>
  </r>
  <r>
    <x v="189"/>
    <x v="37"/>
    <x v="37"/>
    <x v="5"/>
    <x v="5"/>
    <x v="74"/>
    <x v="0"/>
    <x v="0"/>
    <x v="63"/>
    <x v="0"/>
    <x v="1"/>
    <x v="17"/>
    <x v="13"/>
    <x v="3"/>
    <x v="0"/>
  </r>
  <r>
    <x v="190"/>
    <x v="28"/>
    <x v="28"/>
    <x v="4"/>
    <x v="5"/>
    <x v="31"/>
    <x v="0"/>
    <x v="0"/>
    <x v="23"/>
    <x v="0"/>
    <x v="1"/>
    <x v="17"/>
    <x v="13"/>
    <x v="3"/>
    <x v="0"/>
  </r>
  <r>
    <x v="191"/>
    <x v="32"/>
    <x v="32"/>
    <x v="4"/>
    <x v="5"/>
    <x v="27"/>
    <x v="0"/>
    <x v="0"/>
    <x v="18"/>
    <x v="0"/>
    <x v="1"/>
    <x v="17"/>
    <x v="13"/>
    <x v="3"/>
    <x v="0"/>
  </r>
  <r>
    <x v="192"/>
    <x v="49"/>
    <x v="49"/>
    <x v="1"/>
    <x v="5"/>
    <x v="74"/>
    <x v="0"/>
    <x v="0"/>
    <x v="63"/>
    <x v="0"/>
    <x v="1"/>
    <x v="18"/>
    <x v="14"/>
    <x v="3"/>
    <x v="0"/>
  </r>
  <r>
    <x v="193"/>
    <x v="18"/>
    <x v="18"/>
    <x v="1"/>
    <x v="6"/>
    <x v="31"/>
    <x v="0"/>
    <x v="0"/>
    <x v="23"/>
    <x v="0"/>
    <x v="1"/>
    <x v="3"/>
    <x v="15"/>
    <x v="0"/>
    <x v="0"/>
  </r>
  <r>
    <x v="194"/>
    <x v="20"/>
    <x v="20"/>
    <x v="1"/>
    <x v="6"/>
    <x v="75"/>
    <x v="0"/>
    <x v="0"/>
    <x v="64"/>
    <x v="0"/>
    <x v="1"/>
    <x v="3"/>
    <x v="16"/>
    <x v="0"/>
    <x v="0"/>
  </r>
  <r>
    <x v="195"/>
    <x v="19"/>
    <x v="19"/>
    <x v="1"/>
    <x v="6"/>
    <x v="76"/>
    <x v="0"/>
    <x v="0"/>
    <x v="65"/>
    <x v="0"/>
    <x v="1"/>
    <x v="3"/>
    <x v="17"/>
    <x v="0"/>
    <x v="0"/>
  </r>
  <r>
    <x v="196"/>
    <x v="11"/>
    <x v="11"/>
    <x v="3"/>
    <x v="6"/>
    <x v="23"/>
    <x v="5"/>
    <x v="0"/>
    <x v="3"/>
    <x v="0"/>
    <x v="1"/>
    <x v="3"/>
    <x v="18"/>
    <x v="0"/>
    <x v="0"/>
  </r>
  <r>
    <x v="197"/>
    <x v="21"/>
    <x v="21"/>
    <x v="1"/>
    <x v="6"/>
    <x v="31"/>
    <x v="0"/>
    <x v="0"/>
    <x v="23"/>
    <x v="0"/>
    <x v="1"/>
    <x v="3"/>
    <x v="19"/>
    <x v="0"/>
    <x v="0"/>
  </r>
  <r>
    <x v="198"/>
    <x v="24"/>
    <x v="24"/>
    <x v="1"/>
    <x v="6"/>
    <x v="28"/>
    <x v="0"/>
    <x v="0"/>
    <x v="38"/>
    <x v="0"/>
    <x v="1"/>
    <x v="3"/>
    <x v="20"/>
    <x v="0"/>
    <x v="0"/>
  </r>
  <r>
    <x v="199"/>
    <x v="27"/>
    <x v="27"/>
    <x v="1"/>
    <x v="6"/>
    <x v="28"/>
    <x v="0"/>
    <x v="0"/>
    <x v="38"/>
    <x v="0"/>
    <x v="1"/>
    <x v="3"/>
    <x v="21"/>
    <x v="0"/>
    <x v="0"/>
  </r>
  <r>
    <x v="200"/>
    <x v="3"/>
    <x v="3"/>
    <x v="2"/>
    <x v="6"/>
    <x v="23"/>
    <x v="0"/>
    <x v="5"/>
    <x v="3"/>
    <x v="0"/>
    <x v="1"/>
    <x v="3"/>
    <x v="22"/>
    <x v="0"/>
    <x v="0"/>
  </r>
  <r>
    <x v="201"/>
    <x v="19"/>
    <x v="19"/>
    <x v="1"/>
    <x v="7"/>
    <x v="0"/>
    <x v="0"/>
    <x v="0"/>
    <x v="0"/>
    <x v="0"/>
    <x v="1"/>
    <x v="17"/>
    <x v="23"/>
    <x v="0"/>
    <x v="0"/>
  </r>
  <r>
    <x v="202"/>
    <x v="106"/>
    <x v="106"/>
    <x v="1"/>
    <x v="7"/>
    <x v="23"/>
    <x v="0"/>
    <x v="0"/>
    <x v="19"/>
    <x v="0"/>
    <x v="1"/>
    <x v="17"/>
    <x v="24"/>
    <x v="0"/>
    <x v="0"/>
  </r>
  <r>
    <x v="203"/>
    <x v="107"/>
    <x v="107"/>
    <x v="1"/>
    <x v="7"/>
    <x v="9"/>
    <x v="0"/>
    <x v="0"/>
    <x v="8"/>
    <x v="0"/>
    <x v="1"/>
    <x v="19"/>
    <x v="25"/>
    <x v="0"/>
    <x v="0"/>
  </r>
  <r>
    <x v="204"/>
    <x v="114"/>
    <x v="114"/>
    <x v="1"/>
    <x v="5"/>
    <x v="74"/>
    <x v="0"/>
    <x v="0"/>
    <x v="63"/>
    <x v="0"/>
    <x v="1"/>
    <x v="20"/>
    <x v="26"/>
    <x v="3"/>
    <x v="0"/>
  </r>
  <r>
    <x v="205"/>
    <x v="10"/>
    <x v="10"/>
    <x v="1"/>
    <x v="5"/>
    <x v="74"/>
    <x v="0"/>
    <x v="0"/>
    <x v="63"/>
    <x v="0"/>
    <x v="1"/>
    <x v="20"/>
    <x v="27"/>
    <x v="3"/>
    <x v="0"/>
  </r>
  <r>
    <x v="206"/>
    <x v="13"/>
    <x v="13"/>
    <x v="1"/>
    <x v="5"/>
    <x v="31"/>
    <x v="0"/>
    <x v="0"/>
    <x v="23"/>
    <x v="0"/>
    <x v="1"/>
    <x v="20"/>
    <x v="28"/>
    <x v="3"/>
    <x v="0"/>
  </r>
  <r>
    <x v="207"/>
    <x v="107"/>
    <x v="107"/>
    <x v="1"/>
    <x v="5"/>
    <x v="35"/>
    <x v="0"/>
    <x v="0"/>
    <x v="27"/>
    <x v="0"/>
    <x v="1"/>
    <x v="20"/>
    <x v="29"/>
    <x v="3"/>
    <x v="0"/>
  </r>
  <r>
    <x v="208"/>
    <x v="30"/>
    <x v="30"/>
    <x v="4"/>
    <x v="5"/>
    <x v="17"/>
    <x v="0"/>
    <x v="0"/>
    <x v="15"/>
    <x v="0"/>
    <x v="5"/>
    <x v="20"/>
    <x v="30"/>
    <x v="3"/>
    <x v="0"/>
  </r>
  <r>
    <x v="209"/>
    <x v="113"/>
    <x v="113"/>
    <x v="1"/>
    <x v="5"/>
    <x v="15"/>
    <x v="0"/>
    <x v="0"/>
    <x v="13"/>
    <x v="0"/>
    <x v="1"/>
    <x v="21"/>
    <x v="31"/>
    <x v="3"/>
    <x v="0"/>
  </r>
  <r>
    <x v="210"/>
    <x v="69"/>
    <x v="69"/>
    <x v="1"/>
    <x v="5"/>
    <x v="22"/>
    <x v="0"/>
    <x v="0"/>
    <x v="21"/>
    <x v="0"/>
    <x v="1"/>
    <x v="21"/>
    <x v="32"/>
    <x v="3"/>
    <x v="0"/>
  </r>
  <r>
    <x v="211"/>
    <x v="114"/>
    <x v="114"/>
    <x v="1"/>
    <x v="5"/>
    <x v="17"/>
    <x v="0"/>
    <x v="0"/>
    <x v="15"/>
    <x v="0"/>
    <x v="1"/>
    <x v="21"/>
    <x v="33"/>
    <x v="3"/>
    <x v="0"/>
  </r>
  <r>
    <x v="212"/>
    <x v="104"/>
    <x v="104"/>
    <x v="1"/>
    <x v="5"/>
    <x v="15"/>
    <x v="0"/>
    <x v="0"/>
    <x v="13"/>
    <x v="0"/>
    <x v="1"/>
    <x v="21"/>
    <x v="34"/>
    <x v="3"/>
    <x v="0"/>
  </r>
  <r>
    <x v="213"/>
    <x v="105"/>
    <x v="105"/>
    <x v="1"/>
    <x v="5"/>
    <x v="15"/>
    <x v="0"/>
    <x v="0"/>
    <x v="13"/>
    <x v="0"/>
    <x v="1"/>
    <x v="21"/>
    <x v="35"/>
    <x v="3"/>
    <x v="0"/>
  </r>
  <r>
    <x v="214"/>
    <x v="115"/>
    <x v="115"/>
    <x v="0"/>
    <x v="5"/>
    <x v="22"/>
    <x v="0"/>
    <x v="0"/>
    <x v="21"/>
    <x v="0"/>
    <x v="1"/>
    <x v="21"/>
    <x v="36"/>
    <x v="3"/>
    <x v="0"/>
  </r>
  <r>
    <x v="215"/>
    <x v="116"/>
    <x v="116"/>
    <x v="0"/>
    <x v="5"/>
    <x v="15"/>
    <x v="0"/>
    <x v="0"/>
    <x v="13"/>
    <x v="0"/>
    <x v="1"/>
    <x v="21"/>
    <x v="37"/>
    <x v="3"/>
    <x v="0"/>
  </r>
  <r>
    <x v="216"/>
    <x v="55"/>
    <x v="55"/>
    <x v="5"/>
    <x v="5"/>
    <x v="15"/>
    <x v="0"/>
    <x v="0"/>
    <x v="13"/>
    <x v="0"/>
    <x v="1"/>
    <x v="21"/>
    <x v="38"/>
    <x v="3"/>
    <x v="0"/>
  </r>
  <r>
    <x v="217"/>
    <x v="117"/>
    <x v="117"/>
    <x v="1"/>
    <x v="5"/>
    <x v="15"/>
    <x v="0"/>
    <x v="0"/>
    <x v="13"/>
    <x v="0"/>
    <x v="1"/>
    <x v="21"/>
    <x v="39"/>
    <x v="3"/>
    <x v="0"/>
  </r>
  <r>
    <x v="218"/>
    <x v="51"/>
    <x v="51"/>
    <x v="5"/>
    <x v="5"/>
    <x v="23"/>
    <x v="0"/>
    <x v="0"/>
    <x v="19"/>
    <x v="0"/>
    <x v="1"/>
    <x v="21"/>
    <x v="40"/>
    <x v="3"/>
    <x v="0"/>
  </r>
  <r>
    <x v="219"/>
    <x v="113"/>
    <x v="113"/>
    <x v="1"/>
    <x v="5"/>
    <x v="25"/>
    <x v="0"/>
    <x v="0"/>
    <x v="28"/>
    <x v="0"/>
    <x v="1"/>
    <x v="22"/>
    <x v="41"/>
    <x v="3"/>
    <x v="0"/>
  </r>
  <r>
    <x v="220"/>
    <x v="69"/>
    <x v="69"/>
    <x v="1"/>
    <x v="5"/>
    <x v="77"/>
    <x v="0"/>
    <x v="0"/>
    <x v="66"/>
    <x v="0"/>
    <x v="1"/>
    <x v="22"/>
    <x v="42"/>
    <x v="3"/>
    <x v="0"/>
  </r>
  <r>
    <x v="221"/>
    <x v="114"/>
    <x v="114"/>
    <x v="1"/>
    <x v="5"/>
    <x v="55"/>
    <x v="0"/>
    <x v="0"/>
    <x v="49"/>
    <x v="0"/>
    <x v="1"/>
    <x v="22"/>
    <x v="43"/>
    <x v="3"/>
    <x v="0"/>
  </r>
  <r>
    <x v="222"/>
    <x v="104"/>
    <x v="104"/>
    <x v="1"/>
    <x v="5"/>
    <x v="55"/>
    <x v="0"/>
    <x v="0"/>
    <x v="49"/>
    <x v="0"/>
    <x v="1"/>
    <x v="22"/>
    <x v="44"/>
    <x v="3"/>
    <x v="0"/>
  </r>
  <r>
    <x v="223"/>
    <x v="105"/>
    <x v="105"/>
    <x v="1"/>
    <x v="5"/>
    <x v="15"/>
    <x v="0"/>
    <x v="0"/>
    <x v="13"/>
    <x v="0"/>
    <x v="1"/>
    <x v="22"/>
    <x v="45"/>
    <x v="3"/>
    <x v="0"/>
  </r>
  <r>
    <x v="224"/>
    <x v="115"/>
    <x v="115"/>
    <x v="0"/>
    <x v="5"/>
    <x v="29"/>
    <x v="0"/>
    <x v="0"/>
    <x v="20"/>
    <x v="0"/>
    <x v="1"/>
    <x v="22"/>
    <x v="46"/>
    <x v="3"/>
    <x v="0"/>
  </r>
  <r>
    <x v="225"/>
    <x v="116"/>
    <x v="116"/>
    <x v="0"/>
    <x v="5"/>
    <x v="23"/>
    <x v="0"/>
    <x v="0"/>
    <x v="19"/>
    <x v="0"/>
    <x v="1"/>
    <x v="22"/>
    <x v="47"/>
    <x v="3"/>
    <x v="0"/>
  </r>
  <r>
    <x v="226"/>
    <x v="55"/>
    <x v="55"/>
    <x v="5"/>
    <x v="5"/>
    <x v="29"/>
    <x v="0"/>
    <x v="0"/>
    <x v="20"/>
    <x v="0"/>
    <x v="1"/>
    <x v="22"/>
    <x v="48"/>
    <x v="3"/>
    <x v="0"/>
  </r>
  <r>
    <x v="227"/>
    <x v="117"/>
    <x v="117"/>
    <x v="1"/>
    <x v="5"/>
    <x v="55"/>
    <x v="0"/>
    <x v="0"/>
    <x v="49"/>
    <x v="0"/>
    <x v="1"/>
    <x v="22"/>
    <x v="49"/>
    <x v="3"/>
    <x v="0"/>
  </r>
  <r>
    <x v="228"/>
    <x v="52"/>
    <x v="52"/>
    <x v="7"/>
    <x v="5"/>
    <x v="15"/>
    <x v="0"/>
    <x v="0"/>
    <x v="13"/>
    <x v="0"/>
    <x v="4"/>
    <x v="23"/>
    <x v="0"/>
    <x v="3"/>
    <x v="0"/>
  </r>
  <r>
    <x v="229"/>
    <x v="30"/>
    <x v="30"/>
    <x v="4"/>
    <x v="8"/>
    <x v="35"/>
    <x v="0"/>
    <x v="0"/>
    <x v="27"/>
    <x v="0"/>
    <x v="5"/>
    <x v="24"/>
    <x v="50"/>
    <x v="0"/>
    <x v="0"/>
  </r>
  <r>
    <x v="230"/>
    <x v="28"/>
    <x v="28"/>
    <x v="4"/>
    <x v="8"/>
    <x v="35"/>
    <x v="0"/>
    <x v="0"/>
    <x v="27"/>
    <x v="0"/>
    <x v="5"/>
    <x v="24"/>
    <x v="50"/>
    <x v="0"/>
    <x v="0"/>
  </r>
  <r>
    <x v="231"/>
    <x v="32"/>
    <x v="32"/>
    <x v="4"/>
    <x v="8"/>
    <x v="35"/>
    <x v="0"/>
    <x v="0"/>
    <x v="27"/>
    <x v="0"/>
    <x v="5"/>
    <x v="24"/>
    <x v="50"/>
    <x v="0"/>
    <x v="0"/>
  </r>
  <r>
    <x v="232"/>
    <x v="30"/>
    <x v="30"/>
    <x v="4"/>
    <x v="7"/>
    <x v="40"/>
    <x v="24"/>
    <x v="0"/>
    <x v="3"/>
    <x v="0"/>
    <x v="5"/>
    <x v="25"/>
    <x v="51"/>
    <x v="0"/>
    <x v="0"/>
  </r>
  <r>
    <x v="233"/>
    <x v="12"/>
    <x v="12"/>
    <x v="4"/>
    <x v="5"/>
    <x v="78"/>
    <x v="0"/>
    <x v="0"/>
    <x v="67"/>
    <x v="0"/>
    <x v="5"/>
    <x v="15"/>
    <x v="52"/>
    <x v="3"/>
    <x v="0"/>
  </r>
  <r>
    <x v="234"/>
    <x v="29"/>
    <x v="29"/>
    <x v="4"/>
    <x v="5"/>
    <x v="79"/>
    <x v="0"/>
    <x v="0"/>
    <x v="68"/>
    <x v="0"/>
    <x v="5"/>
    <x v="15"/>
    <x v="53"/>
    <x v="3"/>
    <x v="0"/>
  </r>
  <r>
    <x v="235"/>
    <x v="63"/>
    <x v="63"/>
    <x v="4"/>
    <x v="5"/>
    <x v="80"/>
    <x v="0"/>
    <x v="0"/>
    <x v="69"/>
    <x v="0"/>
    <x v="5"/>
    <x v="15"/>
    <x v="54"/>
    <x v="3"/>
    <x v="0"/>
  </r>
  <r>
    <x v="236"/>
    <x v="60"/>
    <x v="60"/>
    <x v="4"/>
    <x v="5"/>
    <x v="22"/>
    <x v="0"/>
    <x v="0"/>
    <x v="21"/>
    <x v="0"/>
    <x v="5"/>
    <x v="15"/>
    <x v="55"/>
    <x v="3"/>
    <x v="0"/>
  </r>
  <r>
    <x v="237"/>
    <x v="32"/>
    <x v="32"/>
    <x v="4"/>
    <x v="5"/>
    <x v="81"/>
    <x v="0"/>
    <x v="0"/>
    <x v="70"/>
    <x v="0"/>
    <x v="5"/>
    <x v="15"/>
    <x v="56"/>
    <x v="3"/>
    <x v="0"/>
  </r>
  <r>
    <x v="238"/>
    <x v="28"/>
    <x v="28"/>
    <x v="4"/>
    <x v="5"/>
    <x v="44"/>
    <x v="0"/>
    <x v="0"/>
    <x v="36"/>
    <x v="0"/>
    <x v="5"/>
    <x v="15"/>
    <x v="57"/>
    <x v="3"/>
    <x v="0"/>
  </r>
  <r>
    <x v="239"/>
    <x v="64"/>
    <x v="64"/>
    <x v="4"/>
    <x v="5"/>
    <x v="40"/>
    <x v="0"/>
    <x v="0"/>
    <x v="32"/>
    <x v="0"/>
    <x v="0"/>
    <x v="15"/>
    <x v="58"/>
    <x v="3"/>
    <x v="0"/>
  </r>
  <r>
    <x v="240"/>
    <x v="41"/>
    <x v="41"/>
    <x v="6"/>
    <x v="5"/>
    <x v="82"/>
    <x v="0"/>
    <x v="0"/>
    <x v="71"/>
    <x v="0"/>
    <x v="0"/>
    <x v="15"/>
    <x v="59"/>
    <x v="3"/>
    <x v="0"/>
  </r>
  <r>
    <x v="241"/>
    <x v="44"/>
    <x v="44"/>
    <x v="6"/>
    <x v="5"/>
    <x v="83"/>
    <x v="0"/>
    <x v="0"/>
    <x v="72"/>
    <x v="0"/>
    <x v="0"/>
    <x v="15"/>
    <x v="60"/>
    <x v="3"/>
    <x v="0"/>
  </r>
  <r>
    <x v="242"/>
    <x v="110"/>
    <x v="110"/>
    <x v="6"/>
    <x v="5"/>
    <x v="84"/>
    <x v="0"/>
    <x v="0"/>
    <x v="73"/>
    <x v="0"/>
    <x v="0"/>
    <x v="15"/>
    <x v="61"/>
    <x v="3"/>
    <x v="0"/>
  </r>
  <r>
    <x v="243"/>
    <x v="118"/>
    <x v="118"/>
    <x v="6"/>
    <x v="5"/>
    <x v="85"/>
    <x v="0"/>
    <x v="0"/>
    <x v="74"/>
    <x v="0"/>
    <x v="0"/>
    <x v="15"/>
    <x v="62"/>
    <x v="3"/>
    <x v="0"/>
  </r>
  <r>
    <x v="244"/>
    <x v="48"/>
    <x v="48"/>
    <x v="6"/>
    <x v="5"/>
    <x v="86"/>
    <x v="0"/>
    <x v="0"/>
    <x v="75"/>
    <x v="0"/>
    <x v="0"/>
    <x v="15"/>
    <x v="63"/>
    <x v="3"/>
    <x v="0"/>
  </r>
  <r>
    <x v="245"/>
    <x v="42"/>
    <x v="42"/>
    <x v="6"/>
    <x v="5"/>
    <x v="87"/>
    <x v="0"/>
    <x v="0"/>
    <x v="76"/>
    <x v="0"/>
    <x v="0"/>
    <x v="15"/>
    <x v="63"/>
    <x v="3"/>
    <x v="0"/>
  </r>
  <r>
    <x v="246"/>
    <x v="43"/>
    <x v="43"/>
    <x v="6"/>
    <x v="5"/>
    <x v="88"/>
    <x v="0"/>
    <x v="0"/>
    <x v="77"/>
    <x v="0"/>
    <x v="0"/>
    <x v="15"/>
    <x v="64"/>
    <x v="3"/>
    <x v="0"/>
  </r>
  <r>
    <x v="247"/>
    <x v="69"/>
    <x v="69"/>
    <x v="1"/>
    <x v="6"/>
    <x v="17"/>
    <x v="0"/>
    <x v="0"/>
    <x v="15"/>
    <x v="0"/>
    <x v="1"/>
    <x v="15"/>
    <x v="65"/>
    <x v="0"/>
    <x v="0"/>
  </r>
  <r>
    <x v="248"/>
    <x v="108"/>
    <x v="108"/>
    <x v="1"/>
    <x v="5"/>
    <x v="53"/>
    <x v="0"/>
    <x v="0"/>
    <x v="47"/>
    <x v="0"/>
    <x v="1"/>
    <x v="15"/>
    <x v="66"/>
    <x v="3"/>
    <x v="0"/>
  </r>
  <r>
    <x v="249"/>
    <x v="119"/>
    <x v="119"/>
    <x v="2"/>
    <x v="5"/>
    <x v="17"/>
    <x v="0"/>
    <x v="0"/>
    <x v="15"/>
    <x v="0"/>
    <x v="1"/>
    <x v="15"/>
    <x v="66"/>
    <x v="3"/>
    <x v="0"/>
  </r>
  <r>
    <x v="250"/>
    <x v="120"/>
    <x v="120"/>
    <x v="2"/>
    <x v="5"/>
    <x v="1"/>
    <x v="0"/>
    <x v="0"/>
    <x v="1"/>
    <x v="0"/>
    <x v="1"/>
    <x v="15"/>
    <x v="66"/>
    <x v="3"/>
    <x v="0"/>
  </r>
  <r>
    <x v="251"/>
    <x v="112"/>
    <x v="112"/>
    <x v="2"/>
    <x v="5"/>
    <x v="1"/>
    <x v="0"/>
    <x v="0"/>
    <x v="1"/>
    <x v="0"/>
    <x v="1"/>
    <x v="15"/>
    <x v="66"/>
    <x v="3"/>
    <x v="4"/>
  </r>
  <r>
    <x v="252"/>
    <x v="3"/>
    <x v="3"/>
    <x v="2"/>
    <x v="5"/>
    <x v="10"/>
    <x v="0"/>
    <x v="0"/>
    <x v="9"/>
    <x v="0"/>
    <x v="1"/>
    <x v="15"/>
    <x v="66"/>
    <x v="3"/>
    <x v="0"/>
  </r>
  <r>
    <x v="253"/>
    <x v="121"/>
    <x v="121"/>
    <x v="2"/>
    <x v="5"/>
    <x v="26"/>
    <x v="0"/>
    <x v="0"/>
    <x v="17"/>
    <x v="0"/>
    <x v="1"/>
    <x v="15"/>
    <x v="66"/>
    <x v="3"/>
    <x v="0"/>
  </r>
  <r>
    <x v="254"/>
    <x v="122"/>
    <x v="122"/>
    <x v="2"/>
    <x v="5"/>
    <x v="15"/>
    <x v="0"/>
    <x v="0"/>
    <x v="13"/>
    <x v="0"/>
    <x v="1"/>
    <x v="15"/>
    <x v="66"/>
    <x v="3"/>
    <x v="0"/>
  </r>
  <r>
    <x v="255"/>
    <x v="123"/>
    <x v="123"/>
    <x v="2"/>
    <x v="5"/>
    <x v="35"/>
    <x v="0"/>
    <x v="0"/>
    <x v="27"/>
    <x v="0"/>
    <x v="1"/>
    <x v="15"/>
    <x v="66"/>
    <x v="3"/>
    <x v="0"/>
  </r>
  <r>
    <x v="256"/>
    <x v="117"/>
    <x v="117"/>
    <x v="1"/>
    <x v="5"/>
    <x v="17"/>
    <x v="0"/>
    <x v="0"/>
    <x v="15"/>
    <x v="0"/>
    <x v="1"/>
    <x v="15"/>
    <x v="66"/>
    <x v="3"/>
    <x v="0"/>
  </r>
  <r>
    <x v="257"/>
    <x v="124"/>
    <x v="124"/>
    <x v="1"/>
    <x v="5"/>
    <x v="15"/>
    <x v="0"/>
    <x v="0"/>
    <x v="13"/>
    <x v="0"/>
    <x v="1"/>
    <x v="15"/>
    <x v="66"/>
    <x v="3"/>
    <x v="0"/>
  </r>
  <r>
    <x v="258"/>
    <x v="57"/>
    <x v="57"/>
    <x v="6"/>
    <x v="5"/>
    <x v="9"/>
    <x v="0"/>
    <x v="0"/>
    <x v="8"/>
    <x v="0"/>
    <x v="1"/>
    <x v="15"/>
    <x v="67"/>
    <x v="3"/>
    <x v="0"/>
  </r>
  <r>
    <x v="259"/>
    <x v="116"/>
    <x v="116"/>
    <x v="0"/>
    <x v="7"/>
    <x v="21"/>
    <x v="0"/>
    <x v="0"/>
    <x v="16"/>
    <x v="0"/>
    <x v="1"/>
    <x v="22"/>
    <x v="68"/>
    <x v="0"/>
    <x v="0"/>
  </r>
  <r>
    <x v="260"/>
    <x v="124"/>
    <x v="124"/>
    <x v="1"/>
    <x v="7"/>
    <x v="15"/>
    <x v="0"/>
    <x v="0"/>
    <x v="13"/>
    <x v="0"/>
    <x v="1"/>
    <x v="22"/>
    <x v="69"/>
    <x v="0"/>
    <x v="0"/>
  </r>
  <r>
    <x v="261"/>
    <x v="29"/>
    <x v="29"/>
    <x v="4"/>
    <x v="9"/>
    <x v="3"/>
    <x v="0"/>
    <x v="0"/>
    <x v="11"/>
    <x v="0"/>
    <x v="3"/>
    <x v="15"/>
    <x v="70"/>
    <x v="4"/>
    <x v="0"/>
  </r>
  <r>
    <x v="262"/>
    <x v="61"/>
    <x v="61"/>
    <x v="4"/>
    <x v="9"/>
    <x v="89"/>
    <x v="0"/>
    <x v="0"/>
    <x v="78"/>
    <x v="0"/>
    <x v="3"/>
    <x v="15"/>
    <x v="70"/>
    <x v="4"/>
    <x v="0"/>
  </r>
  <r>
    <x v="263"/>
    <x v="64"/>
    <x v="64"/>
    <x v="4"/>
    <x v="9"/>
    <x v="89"/>
    <x v="0"/>
    <x v="0"/>
    <x v="78"/>
    <x v="0"/>
    <x v="3"/>
    <x v="15"/>
    <x v="70"/>
    <x v="4"/>
    <x v="0"/>
  </r>
  <r>
    <x v="264"/>
    <x v="63"/>
    <x v="63"/>
    <x v="4"/>
    <x v="9"/>
    <x v="15"/>
    <x v="0"/>
    <x v="0"/>
    <x v="13"/>
    <x v="0"/>
    <x v="3"/>
    <x v="15"/>
    <x v="70"/>
    <x v="4"/>
    <x v="0"/>
  </r>
  <r>
    <x v="265"/>
    <x v="12"/>
    <x v="12"/>
    <x v="4"/>
    <x v="9"/>
    <x v="28"/>
    <x v="0"/>
    <x v="0"/>
    <x v="38"/>
    <x v="0"/>
    <x v="3"/>
    <x v="15"/>
    <x v="70"/>
    <x v="4"/>
    <x v="0"/>
  </r>
  <r>
    <x v="266"/>
    <x v="62"/>
    <x v="62"/>
    <x v="4"/>
    <x v="9"/>
    <x v="3"/>
    <x v="0"/>
    <x v="0"/>
    <x v="11"/>
    <x v="0"/>
    <x v="3"/>
    <x v="15"/>
    <x v="70"/>
    <x v="4"/>
    <x v="0"/>
  </r>
  <r>
    <x v="267"/>
    <x v="60"/>
    <x v="60"/>
    <x v="4"/>
    <x v="9"/>
    <x v="31"/>
    <x v="0"/>
    <x v="0"/>
    <x v="23"/>
    <x v="0"/>
    <x v="3"/>
    <x v="15"/>
    <x v="71"/>
    <x v="4"/>
    <x v="0"/>
  </r>
  <r>
    <x v="268"/>
    <x v="32"/>
    <x v="32"/>
    <x v="4"/>
    <x v="9"/>
    <x v="3"/>
    <x v="0"/>
    <x v="0"/>
    <x v="11"/>
    <x v="0"/>
    <x v="3"/>
    <x v="15"/>
    <x v="70"/>
    <x v="4"/>
    <x v="0"/>
  </r>
  <r>
    <x v="269"/>
    <x v="31"/>
    <x v="31"/>
    <x v="4"/>
    <x v="9"/>
    <x v="22"/>
    <x v="0"/>
    <x v="0"/>
    <x v="21"/>
    <x v="0"/>
    <x v="3"/>
    <x v="15"/>
    <x v="70"/>
    <x v="4"/>
    <x v="0"/>
  </r>
  <r>
    <x v="270"/>
    <x v="30"/>
    <x v="30"/>
    <x v="4"/>
    <x v="9"/>
    <x v="47"/>
    <x v="0"/>
    <x v="0"/>
    <x v="40"/>
    <x v="0"/>
    <x v="3"/>
    <x v="15"/>
    <x v="70"/>
    <x v="4"/>
    <x v="0"/>
  </r>
  <r>
    <x v="271"/>
    <x v="28"/>
    <x v="28"/>
    <x v="4"/>
    <x v="9"/>
    <x v="3"/>
    <x v="0"/>
    <x v="0"/>
    <x v="11"/>
    <x v="0"/>
    <x v="3"/>
    <x v="15"/>
    <x v="71"/>
    <x v="4"/>
    <x v="0"/>
  </r>
  <r>
    <x v="272"/>
    <x v="125"/>
    <x v="125"/>
    <x v="3"/>
    <x v="9"/>
    <x v="90"/>
    <x v="0"/>
    <x v="0"/>
    <x v="79"/>
    <x v="0"/>
    <x v="3"/>
    <x v="15"/>
    <x v="72"/>
    <x v="4"/>
    <x v="0"/>
  </r>
  <r>
    <x v="273"/>
    <x v="11"/>
    <x v="11"/>
    <x v="3"/>
    <x v="9"/>
    <x v="91"/>
    <x v="0"/>
    <x v="0"/>
    <x v="80"/>
    <x v="0"/>
    <x v="3"/>
    <x v="15"/>
    <x v="72"/>
    <x v="4"/>
    <x v="0"/>
  </r>
  <r>
    <x v="274"/>
    <x v="35"/>
    <x v="35"/>
    <x v="6"/>
    <x v="9"/>
    <x v="92"/>
    <x v="0"/>
    <x v="0"/>
    <x v="81"/>
    <x v="0"/>
    <x v="3"/>
    <x v="15"/>
    <x v="73"/>
    <x v="4"/>
    <x v="0"/>
  </r>
  <r>
    <x v="275"/>
    <x v="53"/>
    <x v="53"/>
    <x v="5"/>
    <x v="9"/>
    <x v="93"/>
    <x v="0"/>
    <x v="0"/>
    <x v="82"/>
    <x v="0"/>
    <x v="3"/>
    <x v="15"/>
    <x v="74"/>
    <x v="4"/>
    <x v="0"/>
  </r>
  <r>
    <x v="276"/>
    <x v="47"/>
    <x v="47"/>
    <x v="6"/>
    <x v="9"/>
    <x v="22"/>
    <x v="0"/>
    <x v="0"/>
    <x v="21"/>
    <x v="0"/>
    <x v="3"/>
    <x v="15"/>
    <x v="75"/>
    <x v="4"/>
    <x v="0"/>
  </r>
  <r>
    <x v="277"/>
    <x v="39"/>
    <x v="39"/>
    <x v="6"/>
    <x v="9"/>
    <x v="75"/>
    <x v="0"/>
    <x v="0"/>
    <x v="64"/>
    <x v="0"/>
    <x v="3"/>
    <x v="15"/>
    <x v="76"/>
    <x v="4"/>
    <x v="0"/>
  </r>
  <r>
    <x v="278"/>
    <x v="33"/>
    <x v="33"/>
    <x v="6"/>
    <x v="9"/>
    <x v="75"/>
    <x v="0"/>
    <x v="0"/>
    <x v="64"/>
    <x v="0"/>
    <x v="3"/>
    <x v="15"/>
    <x v="76"/>
    <x v="4"/>
    <x v="0"/>
  </r>
  <r>
    <x v="279"/>
    <x v="38"/>
    <x v="38"/>
    <x v="6"/>
    <x v="9"/>
    <x v="75"/>
    <x v="0"/>
    <x v="0"/>
    <x v="64"/>
    <x v="0"/>
    <x v="3"/>
    <x v="15"/>
    <x v="76"/>
    <x v="4"/>
    <x v="0"/>
  </r>
  <r>
    <x v="280"/>
    <x v="36"/>
    <x v="36"/>
    <x v="6"/>
    <x v="9"/>
    <x v="75"/>
    <x v="0"/>
    <x v="0"/>
    <x v="64"/>
    <x v="0"/>
    <x v="3"/>
    <x v="15"/>
    <x v="76"/>
    <x v="4"/>
    <x v="0"/>
  </r>
  <r>
    <x v="281"/>
    <x v="55"/>
    <x v="55"/>
    <x v="5"/>
    <x v="9"/>
    <x v="30"/>
    <x v="0"/>
    <x v="0"/>
    <x v="22"/>
    <x v="0"/>
    <x v="3"/>
    <x v="15"/>
    <x v="76"/>
    <x v="4"/>
    <x v="0"/>
  </r>
  <r>
    <x v="282"/>
    <x v="110"/>
    <x v="110"/>
    <x v="6"/>
    <x v="9"/>
    <x v="30"/>
    <x v="0"/>
    <x v="0"/>
    <x v="22"/>
    <x v="0"/>
    <x v="3"/>
    <x v="15"/>
    <x v="76"/>
    <x v="4"/>
    <x v="0"/>
  </r>
  <r>
    <x v="283"/>
    <x v="111"/>
    <x v="111"/>
    <x v="6"/>
    <x v="9"/>
    <x v="30"/>
    <x v="0"/>
    <x v="0"/>
    <x v="22"/>
    <x v="0"/>
    <x v="3"/>
    <x v="15"/>
    <x v="76"/>
    <x v="4"/>
    <x v="0"/>
  </r>
  <r>
    <x v="284"/>
    <x v="126"/>
    <x v="126"/>
    <x v="2"/>
    <x v="9"/>
    <x v="3"/>
    <x v="0"/>
    <x v="0"/>
    <x v="11"/>
    <x v="0"/>
    <x v="3"/>
    <x v="15"/>
    <x v="77"/>
    <x v="4"/>
    <x v="0"/>
  </r>
  <r>
    <x v="285"/>
    <x v="21"/>
    <x v="21"/>
    <x v="1"/>
    <x v="9"/>
    <x v="22"/>
    <x v="0"/>
    <x v="0"/>
    <x v="21"/>
    <x v="0"/>
    <x v="3"/>
    <x v="15"/>
    <x v="78"/>
    <x v="4"/>
    <x v="0"/>
  </r>
  <r>
    <x v="286"/>
    <x v="51"/>
    <x v="51"/>
    <x v="5"/>
    <x v="9"/>
    <x v="3"/>
    <x v="0"/>
    <x v="0"/>
    <x v="11"/>
    <x v="0"/>
    <x v="3"/>
    <x v="15"/>
    <x v="79"/>
    <x v="4"/>
    <x v="0"/>
  </r>
  <r>
    <x v="287"/>
    <x v="124"/>
    <x v="124"/>
    <x v="1"/>
    <x v="9"/>
    <x v="17"/>
    <x v="0"/>
    <x v="0"/>
    <x v="15"/>
    <x v="0"/>
    <x v="3"/>
    <x v="15"/>
    <x v="78"/>
    <x v="4"/>
    <x v="0"/>
  </r>
  <r>
    <x v="288"/>
    <x v="74"/>
    <x v="74"/>
    <x v="3"/>
    <x v="9"/>
    <x v="94"/>
    <x v="0"/>
    <x v="0"/>
    <x v="83"/>
    <x v="0"/>
    <x v="3"/>
    <x v="15"/>
    <x v="80"/>
    <x v="4"/>
    <x v="3"/>
  </r>
  <r>
    <x v="289"/>
    <x v="127"/>
    <x v="127"/>
    <x v="1"/>
    <x v="9"/>
    <x v="94"/>
    <x v="0"/>
    <x v="0"/>
    <x v="83"/>
    <x v="0"/>
    <x v="3"/>
    <x v="15"/>
    <x v="80"/>
    <x v="4"/>
    <x v="5"/>
  </r>
  <r>
    <x v="290"/>
    <x v="88"/>
    <x v="88"/>
    <x v="0"/>
    <x v="9"/>
    <x v="94"/>
    <x v="0"/>
    <x v="0"/>
    <x v="83"/>
    <x v="0"/>
    <x v="3"/>
    <x v="15"/>
    <x v="80"/>
    <x v="4"/>
    <x v="0"/>
  </r>
  <r>
    <x v="291"/>
    <x v="9"/>
    <x v="9"/>
    <x v="1"/>
    <x v="9"/>
    <x v="94"/>
    <x v="0"/>
    <x v="0"/>
    <x v="83"/>
    <x v="0"/>
    <x v="3"/>
    <x v="15"/>
    <x v="80"/>
    <x v="4"/>
    <x v="0"/>
  </r>
  <r>
    <x v="292"/>
    <x v="108"/>
    <x v="108"/>
    <x v="1"/>
    <x v="9"/>
    <x v="94"/>
    <x v="0"/>
    <x v="0"/>
    <x v="83"/>
    <x v="0"/>
    <x v="3"/>
    <x v="15"/>
    <x v="80"/>
    <x v="4"/>
    <x v="0"/>
  </r>
  <r>
    <x v="293"/>
    <x v="57"/>
    <x v="57"/>
    <x v="6"/>
    <x v="9"/>
    <x v="94"/>
    <x v="0"/>
    <x v="0"/>
    <x v="83"/>
    <x v="0"/>
    <x v="3"/>
    <x v="15"/>
    <x v="80"/>
    <x v="4"/>
    <x v="0"/>
  </r>
  <r>
    <x v="294"/>
    <x v="41"/>
    <x v="41"/>
    <x v="6"/>
    <x v="9"/>
    <x v="94"/>
    <x v="0"/>
    <x v="0"/>
    <x v="83"/>
    <x v="0"/>
    <x v="3"/>
    <x v="15"/>
    <x v="80"/>
    <x v="4"/>
    <x v="0"/>
  </r>
  <r>
    <x v="295"/>
    <x v="95"/>
    <x v="95"/>
    <x v="2"/>
    <x v="9"/>
    <x v="3"/>
    <x v="0"/>
    <x v="0"/>
    <x v="11"/>
    <x v="0"/>
    <x v="3"/>
    <x v="15"/>
    <x v="70"/>
    <x v="4"/>
    <x v="0"/>
  </r>
  <r>
    <x v="296"/>
    <x v="94"/>
    <x v="94"/>
    <x v="2"/>
    <x v="9"/>
    <x v="3"/>
    <x v="0"/>
    <x v="0"/>
    <x v="11"/>
    <x v="0"/>
    <x v="3"/>
    <x v="15"/>
    <x v="70"/>
    <x v="4"/>
    <x v="0"/>
  </r>
  <r>
    <x v="297"/>
    <x v="93"/>
    <x v="93"/>
    <x v="2"/>
    <x v="9"/>
    <x v="3"/>
    <x v="0"/>
    <x v="0"/>
    <x v="11"/>
    <x v="0"/>
    <x v="3"/>
    <x v="15"/>
    <x v="70"/>
    <x v="4"/>
    <x v="0"/>
  </r>
  <r>
    <x v="298"/>
    <x v="121"/>
    <x v="121"/>
    <x v="2"/>
    <x v="9"/>
    <x v="28"/>
    <x v="0"/>
    <x v="0"/>
    <x v="38"/>
    <x v="0"/>
    <x v="3"/>
    <x v="15"/>
    <x v="78"/>
    <x v="4"/>
    <x v="0"/>
  </r>
  <r>
    <x v="299"/>
    <x v="122"/>
    <x v="122"/>
    <x v="2"/>
    <x v="9"/>
    <x v="31"/>
    <x v="0"/>
    <x v="0"/>
    <x v="23"/>
    <x v="0"/>
    <x v="3"/>
    <x v="15"/>
    <x v="81"/>
    <x v="4"/>
    <x v="0"/>
  </r>
  <r>
    <x v="300"/>
    <x v="96"/>
    <x v="96"/>
    <x v="6"/>
    <x v="10"/>
    <x v="75"/>
    <x v="0"/>
    <x v="0"/>
    <x v="64"/>
    <x v="0"/>
    <x v="3"/>
    <x v="15"/>
    <x v="82"/>
    <x v="4"/>
    <x v="0"/>
  </r>
  <r>
    <x v="301"/>
    <x v="75"/>
    <x v="75"/>
    <x v="3"/>
    <x v="10"/>
    <x v="44"/>
    <x v="0"/>
    <x v="0"/>
    <x v="36"/>
    <x v="0"/>
    <x v="3"/>
    <x v="15"/>
    <x v="0"/>
    <x v="4"/>
    <x v="0"/>
  </r>
  <r>
    <x v="302"/>
    <x v="13"/>
    <x v="13"/>
    <x v="1"/>
    <x v="10"/>
    <x v="47"/>
    <x v="0"/>
    <x v="0"/>
    <x v="40"/>
    <x v="0"/>
    <x v="1"/>
    <x v="15"/>
    <x v="83"/>
    <x v="4"/>
    <x v="0"/>
  </r>
  <r>
    <x v="303"/>
    <x v="45"/>
    <x v="45"/>
    <x v="6"/>
    <x v="10"/>
    <x v="47"/>
    <x v="0"/>
    <x v="0"/>
    <x v="40"/>
    <x v="0"/>
    <x v="6"/>
    <x v="26"/>
    <x v="84"/>
    <x v="4"/>
    <x v="0"/>
  </r>
  <r>
    <x v="304"/>
    <x v="128"/>
    <x v="128"/>
    <x v="3"/>
    <x v="10"/>
    <x v="35"/>
    <x v="0"/>
    <x v="0"/>
    <x v="27"/>
    <x v="0"/>
    <x v="3"/>
    <x v="15"/>
    <x v="85"/>
    <x v="4"/>
    <x v="0"/>
  </r>
  <r>
    <x v="305"/>
    <x v="34"/>
    <x v="34"/>
    <x v="6"/>
    <x v="10"/>
    <x v="47"/>
    <x v="0"/>
    <x v="0"/>
    <x v="40"/>
    <x v="0"/>
    <x v="3"/>
    <x v="15"/>
    <x v="86"/>
    <x v="4"/>
    <x v="0"/>
  </r>
  <r>
    <x v="306"/>
    <x v="95"/>
    <x v="95"/>
    <x v="2"/>
    <x v="10"/>
    <x v="95"/>
    <x v="0"/>
    <x v="0"/>
    <x v="84"/>
    <x v="0"/>
    <x v="3"/>
    <x v="15"/>
    <x v="87"/>
    <x v="4"/>
    <x v="0"/>
  </r>
  <r>
    <x v="307"/>
    <x v="28"/>
    <x v="28"/>
    <x v="4"/>
    <x v="10"/>
    <x v="47"/>
    <x v="0"/>
    <x v="0"/>
    <x v="40"/>
    <x v="0"/>
    <x v="3"/>
    <x v="15"/>
    <x v="88"/>
    <x v="4"/>
    <x v="0"/>
  </r>
  <r>
    <x v="308"/>
    <x v="88"/>
    <x v="88"/>
    <x v="0"/>
    <x v="10"/>
    <x v="47"/>
    <x v="0"/>
    <x v="0"/>
    <x v="40"/>
    <x v="0"/>
    <x v="0"/>
    <x v="15"/>
    <x v="89"/>
    <x v="4"/>
    <x v="0"/>
  </r>
  <r>
    <x v="309"/>
    <x v="26"/>
    <x v="26"/>
    <x v="1"/>
    <x v="10"/>
    <x v="39"/>
    <x v="0"/>
    <x v="0"/>
    <x v="31"/>
    <x v="0"/>
    <x v="3"/>
    <x v="15"/>
    <x v="90"/>
    <x v="4"/>
    <x v="0"/>
  </r>
  <r>
    <x v="310"/>
    <x v="54"/>
    <x v="54"/>
    <x v="5"/>
    <x v="10"/>
    <x v="47"/>
    <x v="0"/>
    <x v="0"/>
    <x v="40"/>
    <x v="0"/>
    <x v="6"/>
    <x v="15"/>
    <x v="91"/>
    <x v="4"/>
    <x v="0"/>
  </r>
  <r>
    <x v="311"/>
    <x v="109"/>
    <x v="109"/>
    <x v="7"/>
    <x v="10"/>
    <x v="35"/>
    <x v="0"/>
    <x v="0"/>
    <x v="27"/>
    <x v="0"/>
    <x v="3"/>
    <x v="15"/>
    <x v="92"/>
    <x v="4"/>
    <x v="0"/>
  </r>
  <r>
    <x v="312"/>
    <x v="57"/>
    <x v="57"/>
    <x v="6"/>
    <x v="11"/>
    <x v="23"/>
    <x v="0"/>
    <x v="0"/>
    <x v="19"/>
    <x v="0"/>
    <x v="0"/>
    <x v="27"/>
    <x v="93"/>
    <x v="0"/>
    <x v="0"/>
  </r>
  <r>
    <x v="313"/>
    <x v="65"/>
    <x v="65"/>
    <x v="7"/>
    <x v="12"/>
    <x v="22"/>
    <x v="0"/>
    <x v="0"/>
    <x v="21"/>
    <x v="0"/>
    <x v="2"/>
    <x v="28"/>
    <x v="94"/>
    <x v="0"/>
    <x v="2"/>
  </r>
  <r>
    <x v="314"/>
    <x v="65"/>
    <x v="65"/>
    <x v="7"/>
    <x v="7"/>
    <x v="22"/>
    <x v="0"/>
    <x v="0"/>
    <x v="21"/>
    <x v="0"/>
    <x v="2"/>
    <x v="28"/>
    <x v="94"/>
    <x v="0"/>
    <x v="2"/>
  </r>
  <r>
    <x v="315"/>
    <x v="65"/>
    <x v="65"/>
    <x v="7"/>
    <x v="5"/>
    <x v="22"/>
    <x v="0"/>
    <x v="0"/>
    <x v="21"/>
    <x v="0"/>
    <x v="2"/>
    <x v="28"/>
    <x v="95"/>
    <x v="3"/>
    <x v="2"/>
  </r>
  <r>
    <x v="316"/>
    <x v="65"/>
    <x v="65"/>
    <x v="7"/>
    <x v="6"/>
    <x v="22"/>
    <x v="0"/>
    <x v="0"/>
    <x v="21"/>
    <x v="0"/>
    <x v="2"/>
    <x v="28"/>
    <x v="94"/>
    <x v="0"/>
    <x v="2"/>
  </r>
  <r>
    <x v="317"/>
    <x v="129"/>
    <x v="129"/>
    <x v="7"/>
    <x v="12"/>
    <x v="15"/>
    <x v="0"/>
    <x v="0"/>
    <x v="13"/>
    <x v="0"/>
    <x v="2"/>
    <x v="28"/>
    <x v="94"/>
    <x v="0"/>
    <x v="0"/>
  </r>
  <r>
    <x v="318"/>
    <x v="129"/>
    <x v="129"/>
    <x v="7"/>
    <x v="7"/>
    <x v="15"/>
    <x v="0"/>
    <x v="0"/>
    <x v="13"/>
    <x v="0"/>
    <x v="2"/>
    <x v="28"/>
    <x v="94"/>
    <x v="0"/>
    <x v="0"/>
  </r>
  <r>
    <x v="319"/>
    <x v="119"/>
    <x v="119"/>
    <x v="2"/>
    <x v="13"/>
    <x v="30"/>
    <x v="0"/>
    <x v="0"/>
    <x v="22"/>
    <x v="0"/>
    <x v="3"/>
    <x v="29"/>
    <x v="96"/>
    <x v="4"/>
    <x v="0"/>
  </r>
  <r>
    <x v="320"/>
    <x v="103"/>
    <x v="103"/>
    <x v="2"/>
    <x v="13"/>
    <x v="96"/>
    <x v="0"/>
    <x v="0"/>
    <x v="85"/>
    <x v="0"/>
    <x v="3"/>
    <x v="29"/>
    <x v="97"/>
    <x v="4"/>
    <x v="0"/>
  </r>
  <r>
    <x v="321"/>
    <x v="30"/>
    <x v="30"/>
    <x v="4"/>
    <x v="13"/>
    <x v="97"/>
    <x v="0"/>
    <x v="0"/>
    <x v="86"/>
    <x v="0"/>
    <x v="3"/>
    <x v="29"/>
    <x v="98"/>
    <x v="4"/>
    <x v="0"/>
  </r>
  <r>
    <x v="322"/>
    <x v="12"/>
    <x v="12"/>
    <x v="4"/>
    <x v="13"/>
    <x v="98"/>
    <x v="0"/>
    <x v="0"/>
    <x v="87"/>
    <x v="0"/>
    <x v="3"/>
    <x v="29"/>
    <x v="99"/>
    <x v="4"/>
    <x v="0"/>
  </r>
  <r>
    <x v="323"/>
    <x v="43"/>
    <x v="43"/>
    <x v="6"/>
    <x v="13"/>
    <x v="68"/>
    <x v="0"/>
    <x v="0"/>
    <x v="56"/>
    <x v="0"/>
    <x v="3"/>
    <x v="29"/>
    <x v="100"/>
    <x v="4"/>
    <x v="0"/>
  </r>
  <r>
    <x v="324"/>
    <x v="40"/>
    <x v="40"/>
    <x v="6"/>
    <x v="13"/>
    <x v="35"/>
    <x v="0"/>
    <x v="0"/>
    <x v="27"/>
    <x v="0"/>
    <x v="3"/>
    <x v="29"/>
    <x v="101"/>
    <x v="4"/>
    <x v="0"/>
  </r>
  <r>
    <x v="325"/>
    <x v="34"/>
    <x v="34"/>
    <x v="6"/>
    <x v="13"/>
    <x v="24"/>
    <x v="0"/>
    <x v="0"/>
    <x v="44"/>
    <x v="0"/>
    <x v="3"/>
    <x v="29"/>
    <x v="101"/>
    <x v="4"/>
    <x v="0"/>
  </r>
  <r>
    <x v="326"/>
    <x v="53"/>
    <x v="53"/>
    <x v="5"/>
    <x v="13"/>
    <x v="99"/>
    <x v="0"/>
    <x v="0"/>
    <x v="88"/>
    <x v="0"/>
    <x v="3"/>
    <x v="29"/>
    <x v="102"/>
    <x v="4"/>
    <x v="0"/>
  </r>
  <r>
    <x v="327"/>
    <x v="56"/>
    <x v="56"/>
    <x v="5"/>
    <x v="13"/>
    <x v="31"/>
    <x v="0"/>
    <x v="0"/>
    <x v="23"/>
    <x v="0"/>
    <x v="3"/>
    <x v="29"/>
    <x v="103"/>
    <x v="4"/>
    <x v="0"/>
  </r>
  <r>
    <x v="328"/>
    <x v="62"/>
    <x v="62"/>
    <x v="4"/>
    <x v="13"/>
    <x v="35"/>
    <x v="0"/>
    <x v="0"/>
    <x v="27"/>
    <x v="0"/>
    <x v="3"/>
    <x v="29"/>
    <x v="104"/>
    <x v="4"/>
    <x v="0"/>
  </r>
  <r>
    <x v="329"/>
    <x v="28"/>
    <x v="28"/>
    <x v="4"/>
    <x v="13"/>
    <x v="47"/>
    <x v="0"/>
    <x v="0"/>
    <x v="40"/>
    <x v="0"/>
    <x v="3"/>
    <x v="29"/>
    <x v="105"/>
    <x v="4"/>
    <x v="0"/>
  </r>
  <r>
    <x v="330"/>
    <x v="13"/>
    <x v="13"/>
    <x v="1"/>
    <x v="13"/>
    <x v="47"/>
    <x v="0"/>
    <x v="0"/>
    <x v="40"/>
    <x v="0"/>
    <x v="3"/>
    <x v="29"/>
    <x v="106"/>
    <x v="4"/>
    <x v="0"/>
  </r>
  <r>
    <x v="331"/>
    <x v="37"/>
    <x v="37"/>
    <x v="5"/>
    <x v="13"/>
    <x v="68"/>
    <x v="0"/>
    <x v="0"/>
    <x v="56"/>
    <x v="0"/>
    <x v="3"/>
    <x v="29"/>
    <x v="107"/>
    <x v="4"/>
    <x v="0"/>
  </r>
  <r>
    <x v="332"/>
    <x v="29"/>
    <x v="29"/>
    <x v="4"/>
    <x v="13"/>
    <x v="100"/>
    <x v="0"/>
    <x v="0"/>
    <x v="89"/>
    <x v="0"/>
    <x v="3"/>
    <x v="29"/>
    <x v="108"/>
    <x v="4"/>
    <x v="0"/>
  </r>
  <r>
    <x v="333"/>
    <x v="31"/>
    <x v="31"/>
    <x v="4"/>
    <x v="13"/>
    <x v="101"/>
    <x v="0"/>
    <x v="0"/>
    <x v="90"/>
    <x v="0"/>
    <x v="3"/>
    <x v="29"/>
    <x v="109"/>
    <x v="4"/>
    <x v="0"/>
  </r>
  <r>
    <x v="334"/>
    <x v="64"/>
    <x v="64"/>
    <x v="4"/>
    <x v="13"/>
    <x v="35"/>
    <x v="0"/>
    <x v="0"/>
    <x v="27"/>
    <x v="0"/>
    <x v="3"/>
    <x v="29"/>
    <x v="110"/>
    <x v="4"/>
    <x v="0"/>
  </r>
  <r>
    <x v="335"/>
    <x v="54"/>
    <x v="54"/>
    <x v="5"/>
    <x v="13"/>
    <x v="28"/>
    <x v="0"/>
    <x v="0"/>
    <x v="38"/>
    <x v="0"/>
    <x v="3"/>
    <x v="29"/>
    <x v="111"/>
    <x v="4"/>
    <x v="0"/>
  </r>
  <r>
    <x v="336"/>
    <x v="60"/>
    <x v="60"/>
    <x v="4"/>
    <x v="13"/>
    <x v="100"/>
    <x v="0"/>
    <x v="0"/>
    <x v="89"/>
    <x v="0"/>
    <x v="3"/>
    <x v="29"/>
    <x v="112"/>
    <x v="4"/>
    <x v="0"/>
  </r>
  <r>
    <x v="337"/>
    <x v="63"/>
    <x v="63"/>
    <x v="4"/>
    <x v="13"/>
    <x v="102"/>
    <x v="0"/>
    <x v="0"/>
    <x v="91"/>
    <x v="0"/>
    <x v="3"/>
    <x v="29"/>
    <x v="113"/>
    <x v="4"/>
    <x v="0"/>
  </r>
  <r>
    <x v="338"/>
    <x v="32"/>
    <x v="32"/>
    <x v="4"/>
    <x v="13"/>
    <x v="35"/>
    <x v="0"/>
    <x v="0"/>
    <x v="27"/>
    <x v="0"/>
    <x v="3"/>
    <x v="29"/>
    <x v="114"/>
    <x v="4"/>
    <x v="0"/>
  </r>
  <r>
    <x v="339"/>
    <x v="45"/>
    <x v="45"/>
    <x v="6"/>
    <x v="13"/>
    <x v="47"/>
    <x v="0"/>
    <x v="0"/>
    <x v="40"/>
    <x v="0"/>
    <x v="3"/>
    <x v="29"/>
    <x v="115"/>
    <x v="4"/>
    <x v="0"/>
  </r>
  <r>
    <x v="340"/>
    <x v="28"/>
    <x v="28"/>
    <x v="4"/>
    <x v="13"/>
    <x v="35"/>
    <x v="0"/>
    <x v="0"/>
    <x v="27"/>
    <x v="0"/>
    <x v="3"/>
    <x v="29"/>
    <x v="116"/>
    <x v="4"/>
    <x v="0"/>
  </r>
  <r>
    <x v="341"/>
    <x v="42"/>
    <x v="42"/>
    <x v="6"/>
    <x v="13"/>
    <x v="35"/>
    <x v="0"/>
    <x v="0"/>
    <x v="27"/>
    <x v="0"/>
    <x v="3"/>
    <x v="29"/>
    <x v="101"/>
    <x v="4"/>
    <x v="0"/>
  </r>
  <r>
    <x v="342"/>
    <x v="54"/>
    <x v="54"/>
    <x v="5"/>
    <x v="13"/>
    <x v="103"/>
    <x v="0"/>
    <x v="0"/>
    <x v="92"/>
    <x v="0"/>
    <x v="3"/>
    <x v="30"/>
    <x v="0"/>
    <x v="4"/>
    <x v="0"/>
  </r>
  <r>
    <x v="343"/>
    <x v="119"/>
    <x v="119"/>
    <x v="2"/>
    <x v="13"/>
    <x v="27"/>
    <x v="0"/>
    <x v="0"/>
    <x v="18"/>
    <x v="0"/>
    <x v="3"/>
    <x v="31"/>
    <x v="117"/>
    <x v="4"/>
    <x v="0"/>
  </r>
  <r>
    <x v="344"/>
    <x v="30"/>
    <x v="30"/>
    <x v="4"/>
    <x v="13"/>
    <x v="100"/>
    <x v="0"/>
    <x v="0"/>
    <x v="89"/>
    <x v="0"/>
    <x v="3"/>
    <x v="32"/>
    <x v="118"/>
    <x v="4"/>
    <x v="0"/>
  </r>
  <r>
    <x v="345"/>
    <x v="12"/>
    <x v="12"/>
    <x v="4"/>
    <x v="13"/>
    <x v="41"/>
    <x v="0"/>
    <x v="0"/>
    <x v="33"/>
    <x v="0"/>
    <x v="3"/>
    <x v="32"/>
    <x v="119"/>
    <x v="4"/>
    <x v="0"/>
  </r>
  <r>
    <x v="346"/>
    <x v="31"/>
    <x v="31"/>
    <x v="4"/>
    <x v="13"/>
    <x v="24"/>
    <x v="0"/>
    <x v="0"/>
    <x v="44"/>
    <x v="0"/>
    <x v="3"/>
    <x v="32"/>
    <x v="120"/>
    <x v="4"/>
    <x v="0"/>
  </r>
  <r>
    <x v="347"/>
    <x v="110"/>
    <x v="110"/>
    <x v="6"/>
    <x v="13"/>
    <x v="28"/>
    <x v="0"/>
    <x v="0"/>
    <x v="38"/>
    <x v="0"/>
    <x v="3"/>
    <x v="32"/>
    <x v="121"/>
    <x v="4"/>
    <x v="0"/>
  </r>
  <r>
    <x v="348"/>
    <x v="34"/>
    <x v="34"/>
    <x v="6"/>
    <x v="13"/>
    <x v="35"/>
    <x v="0"/>
    <x v="0"/>
    <x v="27"/>
    <x v="0"/>
    <x v="3"/>
    <x v="32"/>
    <x v="122"/>
    <x v="4"/>
    <x v="0"/>
  </r>
  <r>
    <x v="349"/>
    <x v="34"/>
    <x v="34"/>
    <x v="6"/>
    <x v="13"/>
    <x v="31"/>
    <x v="0"/>
    <x v="0"/>
    <x v="23"/>
    <x v="0"/>
    <x v="3"/>
    <x v="33"/>
    <x v="123"/>
    <x v="4"/>
    <x v="0"/>
  </r>
  <r>
    <x v="350"/>
    <x v="35"/>
    <x v="35"/>
    <x v="6"/>
    <x v="13"/>
    <x v="47"/>
    <x v="0"/>
    <x v="0"/>
    <x v="40"/>
    <x v="0"/>
    <x v="3"/>
    <x v="33"/>
    <x v="123"/>
    <x v="4"/>
    <x v="0"/>
  </r>
  <r>
    <x v="351"/>
    <x v="54"/>
    <x v="54"/>
    <x v="5"/>
    <x v="13"/>
    <x v="102"/>
    <x v="0"/>
    <x v="0"/>
    <x v="91"/>
    <x v="0"/>
    <x v="3"/>
    <x v="32"/>
    <x v="124"/>
    <x v="4"/>
    <x v="0"/>
  </r>
  <r>
    <x v="352"/>
    <x v="111"/>
    <x v="111"/>
    <x v="6"/>
    <x v="13"/>
    <x v="28"/>
    <x v="0"/>
    <x v="0"/>
    <x v="38"/>
    <x v="0"/>
    <x v="3"/>
    <x v="33"/>
    <x v="125"/>
    <x v="4"/>
    <x v="0"/>
  </r>
  <r>
    <x v="353"/>
    <x v="43"/>
    <x v="43"/>
    <x v="6"/>
    <x v="13"/>
    <x v="35"/>
    <x v="0"/>
    <x v="0"/>
    <x v="27"/>
    <x v="0"/>
    <x v="3"/>
    <x v="33"/>
    <x v="125"/>
    <x v="4"/>
    <x v="0"/>
  </r>
  <r>
    <x v="354"/>
    <x v="22"/>
    <x v="22"/>
    <x v="5"/>
    <x v="13"/>
    <x v="104"/>
    <x v="0"/>
    <x v="0"/>
    <x v="93"/>
    <x v="0"/>
    <x v="3"/>
    <x v="32"/>
    <x v="126"/>
    <x v="4"/>
    <x v="0"/>
  </r>
  <r>
    <x v="355"/>
    <x v="111"/>
    <x v="111"/>
    <x v="6"/>
    <x v="13"/>
    <x v="15"/>
    <x v="0"/>
    <x v="0"/>
    <x v="13"/>
    <x v="0"/>
    <x v="3"/>
    <x v="34"/>
    <x v="127"/>
    <x v="4"/>
    <x v="0"/>
  </r>
  <r>
    <x v="356"/>
    <x v="45"/>
    <x v="45"/>
    <x v="6"/>
    <x v="13"/>
    <x v="47"/>
    <x v="0"/>
    <x v="0"/>
    <x v="40"/>
    <x v="0"/>
    <x v="3"/>
    <x v="34"/>
    <x v="128"/>
    <x v="4"/>
    <x v="0"/>
  </r>
  <r>
    <x v="357"/>
    <x v="14"/>
    <x v="14"/>
    <x v="0"/>
    <x v="13"/>
    <x v="47"/>
    <x v="0"/>
    <x v="0"/>
    <x v="40"/>
    <x v="0"/>
    <x v="3"/>
    <x v="34"/>
    <x v="129"/>
    <x v="4"/>
    <x v="0"/>
  </r>
  <r>
    <x v="358"/>
    <x v="43"/>
    <x v="43"/>
    <x v="6"/>
    <x v="13"/>
    <x v="102"/>
    <x v="0"/>
    <x v="0"/>
    <x v="91"/>
    <x v="0"/>
    <x v="3"/>
    <x v="32"/>
    <x v="130"/>
    <x v="4"/>
    <x v="0"/>
  </r>
  <r>
    <x v="359"/>
    <x v="41"/>
    <x v="41"/>
    <x v="6"/>
    <x v="13"/>
    <x v="41"/>
    <x v="0"/>
    <x v="0"/>
    <x v="33"/>
    <x v="0"/>
    <x v="3"/>
    <x v="32"/>
    <x v="131"/>
    <x v="4"/>
    <x v="0"/>
  </r>
  <r>
    <x v="360"/>
    <x v="40"/>
    <x v="40"/>
    <x v="6"/>
    <x v="13"/>
    <x v="35"/>
    <x v="0"/>
    <x v="0"/>
    <x v="27"/>
    <x v="0"/>
    <x v="3"/>
    <x v="32"/>
    <x v="132"/>
    <x v="4"/>
    <x v="0"/>
  </r>
  <r>
    <x v="361"/>
    <x v="65"/>
    <x v="65"/>
    <x v="7"/>
    <x v="13"/>
    <x v="35"/>
    <x v="0"/>
    <x v="0"/>
    <x v="27"/>
    <x v="0"/>
    <x v="3"/>
    <x v="32"/>
    <x v="133"/>
    <x v="4"/>
    <x v="2"/>
  </r>
  <r>
    <x v="362"/>
    <x v="119"/>
    <x v="119"/>
    <x v="2"/>
    <x v="13"/>
    <x v="102"/>
    <x v="0"/>
    <x v="0"/>
    <x v="91"/>
    <x v="0"/>
    <x v="3"/>
    <x v="32"/>
    <x v="134"/>
    <x v="4"/>
    <x v="0"/>
  </r>
  <r>
    <x v="363"/>
    <x v="3"/>
    <x v="3"/>
    <x v="2"/>
    <x v="13"/>
    <x v="35"/>
    <x v="0"/>
    <x v="0"/>
    <x v="27"/>
    <x v="0"/>
    <x v="3"/>
    <x v="32"/>
    <x v="135"/>
    <x v="4"/>
    <x v="0"/>
  </r>
  <r>
    <x v="364"/>
    <x v="127"/>
    <x v="127"/>
    <x v="1"/>
    <x v="13"/>
    <x v="100"/>
    <x v="0"/>
    <x v="0"/>
    <x v="89"/>
    <x v="0"/>
    <x v="3"/>
    <x v="32"/>
    <x v="136"/>
    <x v="4"/>
    <x v="5"/>
  </r>
  <r>
    <x v="365"/>
    <x v="5"/>
    <x v="5"/>
    <x v="0"/>
    <x v="13"/>
    <x v="47"/>
    <x v="0"/>
    <x v="0"/>
    <x v="40"/>
    <x v="0"/>
    <x v="3"/>
    <x v="34"/>
    <x v="137"/>
    <x v="4"/>
    <x v="0"/>
  </r>
  <r>
    <x v="366"/>
    <x v="58"/>
    <x v="58"/>
    <x v="0"/>
    <x v="13"/>
    <x v="47"/>
    <x v="0"/>
    <x v="0"/>
    <x v="40"/>
    <x v="0"/>
    <x v="3"/>
    <x v="32"/>
    <x v="138"/>
    <x v="4"/>
    <x v="0"/>
  </r>
  <r>
    <x v="367"/>
    <x v="24"/>
    <x v="24"/>
    <x v="1"/>
    <x v="14"/>
    <x v="22"/>
    <x v="0"/>
    <x v="0"/>
    <x v="21"/>
    <x v="0"/>
    <x v="3"/>
    <x v="15"/>
    <x v="139"/>
    <x v="4"/>
    <x v="0"/>
  </r>
  <r>
    <x v="368"/>
    <x v="25"/>
    <x v="25"/>
    <x v="1"/>
    <x v="14"/>
    <x v="22"/>
    <x v="0"/>
    <x v="0"/>
    <x v="21"/>
    <x v="0"/>
    <x v="3"/>
    <x v="15"/>
    <x v="139"/>
    <x v="4"/>
    <x v="0"/>
  </r>
  <r>
    <x v="369"/>
    <x v="34"/>
    <x v="34"/>
    <x v="6"/>
    <x v="14"/>
    <x v="31"/>
    <x v="0"/>
    <x v="0"/>
    <x v="23"/>
    <x v="0"/>
    <x v="3"/>
    <x v="15"/>
    <x v="139"/>
    <x v="4"/>
    <x v="0"/>
  </r>
  <r>
    <x v="370"/>
    <x v="40"/>
    <x v="40"/>
    <x v="6"/>
    <x v="14"/>
    <x v="31"/>
    <x v="0"/>
    <x v="0"/>
    <x v="23"/>
    <x v="0"/>
    <x v="3"/>
    <x v="15"/>
    <x v="139"/>
    <x v="4"/>
    <x v="0"/>
  </r>
  <r>
    <x v="371"/>
    <x v="127"/>
    <x v="127"/>
    <x v="1"/>
    <x v="14"/>
    <x v="31"/>
    <x v="0"/>
    <x v="0"/>
    <x v="23"/>
    <x v="0"/>
    <x v="3"/>
    <x v="15"/>
    <x v="139"/>
    <x v="4"/>
    <x v="5"/>
  </r>
  <r>
    <x v="372"/>
    <x v="98"/>
    <x v="98"/>
    <x v="0"/>
    <x v="14"/>
    <x v="15"/>
    <x v="0"/>
    <x v="0"/>
    <x v="13"/>
    <x v="0"/>
    <x v="3"/>
    <x v="15"/>
    <x v="139"/>
    <x v="4"/>
    <x v="0"/>
  </r>
  <r>
    <x v="373"/>
    <x v="14"/>
    <x v="14"/>
    <x v="0"/>
    <x v="14"/>
    <x v="28"/>
    <x v="0"/>
    <x v="0"/>
    <x v="38"/>
    <x v="0"/>
    <x v="3"/>
    <x v="15"/>
    <x v="139"/>
    <x v="4"/>
    <x v="0"/>
  </r>
  <r>
    <x v="374"/>
    <x v="130"/>
    <x v="130"/>
    <x v="7"/>
    <x v="14"/>
    <x v="31"/>
    <x v="0"/>
    <x v="0"/>
    <x v="23"/>
    <x v="0"/>
    <x v="3"/>
    <x v="15"/>
    <x v="139"/>
    <x v="4"/>
    <x v="0"/>
  </r>
  <r>
    <x v="375"/>
    <x v="118"/>
    <x v="118"/>
    <x v="6"/>
    <x v="14"/>
    <x v="31"/>
    <x v="0"/>
    <x v="0"/>
    <x v="23"/>
    <x v="0"/>
    <x v="3"/>
    <x v="15"/>
    <x v="139"/>
    <x v="4"/>
    <x v="0"/>
  </r>
  <r>
    <x v="376"/>
    <x v="18"/>
    <x v="18"/>
    <x v="1"/>
    <x v="14"/>
    <x v="31"/>
    <x v="0"/>
    <x v="0"/>
    <x v="23"/>
    <x v="0"/>
    <x v="3"/>
    <x v="15"/>
    <x v="139"/>
    <x v="4"/>
    <x v="0"/>
  </r>
  <r>
    <x v="377"/>
    <x v="41"/>
    <x v="41"/>
    <x v="6"/>
    <x v="14"/>
    <x v="28"/>
    <x v="0"/>
    <x v="0"/>
    <x v="38"/>
    <x v="0"/>
    <x v="3"/>
    <x v="15"/>
    <x v="140"/>
    <x v="4"/>
    <x v="0"/>
  </r>
  <r>
    <x v="378"/>
    <x v="54"/>
    <x v="54"/>
    <x v="5"/>
    <x v="14"/>
    <x v="28"/>
    <x v="0"/>
    <x v="0"/>
    <x v="38"/>
    <x v="0"/>
    <x v="3"/>
    <x v="15"/>
    <x v="140"/>
    <x v="4"/>
    <x v="0"/>
  </r>
  <r>
    <x v="379"/>
    <x v="0"/>
    <x v="0"/>
    <x v="0"/>
    <x v="14"/>
    <x v="105"/>
    <x v="0"/>
    <x v="0"/>
    <x v="94"/>
    <x v="0"/>
    <x v="3"/>
    <x v="15"/>
    <x v="140"/>
    <x v="4"/>
    <x v="0"/>
  </r>
  <r>
    <x v="380"/>
    <x v="1"/>
    <x v="1"/>
    <x v="0"/>
    <x v="14"/>
    <x v="28"/>
    <x v="0"/>
    <x v="0"/>
    <x v="38"/>
    <x v="0"/>
    <x v="3"/>
    <x v="15"/>
    <x v="140"/>
    <x v="4"/>
    <x v="0"/>
  </r>
  <r>
    <x v="381"/>
    <x v="131"/>
    <x v="131"/>
    <x v="5"/>
    <x v="14"/>
    <x v="28"/>
    <x v="0"/>
    <x v="0"/>
    <x v="38"/>
    <x v="0"/>
    <x v="3"/>
    <x v="15"/>
    <x v="140"/>
    <x v="4"/>
    <x v="0"/>
  </r>
  <r>
    <x v="382"/>
    <x v="56"/>
    <x v="56"/>
    <x v="5"/>
    <x v="14"/>
    <x v="1"/>
    <x v="0"/>
    <x v="0"/>
    <x v="1"/>
    <x v="0"/>
    <x v="3"/>
    <x v="15"/>
    <x v="141"/>
    <x v="4"/>
    <x v="0"/>
  </r>
  <r>
    <x v="383"/>
    <x v="45"/>
    <x v="45"/>
    <x v="6"/>
    <x v="14"/>
    <x v="105"/>
    <x v="0"/>
    <x v="0"/>
    <x v="94"/>
    <x v="0"/>
    <x v="3"/>
    <x v="15"/>
    <x v="142"/>
    <x v="4"/>
    <x v="0"/>
  </r>
  <r>
    <x v="384"/>
    <x v="18"/>
    <x v="18"/>
    <x v="1"/>
    <x v="14"/>
    <x v="47"/>
    <x v="0"/>
    <x v="0"/>
    <x v="40"/>
    <x v="0"/>
    <x v="3"/>
    <x v="15"/>
    <x v="143"/>
    <x v="4"/>
    <x v="0"/>
  </r>
  <r>
    <x v="385"/>
    <x v="104"/>
    <x v="104"/>
    <x v="1"/>
    <x v="14"/>
    <x v="47"/>
    <x v="0"/>
    <x v="0"/>
    <x v="40"/>
    <x v="0"/>
    <x v="3"/>
    <x v="15"/>
    <x v="144"/>
    <x v="4"/>
    <x v="0"/>
  </r>
  <r>
    <x v="386"/>
    <x v="107"/>
    <x v="107"/>
    <x v="1"/>
    <x v="14"/>
    <x v="47"/>
    <x v="0"/>
    <x v="0"/>
    <x v="40"/>
    <x v="0"/>
    <x v="3"/>
    <x v="15"/>
    <x v="145"/>
    <x v="4"/>
    <x v="0"/>
  </r>
  <r>
    <x v="387"/>
    <x v="12"/>
    <x v="12"/>
    <x v="4"/>
    <x v="14"/>
    <x v="100"/>
    <x v="0"/>
    <x v="0"/>
    <x v="89"/>
    <x v="0"/>
    <x v="3"/>
    <x v="15"/>
    <x v="146"/>
    <x v="4"/>
    <x v="0"/>
  </r>
  <r>
    <x v="388"/>
    <x v="30"/>
    <x v="30"/>
    <x v="4"/>
    <x v="14"/>
    <x v="100"/>
    <x v="0"/>
    <x v="0"/>
    <x v="89"/>
    <x v="0"/>
    <x v="3"/>
    <x v="15"/>
    <x v="146"/>
    <x v="4"/>
    <x v="0"/>
  </r>
  <r>
    <x v="389"/>
    <x v="14"/>
    <x v="14"/>
    <x v="0"/>
    <x v="14"/>
    <x v="100"/>
    <x v="0"/>
    <x v="0"/>
    <x v="89"/>
    <x v="0"/>
    <x v="3"/>
    <x v="15"/>
    <x v="147"/>
    <x v="4"/>
    <x v="0"/>
  </r>
  <r>
    <x v="390"/>
    <x v="16"/>
    <x v="16"/>
    <x v="0"/>
    <x v="14"/>
    <x v="100"/>
    <x v="0"/>
    <x v="0"/>
    <x v="89"/>
    <x v="0"/>
    <x v="3"/>
    <x v="15"/>
    <x v="148"/>
    <x v="4"/>
    <x v="0"/>
  </r>
  <r>
    <x v="391"/>
    <x v="27"/>
    <x v="27"/>
    <x v="1"/>
    <x v="14"/>
    <x v="100"/>
    <x v="0"/>
    <x v="0"/>
    <x v="89"/>
    <x v="0"/>
    <x v="3"/>
    <x v="15"/>
    <x v="149"/>
    <x v="4"/>
    <x v="0"/>
  </r>
  <r>
    <x v="392"/>
    <x v="103"/>
    <x v="103"/>
    <x v="2"/>
    <x v="13"/>
    <x v="22"/>
    <x v="0"/>
    <x v="0"/>
    <x v="21"/>
    <x v="0"/>
    <x v="3"/>
    <x v="15"/>
    <x v="150"/>
    <x v="4"/>
    <x v="0"/>
  </r>
  <r>
    <x v="393"/>
    <x v="123"/>
    <x v="123"/>
    <x v="2"/>
    <x v="13"/>
    <x v="69"/>
    <x v="0"/>
    <x v="0"/>
    <x v="57"/>
    <x v="0"/>
    <x v="3"/>
    <x v="15"/>
    <x v="150"/>
    <x v="4"/>
    <x v="0"/>
  </r>
  <r>
    <x v="394"/>
    <x v="56"/>
    <x v="56"/>
    <x v="5"/>
    <x v="13"/>
    <x v="22"/>
    <x v="0"/>
    <x v="0"/>
    <x v="21"/>
    <x v="0"/>
    <x v="3"/>
    <x v="15"/>
    <x v="150"/>
    <x v="4"/>
    <x v="0"/>
  </r>
  <r>
    <x v="395"/>
    <x v="91"/>
    <x v="91"/>
    <x v="3"/>
    <x v="2"/>
    <x v="36"/>
    <x v="0"/>
    <x v="0"/>
    <x v="95"/>
    <x v="0"/>
    <x v="7"/>
    <x v="35"/>
    <x v="151"/>
    <x v="1"/>
    <x v="0"/>
  </r>
  <r>
    <x v="396"/>
    <x v="132"/>
    <x v="132"/>
    <x v="3"/>
    <x v="2"/>
    <x v="106"/>
    <x v="0"/>
    <x v="0"/>
    <x v="96"/>
    <x v="0"/>
    <x v="7"/>
    <x v="36"/>
    <x v="0"/>
    <x v="1"/>
    <x v="0"/>
  </r>
  <r>
    <x v="397"/>
    <x v="133"/>
    <x v="133"/>
    <x v="3"/>
    <x v="2"/>
    <x v="107"/>
    <x v="0"/>
    <x v="0"/>
    <x v="97"/>
    <x v="0"/>
    <x v="7"/>
    <x v="36"/>
    <x v="0"/>
    <x v="1"/>
    <x v="0"/>
  </r>
  <r>
    <x v="398"/>
    <x v="72"/>
    <x v="72"/>
    <x v="3"/>
    <x v="2"/>
    <x v="108"/>
    <x v="0"/>
    <x v="0"/>
    <x v="98"/>
    <x v="0"/>
    <x v="7"/>
    <x v="36"/>
    <x v="0"/>
    <x v="1"/>
    <x v="0"/>
  </r>
  <r>
    <x v="399"/>
    <x v="134"/>
    <x v="134"/>
    <x v="3"/>
    <x v="2"/>
    <x v="109"/>
    <x v="0"/>
    <x v="0"/>
    <x v="99"/>
    <x v="0"/>
    <x v="7"/>
    <x v="37"/>
    <x v="0"/>
    <x v="1"/>
    <x v="0"/>
  </r>
  <r>
    <x v="400"/>
    <x v="73"/>
    <x v="73"/>
    <x v="3"/>
    <x v="2"/>
    <x v="110"/>
    <x v="0"/>
    <x v="0"/>
    <x v="100"/>
    <x v="0"/>
    <x v="7"/>
    <x v="37"/>
    <x v="0"/>
    <x v="1"/>
    <x v="0"/>
  </r>
  <r>
    <x v="401"/>
    <x v="125"/>
    <x v="125"/>
    <x v="3"/>
    <x v="2"/>
    <x v="111"/>
    <x v="0"/>
    <x v="0"/>
    <x v="101"/>
    <x v="0"/>
    <x v="7"/>
    <x v="36"/>
    <x v="152"/>
    <x v="1"/>
    <x v="0"/>
  </r>
  <r>
    <x v="402"/>
    <x v="82"/>
    <x v="82"/>
    <x v="3"/>
    <x v="2"/>
    <x v="112"/>
    <x v="0"/>
    <x v="0"/>
    <x v="102"/>
    <x v="0"/>
    <x v="7"/>
    <x v="38"/>
    <x v="0"/>
    <x v="1"/>
    <x v="0"/>
  </r>
  <r>
    <x v="403"/>
    <x v="70"/>
    <x v="70"/>
    <x v="3"/>
    <x v="2"/>
    <x v="113"/>
    <x v="0"/>
    <x v="0"/>
    <x v="103"/>
    <x v="0"/>
    <x v="7"/>
    <x v="39"/>
    <x v="0"/>
    <x v="1"/>
    <x v="0"/>
  </r>
  <r>
    <x v="404"/>
    <x v="135"/>
    <x v="135"/>
    <x v="3"/>
    <x v="2"/>
    <x v="114"/>
    <x v="0"/>
    <x v="0"/>
    <x v="104"/>
    <x v="0"/>
    <x v="7"/>
    <x v="37"/>
    <x v="0"/>
    <x v="1"/>
    <x v="0"/>
  </r>
  <r>
    <x v="405"/>
    <x v="11"/>
    <x v="11"/>
    <x v="3"/>
    <x v="2"/>
    <x v="36"/>
    <x v="0"/>
    <x v="0"/>
    <x v="95"/>
    <x v="0"/>
    <x v="7"/>
    <x v="36"/>
    <x v="152"/>
    <x v="1"/>
    <x v="0"/>
  </r>
  <r>
    <x v="406"/>
    <x v="71"/>
    <x v="71"/>
    <x v="3"/>
    <x v="2"/>
    <x v="115"/>
    <x v="0"/>
    <x v="0"/>
    <x v="105"/>
    <x v="0"/>
    <x v="7"/>
    <x v="36"/>
    <x v="0"/>
    <x v="1"/>
    <x v="0"/>
  </r>
  <r>
    <x v="407"/>
    <x v="136"/>
    <x v="136"/>
    <x v="3"/>
    <x v="2"/>
    <x v="116"/>
    <x v="0"/>
    <x v="0"/>
    <x v="106"/>
    <x v="0"/>
    <x v="7"/>
    <x v="37"/>
    <x v="0"/>
    <x v="1"/>
    <x v="0"/>
  </r>
  <r>
    <x v="408"/>
    <x v="137"/>
    <x v="137"/>
    <x v="3"/>
    <x v="2"/>
    <x v="117"/>
    <x v="0"/>
    <x v="0"/>
    <x v="107"/>
    <x v="0"/>
    <x v="7"/>
    <x v="37"/>
    <x v="0"/>
    <x v="1"/>
    <x v="0"/>
  </r>
  <r>
    <x v="409"/>
    <x v="128"/>
    <x v="128"/>
    <x v="3"/>
    <x v="2"/>
    <x v="118"/>
    <x v="0"/>
    <x v="0"/>
    <x v="108"/>
    <x v="0"/>
    <x v="7"/>
    <x v="37"/>
    <x v="0"/>
    <x v="1"/>
    <x v="0"/>
  </r>
  <r>
    <x v="410"/>
    <x v="75"/>
    <x v="75"/>
    <x v="3"/>
    <x v="2"/>
    <x v="119"/>
    <x v="0"/>
    <x v="0"/>
    <x v="109"/>
    <x v="0"/>
    <x v="7"/>
    <x v="37"/>
    <x v="0"/>
    <x v="1"/>
    <x v="0"/>
  </r>
  <r>
    <x v="411"/>
    <x v="77"/>
    <x v="77"/>
    <x v="3"/>
    <x v="2"/>
    <x v="120"/>
    <x v="0"/>
    <x v="0"/>
    <x v="110"/>
    <x v="0"/>
    <x v="7"/>
    <x v="40"/>
    <x v="0"/>
    <x v="1"/>
    <x v="0"/>
  </r>
  <r>
    <x v="412"/>
    <x v="80"/>
    <x v="80"/>
    <x v="3"/>
    <x v="2"/>
    <x v="121"/>
    <x v="0"/>
    <x v="0"/>
    <x v="111"/>
    <x v="0"/>
    <x v="7"/>
    <x v="40"/>
    <x v="0"/>
    <x v="1"/>
    <x v="0"/>
  </r>
  <r>
    <x v="413"/>
    <x v="76"/>
    <x v="76"/>
    <x v="3"/>
    <x v="2"/>
    <x v="122"/>
    <x v="0"/>
    <x v="0"/>
    <x v="112"/>
    <x v="0"/>
    <x v="7"/>
    <x v="40"/>
    <x v="0"/>
    <x v="1"/>
    <x v="0"/>
  </r>
  <r>
    <x v="414"/>
    <x v="79"/>
    <x v="79"/>
    <x v="3"/>
    <x v="2"/>
    <x v="123"/>
    <x v="0"/>
    <x v="0"/>
    <x v="113"/>
    <x v="0"/>
    <x v="7"/>
    <x v="35"/>
    <x v="0"/>
    <x v="1"/>
    <x v="0"/>
  </r>
  <r>
    <x v="415"/>
    <x v="81"/>
    <x v="81"/>
    <x v="3"/>
    <x v="2"/>
    <x v="124"/>
    <x v="0"/>
    <x v="0"/>
    <x v="114"/>
    <x v="0"/>
    <x v="7"/>
    <x v="35"/>
    <x v="0"/>
    <x v="1"/>
    <x v="0"/>
  </r>
  <r>
    <x v="416"/>
    <x v="138"/>
    <x v="138"/>
    <x v="3"/>
    <x v="2"/>
    <x v="125"/>
    <x v="0"/>
    <x v="0"/>
    <x v="115"/>
    <x v="0"/>
    <x v="7"/>
    <x v="35"/>
    <x v="0"/>
    <x v="1"/>
    <x v="0"/>
  </r>
  <r>
    <x v="417"/>
    <x v="74"/>
    <x v="74"/>
    <x v="3"/>
    <x v="2"/>
    <x v="126"/>
    <x v="0"/>
    <x v="0"/>
    <x v="116"/>
    <x v="0"/>
    <x v="7"/>
    <x v="35"/>
    <x v="0"/>
    <x v="1"/>
    <x v="3"/>
  </r>
  <r>
    <x v="418"/>
    <x v="139"/>
    <x v="139"/>
    <x v="3"/>
    <x v="2"/>
    <x v="127"/>
    <x v="0"/>
    <x v="0"/>
    <x v="117"/>
    <x v="0"/>
    <x v="7"/>
    <x v="35"/>
    <x v="0"/>
    <x v="1"/>
    <x v="0"/>
  </r>
  <r>
    <x v="419"/>
    <x v="140"/>
    <x v="140"/>
    <x v="3"/>
    <x v="2"/>
    <x v="128"/>
    <x v="0"/>
    <x v="0"/>
    <x v="118"/>
    <x v="0"/>
    <x v="7"/>
    <x v="35"/>
    <x v="0"/>
    <x v="1"/>
    <x v="0"/>
  </r>
  <r>
    <x v="420"/>
    <x v="141"/>
    <x v="141"/>
    <x v="3"/>
    <x v="2"/>
    <x v="129"/>
    <x v="0"/>
    <x v="0"/>
    <x v="119"/>
    <x v="0"/>
    <x v="7"/>
    <x v="35"/>
    <x v="0"/>
    <x v="1"/>
    <x v="0"/>
  </r>
  <r>
    <x v="421"/>
    <x v="78"/>
    <x v="78"/>
    <x v="3"/>
    <x v="2"/>
    <x v="130"/>
    <x v="0"/>
    <x v="0"/>
    <x v="120"/>
    <x v="0"/>
    <x v="7"/>
    <x v="35"/>
    <x v="0"/>
    <x v="1"/>
    <x v="0"/>
  </r>
  <r>
    <x v="422"/>
    <x v="142"/>
    <x v="142"/>
    <x v="3"/>
    <x v="2"/>
    <x v="131"/>
    <x v="0"/>
    <x v="0"/>
    <x v="121"/>
    <x v="0"/>
    <x v="7"/>
    <x v="35"/>
    <x v="0"/>
    <x v="1"/>
    <x v="0"/>
  </r>
  <r>
    <x v="423"/>
    <x v="143"/>
    <x v="143"/>
    <x v="3"/>
    <x v="2"/>
    <x v="132"/>
    <x v="0"/>
    <x v="0"/>
    <x v="122"/>
    <x v="0"/>
    <x v="7"/>
    <x v="35"/>
    <x v="0"/>
    <x v="1"/>
    <x v="0"/>
  </r>
  <r>
    <x v="424"/>
    <x v="92"/>
    <x v="92"/>
    <x v="3"/>
    <x v="2"/>
    <x v="36"/>
    <x v="0"/>
    <x v="0"/>
    <x v="95"/>
    <x v="0"/>
    <x v="7"/>
    <x v="35"/>
    <x v="0"/>
    <x v="1"/>
    <x v="0"/>
  </r>
  <r>
    <x v="425"/>
    <x v="144"/>
    <x v="144"/>
    <x v="3"/>
    <x v="2"/>
    <x v="36"/>
    <x v="0"/>
    <x v="0"/>
    <x v="95"/>
    <x v="0"/>
    <x v="7"/>
    <x v="35"/>
    <x v="153"/>
    <x v="1"/>
    <x v="0"/>
  </r>
  <r>
    <x v="426"/>
    <x v="66"/>
    <x v="66"/>
    <x v="2"/>
    <x v="2"/>
    <x v="25"/>
    <x v="0"/>
    <x v="0"/>
    <x v="28"/>
    <x v="0"/>
    <x v="3"/>
    <x v="15"/>
    <x v="154"/>
    <x v="1"/>
    <x v="0"/>
  </r>
  <r>
    <x v="427"/>
    <x v="67"/>
    <x v="67"/>
    <x v="2"/>
    <x v="2"/>
    <x v="133"/>
    <x v="0"/>
    <x v="0"/>
    <x v="123"/>
    <x v="0"/>
    <x v="3"/>
    <x v="15"/>
    <x v="155"/>
    <x v="1"/>
    <x v="0"/>
  </r>
  <r>
    <x v="428"/>
    <x v="68"/>
    <x v="68"/>
    <x v="2"/>
    <x v="2"/>
    <x v="134"/>
    <x v="0"/>
    <x v="0"/>
    <x v="124"/>
    <x v="0"/>
    <x v="3"/>
    <x v="15"/>
    <x v="156"/>
    <x v="1"/>
    <x v="0"/>
  </r>
  <r>
    <x v="429"/>
    <x v="3"/>
    <x v="3"/>
    <x v="2"/>
    <x v="2"/>
    <x v="135"/>
    <x v="0"/>
    <x v="0"/>
    <x v="125"/>
    <x v="0"/>
    <x v="3"/>
    <x v="15"/>
    <x v="157"/>
    <x v="1"/>
    <x v="0"/>
  </r>
  <r>
    <x v="430"/>
    <x v="112"/>
    <x v="112"/>
    <x v="2"/>
    <x v="2"/>
    <x v="136"/>
    <x v="0"/>
    <x v="0"/>
    <x v="126"/>
    <x v="0"/>
    <x v="3"/>
    <x v="15"/>
    <x v="157"/>
    <x v="1"/>
    <x v="4"/>
  </r>
  <r>
    <x v="431"/>
    <x v="120"/>
    <x v="120"/>
    <x v="2"/>
    <x v="2"/>
    <x v="137"/>
    <x v="0"/>
    <x v="0"/>
    <x v="127"/>
    <x v="0"/>
    <x v="3"/>
    <x v="15"/>
    <x v="158"/>
    <x v="1"/>
    <x v="0"/>
  </r>
  <r>
    <x v="432"/>
    <x v="123"/>
    <x v="123"/>
    <x v="2"/>
    <x v="2"/>
    <x v="138"/>
    <x v="0"/>
    <x v="0"/>
    <x v="128"/>
    <x v="0"/>
    <x v="3"/>
    <x v="15"/>
    <x v="158"/>
    <x v="1"/>
    <x v="0"/>
  </r>
  <r>
    <x v="433"/>
    <x v="103"/>
    <x v="103"/>
    <x v="2"/>
    <x v="2"/>
    <x v="139"/>
    <x v="0"/>
    <x v="0"/>
    <x v="129"/>
    <x v="0"/>
    <x v="3"/>
    <x v="15"/>
    <x v="159"/>
    <x v="1"/>
    <x v="0"/>
  </r>
  <r>
    <x v="434"/>
    <x v="93"/>
    <x v="93"/>
    <x v="2"/>
    <x v="2"/>
    <x v="90"/>
    <x v="0"/>
    <x v="0"/>
    <x v="79"/>
    <x v="0"/>
    <x v="3"/>
    <x v="15"/>
    <x v="160"/>
    <x v="1"/>
    <x v="0"/>
  </r>
  <r>
    <x v="435"/>
    <x v="94"/>
    <x v="94"/>
    <x v="2"/>
    <x v="2"/>
    <x v="140"/>
    <x v="0"/>
    <x v="0"/>
    <x v="130"/>
    <x v="0"/>
    <x v="3"/>
    <x v="15"/>
    <x v="160"/>
    <x v="1"/>
    <x v="0"/>
  </r>
  <r>
    <x v="436"/>
    <x v="126"/>
    <x v="126"/>
    <x v="2"/>
    <x v="2"/>
    <x v="141"/>
    <x v="0"/>
    <x v="0"/>
    <x v="131"/>
    <x v="0"/>
    <x v="3"/>
    <x v="15"/>
    <x v="158"/>
    <x v="1"/>
    <x v="0"/>
  </r>
  <r>
    <x v="437"/>
    <x v="121"/>
    <x v="121"/>
    <x v="2"/>
    <x v="2"/>
    <x v="66"/>
    <x v="0"/>
    <x v="0"/>
    <x v="54"/>
    <x v="0"/>
    <x v="3"/>
    <x v="15"/>
    <x v="158"/>
    <x v="1"/>
    <x v="0"/>
  </r>
  <r>
    <x v="438"/>
    <x v="122"/>
    <x v="122"/>
    <x v="2"/>
    <x v="2"/>
    <x v="142"/>
    <x v="0"/>
    <x v="0"/>
    <x v="132"/>
    <x v="0"/>
    <x v="3"/>
    <x v="15"/>
    <x v="158"/>
    <x v="1"/>
    <x v="0"/>
  </r>
  <r>
    <x v="439"/>
    <x v="95"/>
    <x v="95"/>
    <x v="2"/>
    <x v="2"/>
    <x v="136"/>
    <x v="0"/>
    <x v="0"/>
    <x v="126"/>
    <x v="0"/>
    <x v="3"/>
    <x v="15"/>
    <x v="157"/>
    <x v="1"/>
    <x v="0"/>
  </r>
  <r>
    <x v="440"/>
    <x v="119"/>
    <x v="119"/>
    <x v="2"/>
    <x v="2"/>
    <x v="143"/>
    <x v="0"/>
    <x v="0"/>
    <x v="133"/>
    <x v="0"/>
    <x v="3"/>
    <x v="15"/>
    <x v="157"/>
    <x v="1"/>
    <x v="0"/>
  </r>
  <r>
    <x v="441"/>
    <x v="145"/>
    <x v="145"/>
    <x v="2"/>
    <x v="2"/>
    <x v="133"/>
    <x v="0"/>
    <x v="0"/>
    <x v="123"/>
    <x v="0"/>
    <x v="3"/>
    <x v="15"/>
    <x v="161"/>
    <x v="1"/>
    <x v="0"/>
  </r>
  <r>
    <x v="442"/>
    <x v="127"/>
    <x v="127"/>
    <x v="1"/>
    <x v="15"/>
    <x v="144"/>
    <x v="0"/>
    <x v="0"/>
    <x v="134"/>
    <x v="0"/>
    <x v="3"/>
    <x v="15"/>
    <x v="0"/>
    <x v="0"/>
    <x v="5"/>
  </r>
  <r>
    <x v="443"/>
    <x v="50"/>
    <x v="50"/>
    <x v="1"/>
    <x v="15"/>
    <x v="15"/>
    <x v="0"/>
    <x v="0"/>
    <x v="13"/>
    <x v="0"/>
    <x v="3"/>
    <x v="15"/>
    <x v="0"/>
    <x v="0"/>
    <x v="0"/>
  </r>
  <r>
    <x v="444"/>
    <x v="93"/>
    <x v="93"/>
    <x v="2"/>
    <x v="15"/>
    <x v="47"/>
    <x v="0"/>
    <x v="0"/>
    <x v="40"/>
    <x v="0"/>
    <x v="3"/>
    <x v="15"/>
    <x v="0"/>
    <x v="0"/>
    <x v="0"/>
  </r>
  <r>
    <x v="445"/>
    <x v="146"/>
    <x v="146"/>
    <x v="6"/>
    <x v="15"/>
    <x v="145"/>
    <x v="0"/>
    <x v="0"/>
    <x v="135"/>
    <x v="0"/>
    <x v="3"/>
    <x v="15"/>
    <x v="0"/>
    <x v="0"/>
    <x v="0"/>
  </r>
  <r>
    <x v="446"/>
    <x v="147"/>
    <x v="147"/>
    <x v="5"/>
    <x v="15"/>
    <x v="146"/>
    <x v="0"/>
    <x v="0"/>
    <x v="136"/>
    <x v="0"/>
    <x v="3"/>
    <x v="15"/>
    <x v="0"/>
    <x v="0"/>
    <x v="0"/>
  </r>
  <r>
    <x v="447"/>
    <x v="148"/>
    <x v="148"/>
    <x v="5"/>
    <x v="15"/>
    <x v="147"/>
    <x v="0"/>
    <x v="0"/>
    <x v="137"/>
    <x v="0"/>
    <x v="3"/>
    <x v="15"/>
    <x v="0"/>
    <x v="0"/>
    <x v="0"/>
  </r>
  <r>
    <x v="448"/>
    <x v="144"/>
    <x v="144"/>
    <x v="3"/>
    <x v="15"/>
    <x v="148"/>
    <x v="0"/>
    <x v="0"/>
    <x v="138"/>
    <x v="0"/>
    <x v="3"/>
    <x v="15"/>
    <x v="0"/>
    <x v="0"/>
    <x v="0"/>
  </r>
  <r>
    <x v="449"/>
    <x v="149"/>
    <x v="149"/>
    <x v="0"/>
    <x v="15"/>
    <x v="149"/>
    <x v="0"/>
    <x v="0"/>
    <x v="139"/>
    <x v="0"/>
    <x v="3"/>
    <x v="15"/>
    <x v="0"/>
    <x v="0"/>
    <x v="0"/>
  </r>
  <r>
    <x v="450"/>
    <x v="130"/>
    <x v="130"/>
    <x v="7"/>
    <x v="15"/>
    <x v="150"/>
    <x v="0"/>
    <x v="0"/>
    <x v="140"/>
    <x v="0"/>
    <x v="3"/>
    <x v="15"/>
    <x v="0"/>
    <x v="0"/>
    <x v="0"/>
  </r>
  <r>
    <x v="451"/>
    <x v="131"/>
    <x v="131"/>
    <x v="5"/>
    <x v="15"/>
    <x v="151"/>
    <x v="0"/>
    <x v="0"/>
    <x v="141"/>
    <x v="0"/>
    <x v="3"/>
    <x v="15"/>
    <x v="0"/>
    <x v="0"/>
    <x v="0"/>
  </r>
  <r>
    <x v="452"/>
    <x v="150"/>
    <x v="150"/>
    <x v="5"/>
    <x v="15"/>
    <x v="152"/>
    <x v="0"/>
    <x v="0"/>
    <x v="142"/>
    <x v="0"/>
    <x v="3"/>
    <x v="15"/>
    <x v="0"/>
    <x v="0"/>
    <x v="0"/>
  </r>
  <r>
    <x v="453"/>
    <x v="65"/>
    <x v="65"/>
    <x v="7"/>
    <x v="15"/>
    <x v="31"/>
    <x v="0"/>
    <x v="0"/>
    <x v="23"/>
    <x v="0"/>
    <x v="3"/>
    <x v="15"/>
    <x v="0"/>
    <x v="0"/>
    <x v="2"/>
  </r>
  <r>
    <x v="454"/>
    <x v="12"/>
    <x v="12"/>
    <x v="4"/>
    <x v="15"/>
    <x v="142"/>
    <x v="0"/>
    <x v="0"/>
    <x v="132"/>
    <x v="0"/>
    <x v="3"/>
    <x v="15"/>
    <x v="0"/>
    <x v="0"/>
    <x v="0"/>
  </r>
  <r>
    <x v="455"/>
    <x v="31"/>
    <x v="31"/>
    <x v="4"/>
    <x v="15"/>
    <x v="153"/>
    <x v="0"/>
    <x v="0"/>
    <x v="143"/>
    <x v="0"/>
    <x v="3"/>
    <x v="15"/>
    <x v="0"/>
    <x v="0"/>
    <x v="0"/>
  </r>
  <r>
    <x v="456"/>
    <x v="63"/>
    <x v="63"/>
    <x v="4"/>
    <x v="15"/>
    <x v="64"/>
    <x v="0"/>
    <x v="0"/>
    <x v="62"/>
    <x v="0"/>
    <x v="3"/>
    <x v="15"/>
    <x v="0"/>
    <x v="0"/>
    <x v="0"/>
  </r>
  <r>
    <x v="457"/>
    <x v="60"/>
    <x v="60"/>
    <x v="4"/>
    <x v="15"/>
    <x v="154"/>
    <x v="0"/>
    <x v="0"/>
    <x v="144"/>
    <x v="0"/>
    <x v="3"/>
    <x v="15"/>
    <x v="0"/>
    <x v="0"/>
    <x v="0"/>
  </r>
  <r>
    <x v="458"/>
    <x v="56"/>
    <x v="56"/>
    <x v="5"/>
    <x v="15"/>
    <x v="17"/>
    <x v="0"/>
    <x v="0"/>
    <x v="15"/>
    <x v="0"/>
    <x v="3"/>
    <x v="15"/>
    <x v="0"/>
    <x v="0"/>
    <x v="0"/>
  </r>
  <r>
    <x v="459"/>
    <x v="1"/>
    <x v="1"/>
    <x v="0"/>
    <x v="14"/>
    <x v="75"/>
    <x v="0"/>
    <x v="0"/>
    <x v="64"/>
    <x v="0"/>
    <x v="3"/>
    <x v="15"/>
    <x v="162"/>
    <x v="4"/>
    <x v="0"/>
  </r>
  <r>
    <x v="460"/>
    <x v="0"/>
    <x v="0"/>
    <x v="0"/>
    <x v="14"/>
    <x v="139"/>
    <x v="0"/>
    <x v="0"/>
    <x v="129"/>
    <x v="0"/>
    <x v="3"/>
    <x v="15"/>
    <x v="162"/>
    <x v="4"/>
    <x v="0"/>
  </r>
  <r>
    <x v="461"/>
    <x v="14"/>
    <x v="14"/>
    <x v="0"/>
    <x v="14"/>
    <x v="15"/>
    <x v="0"/>
    <x v="0"/>
    <x v="13"/>
    <x v="0"/>
    <x v="3"/>
    <x v="15"/>
    <x v="163"/>
    <x v="4"/>
    <x v="0"/>
  </r>
  <r>
    <x v="462"/>
    <x v="17"/>
    <x v="17"/>
    <x v="0"/>
    <x v="14"/>
    <x v="28"/>
    <x v="0"/>
    <x v="0"/>
    <x v="38"/>
    <x v="0"/>
    <x v="3"/>
    <x v="15"/>
    <x v="163"/>
    <x v="4"/>
    <x v="0"/>
  </r>
</pivotCacheRecords>
</file>

<file path=xl/pivotCache/pivotCacheRecords2.xml><?xml version="1.0" encoding="utf-8"?>
<pivotCacheRecords xmlns="http://schemas.openxmlformats.org/spreadsheetml/2006/main" xmlns:r="http://schemas.openxmlformats.org/officeDocument/2006/relationships" count="498">
  <r>
    <x v="0"/>
    <x v="0"/>
    <x v="0"/>
    <x v="0"/>
    <x v="0"/>
    <x v="0"/>
    <x v="0"/>
    <x v="0"/>
    <x v="0"/>
    <x v="0"/>
    <x v="0"/>
    <x v="0"/>
    <x v="0"/>
    <x v="0"/>
    <x v="0"/>
  </r>
  <r>
    <x v="1"/>
    <x v="0"/>
    <x v="0"/>
    <x v="0"/>
    <x v="0"/>
    <x v="1"/>
    <x v="0"/>
    <x v="0"/>
    <x v="1"/>
    <x v="0"/>
    <x v="0"/>
    <x v="0"/>
    <x v="1"/>
    <x v="0"/>
    <x v="0"/>
  </r>
  <r>
    <x v="2"/>
    <x v="1"/>
    <x v="1"/>
    <x v="0"/>
    <x v="0"/>
    <x v="2"/>
    <x v="0"/>
    <x v="0"/>
    <x v="2"/>
    <x v="0"/>
    <x v="0"/>
    <x v="0"/>
    <x v="2"/>
    <x v="0"/>
    <x v="0"/>
  </r>
  <r>
    <x v="3"/>
    <x v="2"/>
    <x v="2"/>
    <x v="0"/>
    <x v="0"/>
    <x v="3"/>
    <x v="0"/>
    <x v="0"/>
    <x v="3"/>
    <x v="0"/>
    <x v="0"/>
    <x v="0"/>
    <x v="3"/>
    <x v="0"/>
    <x v="0"/>
  </r>
  <r>
    <x v="4"/>
    <x v="3"/>
    <x v="3"/>
    <x v="0"/>
    <x v="0"/>
    <x v="4"/>
    <x v="0"/>
    <x v="0"/>
    <x v="4"/>
    <x v="0"/>
    <x v="0"/>
    <x v="0"/>
    <x v="4"/>
    <x v="0"/>
    <x v="0"/>
  </r>
  <r>
    <x v="5"/>
    <x v="3"/>
    <x v="3"/>
    <x v="0"/>
    <x v="0"/>
    <x v="5"/>
    <x v="0"/>
    <x v="0"/>
    <x v="5"/>
    <x v="0"/>
    <x v="0"/>
    <x v="0"/>
    <x v="5"/>
    <x v="0"/>
    <x v="0"/>
  </r>
  <r>
    <x v="6"/>
    <x v="3"/>
    <x v="3"/>
    <x v="0"/>
    <x v="0"/>
    <x v="6"/>
    <x v="0"/>
    <x v="0"/>
    <x v="6"/>
    <x v="0"/>
    <x v="0"/>
    <x v="0"/>
    <x v="6"/>
    <x v="0"/>
    <x v="0"/>
  </r>
  <r>
    <x v="7"/>
    <x v="4"/>
    <x v="4"/>
    <x v="0"/>
    <x v="0"/>
    <x v="7"/>
    <x v="0"/>
    <x v="0"/>
    <x v="7"/>
    <x v="0"/>
    <x v="0"/>
    <x v="0"/>
    <x v="7"/>
    <x v="0"/>
    <x v="0"/>
  </r>
  <r>
    <x v="8"/>
    <x v="4"/>
    <x v="4"/>
    <x v="0"/>
    <x v="0"/>
    <x v="6"/>
    <x v="0"/>
    <x v="0"/>
    <x v="6"/>
    <x v="0"/>
    <x v="0"/>
    <x v="0"/>
    <x v="8"/>
    <x v="0"/>
    <x v="0"/>
  </r>
  <r>
    <x v="9"/>
    <x v="0"/>
    <x v="0"/>
    <x v="0"/>
    <x v="1"/>
    <x v="7"/>
    <x v="0"/>
    <x v="0"/>
    <x v="7"/>
    <x v="0"/>
    <x v="1"/>
    <x v="1"/>
    <x v="9"/>
    <x v="1"/>
    <x v="0"/>
  </r>
  <r>
    <x v="10"/>
    <x v="3"/>
    <x v="3"/>
    <x v="0"/>
    <x v="1"/>
    <x v="8"/>
    <x v="0"/>
    <x v="0"/>
    <x v="8"/>
    <x v="0"/>
    <x v="1"/>
    <x v="1"/>
    <x v="10"/>
    <x v="1"/>
    <x v="0"/>
  </r>
  <r>
    <x v="11"/>
    <x v="2"/>
    <x v="2"/>
    <x v="0"/>
    <x v="1"/>
    <x v="9"/>
    <x v="0"/>
    <x v="0"/>
    <x v="9"/>
    <x v="0"/>
    <x v="1"/>
    <x v="1"/>
    <x v="11"/>
    <x v="1"/>
    <x v="0"/>
  </r>
  <r>
    <x v="12"/>
    <x v="4"/>
    <x v="4"/>
    <x v="0"/>
    <x v="1"/>
    <x v="5"/>
    <x v="0"/>
    <x v="0"/>
    <x v="5"/>
    <x v="0"/>
    <x v="1"/>
    <x v="1"/>
    <x v="12"/>
    <x v="1"/>
    <x v="0"/>
  </r>
  <r>
    <x v="13"/>
    <x v="1"/>
    <x v="1"/>
    <x v="0"/>
    <x v="1"/>
    <x v="7"/>
    <x v="0"/>
    <x v="0"/>
    <x v="7"/>
    <x v="0"/>
    <x v="1"/>
    <x v="1"/>
    <x v="13"/>
    <x v="1"/>
    <x v="0"/>
  </r>
  <r>
    <x v="14"/>
    <x v="5"/>
    <x v="5"/>
    <x v="1"/>
    <x v="2"/>
    <x v="10"/>
    <x v="0"/>
    <x v="0"/>
    <x v="10"/>
    <x v="0"/>
    <x v="2"/>
    <x v="2"/>
    <x v="14"/>
    <x v="2"/>
    <x v="0"/>
  </r>
  <r>
    <x v="15"/>
    <x v="6"/>
    <x v="6"/>
    <x v="2"/>
    <x v="2"/>
    <x v="11"/>
    <x v="0"/>
    <x v="0"/>
    <x v="11"/>
    <x v="0"/>
    <x v="3"/>
    <x v="2"/>
    <x v="15"/>
    <x v="2"/>
    <x v="0"/>
  </r>
  <r>
    <x v="16"/>
    <x v="7"/>
    <x v="7"/>
    <x v="3"/>
    <x v="2"/>
    <x v="11"/>
    <x v="0"/>
    <x v="0"/>
    <x v="11"/>
    <x v="0"/>
    <x v="3"/>
    <x v="2"/>
    <x v="15"/>
    <x v="2"/>
    <x v="0"/>
  </r>
  <r>
    <x v="17"/>
    <x v="8"/>
    <x v="8"/>
    <x v="4"/>
    <x v="2"/>
    <x v="12"/>
    <x v="0"/>
    <x v="0"/>
    <x v="12"/>
    <x v="0"/>
    <x v="3"/>
    <x v="2"/>
    <x v="16"/>
    <x v="2"/>
    <x v="0"/>
  </r>
  <r>
    <x v="18"/>
    <x v="9"/>
    <x v="9"/>
    <x v="4"/>
    <x v="3"/>
    <x v="6"/>
    <x v="0"/>
    <x v="0"/>
    <x v="6"/>
    <x v="0"/>
    <x v="3"/>
    <x v="3"/>
    <x v="17"/>
    <x v="3"/>
    <x v="0"/>
  </r>
  <r>
    <x v="19"/>
    <x v="10"/>
    <x v="10"/>
    <x v="4"/>
    <x v="3"/>
    <x v="13"/>
    <x v="0"/>
    <x v="0"/>
    <x v="13"/>
    <x v="0"/>
    <x v="3"/>
    <x v="3"/>
    <x v="18"/>
    <x v="3"/>
    <x v="0"/>
  </r>
  <r>
    <x v="20"/>
    <x v="11"/>
    <x v="11"/>
    <x v="4"/>
    <x v="3"/>
    <x v="13"/>
    <x v="0"/>
    <x v="0"/>
    <x v="13"/>
    <x v="0"/>
    <x v="3"/>
    <x v="3"/>
    <x v="18"/>
    <x v="3"/>
    <x v="0"/>
  </r>
  <r>
    <x v="21"/>
    <x v="12"/>
    <x v="12"/>
    <x v="4"/>
    <x v="3"/>
    <x v="14"/>
    <x v="0"/>
    <x v="0"/>
    <x v="14"/>
    <x v="1"/>
    <x v="3"/>
    <x v="3"/>
    <x v="19"/>
    <x v="3"/>
    <x v="0"/>
  </r>
  <r>
    <x v="22"/>
    <x v="13"/>
    <x v="13"/>
    <x v="5"/>
    <x v="4"/>
    <x v="5"/>
    <x v="0"/>
    <x v="0"/>
    <x v="5"/>
    <x v="0"/>
    <x v="4"/>
    <x v="4"/>
    <x v="20"/>
    <x v="4"/>
    <x v="0"/>
  </r>
  <r>
    <x v="23"/>
    <x v="14"/>
    <x v="14"/>
    <x v="5"/>
    <x v="4"/>
    <x v="15"/>
    <x v="0"/>
    <x v="0"/>
    <x v="15"/>
    <x v="0"/>
    <x v="4"/>
    <x v="4"/>
    <x v="21"/>
    <x v="4"/>
    <x v="0"/>
  </r>
  <r>
    <x v="24"/>
    <x v="13"/>
    <x v="13"/>
    <x v="5"/>
    <x v="4"/>
    <x v="16"/>
    <x v="0"/>
    <x v="0"/>
    <x v="16"/>
    <x v="0"/>
    <x v="4"/>
    <x v="5"/>
    <x v="22"/>
    <x v="4"/>
    <x v="0"/>
  </r>
  <r>
    <x v="25"/>
    <x v="15"/>
    <x v="15"/>
    <x v="5"/>
    <x v="4"/>
    <x v="6"/>
    <x v="0"/>
    <x v="0"/>
    <x v="6"/>
    <x v="0"/>
    <x v="4"/>
    <x v="5"/>
    <x v="23"/>
    <x v="4"/>
    <x v="0"/>
  </r>
  <r>
    <x v="26"/>
    <x v="16"/>
    <x v="16"/>
    <x v="5"/>
    <x v="4"/>
    <x v="10"/>
    <x v="0"/>
    <x v="0"/>
    <x v="10"/>
    <x v="0"/>
    <x v="4"/>
    <x v="5"/>
    <x v="24"/>
    <x v="4"/>
    <x v="0"/>
  </r>
  <r>
    <x v="27"/>
    <x v="17"/>
    <x v="17"/>
    <x v="6"/>
    <x v="4"/>
    <x v="17"/>
    <x v="0"/>
    <x v="0"/>
    <x v="17"/>
    <x v="0"/>
    <x v="4"/>
    <x v="5"/>
    <x v="25"/>
    <x v="4"/>
    <x v="0"/>
  </r>
  <r>
    <x v="28"/>
    <x v="18"/>
    <x v="18"/>
    <x v="6"/>
    <x v="4"/>
    <x v="16"/>
    <x v="0"/>
    <x v="0"/>
    <x v="16"/>
    <x v="0"/>
    <x v="4"/>
    <x v="5"/>
    <x v="26"/>
    <x v="4"/>
    <x v="0"/>
  </r>
  <r>
    <x v="29"/>
    <x v="19"/>
    <x v="19"/>
    <x v="6"/>
    <x v="4"/>
    <x v="18"/>
    <x v="0"/>
    <x v="0"/>
    <x v="18"/>
    <x v="0"/>
    <x v="4"/>
    <x v="5"/>
    <x v="27"/>
    <x v="4"/>
    <x v="0"/>
  </r>
  <r>
    <x v="30"/>
    <x v="20"/>
    <x v="20"/>
    <x v="6"/>
    <x v="4"/>
    <x v="16"/>
    <x v="0"/>
    <x v="0"/>
    <x v="16"/>
    <x v="0"/>
    <x v="4"/>
    <x v="5"/>
    <x v="28"/>
    <x v="4"/>
    <x v="0"/>
  </r>
  <r>
    <x v="31"/>
    <x v="21"/>
    <x v="21"/>
    <x v="6"/>
    <x v="4"/>
    <x v="19"/>
    <x v="0"/>
    <x v="0"/>
    <x v="19"/>
    <x v="0"/>
    <x v="4"/>
    <x v="5"/>
    <x v="29"/>
    <x v="4"/>
    <x v="0"/>
  </r>
  <r>
    <x v="32"/>
    <x v="22"/>
    <x v="22"/>
    <x v="6"/>
    <x v="4"/>
    <x v="19"/>
    <x v="0"/>
    <x v="0"/>
    <x v="19"/>
    <x v="0"/>
    <x v="4"/>
    <x v="5"/>
    <x v="30"/>
    <x v="4"/>
    <x v="0"/>
  </r>
  <r>
    <x v="33"/>
    <x v="23"/>
    <x v="23"/>
    <x v="2"/>
    <x v="4"/>
    <x v="20"/>
    <x v="0"/>
    <x v="0"/>
    <x v="20"/>
    <x v="0"/>
    <x v="3"/>
    <x v="6"/>
    <x v="31"/>
    <x v="4"/>
    <x v="0"/>
  </r>
  <r>
    <x v="34"/>
    <x v="24"/>
    <x v="24"/>
    <x v="2"/>
    <x v="4"/>
    <x v="1"/>
    <x v="0"/>
    <x v="0"/>
    <x v="1"/>
    <x v="0"/>
    <x v="3"/>
    <x v="6"/>
    <x v="32"/>
    <x v="4"/>
    <x v="0"/>
  </r>
  <r>
    <x v="35"/>
    <x v="25"/>
    <x v="25"/>
    <x v="2"/>
    <x v="4"/>
    <x v="16"/>
    <x v="0"/>
    <x v="0"/>
    <x v="16"/>
    <x v="0"/>
    <x v="3"/>
    <x v="5"/>
    <x v="33"/>
    <x v="4"/>
    <x v="0"/>
  </r>
  <r>
    <x v="36"/>
    <x v="7"/>
    <x v="7"/>
    <x v="3"/>
    <x v="4"/>
    <x v="21"/>
    <x v="0"/>
    <x v="0"/>
    <x v="21"/>
    <x v="0"/>
    <x v="3"/>
    <x v="4"/>
    <x v="34"/>
    <x v="4"/>
    <x v="0"/>
  </r>
  <r>
    <x v="37"/>
    <x v="26"/>
    <x v="26"/>
    <x v="2"/>
    <x v="4"/>
    <x v="7"/>
    <x v="0"/>
    <x v="0"/>
    <x v="7"/>
    <x v="0"/>
    <x v="3"/>
    <x v="4"/>
    <x v="35"/>
    <x v="4"/>
    <x v="0"/>
  </r>
  <r>
    <x v="38"/>
    <x v="27"/>
    <x v="27"/>
    <x v="2"/>
    <x v="4"/>
    <x v="5"/>
    <x v="0"/>
    <x v="0"/>
    <x v="5"/>
    <x v="0"/>
    <x v="3"/>
    <x v="4"/>
    <x v="36"/>
    <x v="4"/>
    <x v="0"/>
  </r>
  <r>
    <x v="39"/>
    <x v="6"/>
    <x v="6"/>
    <x v="2"/>
    <x v="4"/>
    <x v="1"/>
    <x v="0"/>
    <x v="0"/>
    <x v="1"/>
    <x v="0"/>
    <x v="3"/>
    <x v="4"/>
    <x v="37"/>
    <x v="4"/>
    <x v="0"/>
  </r>
  <r>
    <x v="40"/>
    <x v="28"/>
    <x v="28"/>
    <x v="7"/>
    <x v="5"/>
    <x v="7"/>
    <x v="0"/>
    <x v="0"/>
    <x v="7"/>
    <x v="0"/>
    <x v="5"/>
    <x v="7"/>
    <x v="38"/>
    <x v="5"/>
    <x v="0"/>
  </r>
  <r>
    <x v="41"/>
    <x v="29"/>
    <x v="29"/>
    <x v="7"/>
    <x v="5"/>
    <x v="7"/>
    <x v="0"/>
    <x v="0"/>
    <x v="7"/>
    <x v="0"/>
    <x v="5"/>
    <x v="7"/>
    <x v="39"/>
    <x v="5"/>
    <x v="0"/>
  </r>
  <r>
    <x v="42"/>
    <x v="30"/>
    <x v="30"/>
    <x v="7"/>
    <x v="5"/>
    <x v="22"/>
    <x v="0"/>
    <x v="0"/>
    <x v="22"/>
    <x v="0"/>
    <x v="5"/>
    <x v="7"/>
    <x v="40"/>
    <x v="5"/>
    <x v="0"/>
  </r>
  <r>
    <x v="43"/>
    <x v="31"/>
    <x v="31"/>
    <x v="7"/>
    <x v="5"/>
    <x v="22"/>
    <x v="0"/>
    <x v="0"/>
    <x v="22"/>
    <x v="0"/>
    <x v="5"/>
    <x v="7"/>
    <x v="41"/>
    <x v="5"/>
    <x v="0"/>
  </r>
  <r>
    <x v="44"/>
    <x v="32"/>
    <x v="32"/>
    <x v="7"/>
    <x v="5"/>
    <x v="16"/>
    <x v="0"/>
    <x v="0"/>
    <x v="16"/>
    <x v="0"/>
    <x v="5"/>
    <x v="7"/>
    <x v="42"/>
    <x v="5"/>
    <x v="0"/>
  </r>
  <r>
    <x v="45"/>
    <x v="33"/>
    <x v="33"/>
    <x v="7"/>
    <x v="5"/>
    <x v="22"/>
    <x v="0"/>
    <x v="0"/>
    <x v="22"/>
    <x v="0"/>
    <x v="5"/>
    <x v="7"/>
    <x v="43"/>
    <x v="5"/>
    <x v="0"/>
  </r>
  <r>
    <x v="46"/>
    <x v="34"/>
    <x v="34"/>
    <x v="5"/>
    <x v="5"/>
    <x v="23"/>
    <x v="0"/>
    <x v="0"/>
    <x v="23"/>
    <x v="0"/>
    <x v="4"/>
    <x v="8"/>
    <x v="44"/>
    <x v="5"/>
    <x v="0"/>
  </r>
  <r>
    <x v="47"/>
    <x v="35"/>
    <x v="35"/>
    <x v="5"/>
    <x v="5"/>
    <x v="24"/>
    <x v="0"/>
    <x v="0"/>
    <x v="24"/>
    <x v="0"/>
    <x v="4"/>
    <x v="8"/>
    <x v="45"/>
    <x v="5"/>
    <x v="0"/>
  </r>
  <r>
    <x v="48"/>
    <x v="36"/>
    <x v="36"/>
    <x v="6"/>
    <x v="5"/>
    <x v="25"/>
    <x v="0"/>
    <x v="0"/>
    <x v="25"/>
    <x v="0"/>
    <x v="4"/>
    <x v="8"/>
    <x v="46"/>
    <x v="5"/>
    <x v="0"/>
  </r>
  <r>
    <x v="49"/>
    <x v="37"/>
    <x v="37"/>
    <x v="5"/>
    <x v="5"/>
    <x v="26"/>
    <x v="0"/>
    <x v="0"/>
    <x v="26"/>
    <x v="0"/>
    <x v="4"/>
    <x v="8"/>
    <x v="47"/>
    <x v="5"/>
    <x v="0"/>
  </r>
  <r>
    <x v="50"/>
    <x v="38"/>
    <x v="38"/>
    <x v="6"/>
    <x v="5"/>
    <x v="27"/>
    <x v="0"/>
    <x v="0"/>
    <x v="27"/>
    <x v="0"/>
    <x v="4"/>
    <x v="8"/>
    <x v="48"/>
    <x v="5"/>
    <x v="0"/>
  </r>
  <r>
    <x v="51"/>
    <x v="39"/>
    <x v="39"/>
    <x v="6"/>
    <x v="5"/>
    <x v="28"/>
    <x v="0"/>
    <x v="0"/>
    <x v="28"/>
    <x v="0"/>
    <x v="4"/>
    <x v="8"/>
    <x v="49"/>
    <x v="5"/>
    <x v="0"/>
  </r>
  <r>
    <x v="52"/>
    <x v="40"/>
    <x v="40"/>
    <x v="6"/>
    <x v="5"/>
    <x v="28"/>
    <x v="0"/>
    <x v="0"/>
    <x v="28"/>
    <x v="0"/>
    <x v="4"/>
    <x v="8"/>
    <x v="50"/>
    <x v="5"/>
    <x v="0"/>
  </r>
  <r>
    <x v="53"/>
    <x v="41"/>
    <x v="41"/>
    <x v="6"/>
    <x v="5"/>
    <x v="29"/>
    <x v="0"/>
    <x v="0"/>
    <x v="29"/>
    <x v="0"/>
    <x v="4"/>
    <x v="8"/>
    <x v="51"/>
    <x v="5"/>
    <x v="0"/>
  </r>
  <r>
    <x v="54"/>
    <x v="42"/>
    <x v="42"/>
    <x v="5"/>
    <x v="5"/>
    <x v="25"/>
    <x v="0"/>
    <x v="0"/>
    <x v="25"/>
    <x v="0"/>
    <x v="4"/>
    <x v="8"/>
    <x v="52"/>
    <x v="5"/>
    <x v="0"/>
  </r>
  <r>
    <x v="55"/>
    <x v="13"/>
    <x v="13"/>
    <x v="5"/>
    <x v="5"/>
    <x v="30"/>
    <x v="0"/>
    <x v="0"/>
    <x v="30"/>
    <x v="0"/>
    <x v="4"/>
    <x v="8"/>
    <x v="53"/>
    <x v="5"/>
    <x v="0"/>
  </r>
  <r>
    <x v="56"/>
    <x v="15"/>
    <x v="15"/>
    <x v="5"/>
    <x v="5"/>
    <x v="24"/>
    <x v="0"/>
    <x v="0"/>
    <x v="24"/>
    <x v="0"/>
    <x v="4"/>
    <x v="8"/>
    <x v="54"/>
    <x v="5"/>
    <x v="0"/>
  </r>
  <r>
    <x v="57"/>
    <x v="16"/>
    <x v="16"/>
    <x v="5"/>
    <x v="5"/>
    <x v="31"/>
    <x v="0"/>
    <x v="0"/>
    <x v="31"/>
    <x v="0"/>
    <x v="4"/>
    <x v="8"/>
    <x v="55"/>
    <x v="5"/>
    <x v="0"/>
  </r>
  <r>
    <x v="58"/>
    <x v="43"/>
    <x v="43"/>
    <x v="7"/>
    <x v="5"/>
    <x v="24"/>
    <x v="0"/>
    <x v="0"/>
    <x v="24"/>
    <x v="0"/>
    <x v="4"/>
    <x v="8"/>
    <x v="56"/>
    <x v="5"/>
    <x v="0"/>
  </r>
  <r>
    <x v="59"/>
    <x v="14"/>
    <x v="14"/>
    <x v="5"/>
    <x v="5"/>
    <x v="32"/>
    <x v="0"/>
    <x v="0"/>
    <x v="32"/>
    <x v="0"/>
    <x v="4"/>
    <x v="8"/>
    <x v="57"/>
    <x v="5"/>
    <x v="0"/>
  </r>
  <r>
    <x v="60"/>
    <x v="29"/>
    <x v="29"/>
    <x v="7"/>
    <x v="5"/>
    <x v="33"/>
    <x v="0"/>
    <x v="0"/>
    <x v="33"/>
    <x v="0"/>
    <x v="4"/>
    <x v="8"/>
    <x v="58"/>
    <x v="5"/>
    <x v="0"/>
  </r>
  <r>
    <x v="61"/>
    <x v="32"/>
    <x v="32"/>
    <x v="7"/>
    <x v="5"/>
    <x v="34"/>
    <x v="0"/>
    <x v="0"/>
    <x v="34"/>
    <x v="0"/>
    <x v="4"/>
    <x v="8"/>
    <x v="59"/>
    <x v="5"/>
    <x v="0"/>
  </r>
  <r>
    <x v="62"/>
    <x v="44"/>
    <x v="44"/>
    <x v="6"/>
    <x v="6"/>
    <x v="35"/>
    <x v="0"/>
    <x v="0"/>
    <x v="35"/>
    <x v="0"/>
    <x v="6"/>
    <x v="1"/>
    <x v="60"/>
    <x v="6"/>
    <x v="0"/>
  </r>
  <r>
    <x v="63"/>
    <x v="22"/>
    <x v="22"/>
    <x v="6"/>
    <x v="6"/>
    <x v="36"/>
    <x v="0"/>
    <x v="0"/>
    <x v="36"/>
    <x v="0"/>
    <x v="6"/>
    <x v="1"/>
    <x v="61"/>
    <x v="6"/>
    <x v="0"/>
  </r>
  <r>
    <x v="64"/>
    <x v="21"/>
    <x v="21"/>
    <x v="6"/>
    <x v="6"/>
    <x v="37"/>
    <x v="0"/>
    <x v="0"/>
    <x v="37"/>
    <x v="0"/>
    <x v="6"/>
    <x v="1"/>
    <x v="62"/>
    <x v="6"/>
    <x v="0"/>
  </r>
  <r>
    <x v="65"/>
    <x v="20"/>
    <x v="20"/>
    <x v="6"/>
    <x v="6"/>
    <x v="36"/>
    <x v="0"/>
    <x v="0"/>
    <x v="36"/>
    <x v="0"/>
    <x v="6"/>
    <x v="1"/>
    <x v="63"/>
    <x v="6"/>
    <x v="0"/>
  </r>
  <r>
    <x v="66"/>
    <x v="17"/>
    <x v="17"/>
    <x v="6"/>
    <x v="6"/>
    <x v="38"/>
    <x v="0"/>
    <x v="0"/>
    <x v="38"/>
    <x v="0"/>
    <x v="6"/>
    <x v="1"/>
    <x v="64"/>
    <x v="6"/>
    <x v="0"/>
  </r>
  <r>
    <x v="67"/>
    <x v="45"/>
    <x v="45"/>
    <x v="1"/>
    <x v="7"/>
    <x v="24"/>
    <x v="0"/>
    <x v="0"/>
    <x v="24"/>
    <x v="0"/>
    <x v="5"/>
    <x v="1"/>
    <x v="65"/>
    <x v="7"/>
    <x v="0"/>
  </r>
  <r>
    <x v="68"/>
    <x v="4"/>
    <x v="4"/>
    <x v="0"/>
    <x v="7"/>
    <x v="26"/>
    <x v="0"/>
    <x v="0"/>
    <x v="26"/>
    <x v="0"/>
    <x v="5"/>
    <x v="1"/>
    <x v="66"/>
    <x v="7"/>
    <x v="0"/>
  </r>
  <r>
    <x v="69"/>
    <x v="46"/>
    <x v="46"/>
    <x v="1"/>
    <x v="7"/>
    <x v="29"/>
    <x v="0"/>
    <x v="0"/>
    <x v="29"/>
    <x v="0"/>
    <x v="5"/>
    <x v="1"/>
    <x v="67"/>
    <x v="7"/>
    <x v="0"/>
  </r>
  <r>
    <x v="70"/>
    <x v="47"/>
    <x v="47"/>
    <x v="2"/>
    <x v="7"/>
    <x v="39"/>
    <x v="0"/>
    <x v="0"/>
    <x v="39"/>
    <x v="0"/>
    <x v="3"/>
    <x v="1"/>
    <x v="68"/>
    <x v="7"/>
    <x v="0"/>
  </r>
  <r>
    <x v="71"/>
    <x v="48"/>
    <x v="48"/>
    <x v="3"/>
    <x v="7"/>
    <x v="27"/>
    <x v="0"/>
    <x v="0"/>
    <x v="27"/>
    <x v="0"/>
    <x v="3"/>
    <x v="1"/>
    <x v="69"/>
    <x v="7"/>
    <x v="0"/>
  </r>
  <r>
    <x v="72"/>
    <x v="28"/>
    <x v="28"/>
    <x v="7"/>
    <x v="6"/>
    <x v="26"/>
    <x v="0"/>
    <x v="0"/>
    <x v="26"/>
    <x v="0"/>
    <x v="5"/>
    <x v="1"/>
    <x v="70"/>
    <x v="6"/>
    <x v="0"/>
  </r>
  <r>
    <x v="73"/>
    <x v="49"/>
    <x v="49"/>
    <x v="7"/>
    <x v="8"/>
    <x v="29"/>
    <x v="0"/>
    <x v="0"/>
    <x v="29"/>
    <x v="0"/>
    <x v="7"/>
    <x v="9"/>
    <x v="71"/>
    <x v="8"/>
    <x v="0"/>
  </r>
  <r>
    <x v="74"/>
    <x v="42"/>
    <x v="42"/>
    <x v="5"/>
    <x v="8"/>
    <x v="7"/>
    <x v="0"/>
    <x v="0"/>
    <x v="7"/>
    <x v="0"/>
    <x v="7"/>
    <x v="9"/>
    <x v="72"/>
    <x v="8"/>
    <x v="0"/>
  </r>
  <r>
    <x v="75"/>
    <x v="33"/>
    <x v="33"/>
    <x v="7"/>
    <x v="8"/>
    <x v="40"/>
    <x v="0"/>
    <x v="0"/>
    <x v="40"/>
    <x v="0"/>
    <x v="7"/>
    <x v="9"/>
    <x v="73"/>
    <x v="8"/>
    <x v="0"/>
  </r>
  <r>
    <x v="76"/>
    <x v="6"/>
    <x v="6"/>
    <x v="2"/>
    <x v="8"/>
    <x v="40"/>
    <x v="0"/>
    <x v="0"/>
    <x v="40"/>
    <x v="0"/>
    <x v="7"/>
    <x v="9"/>
    <x v="74"/>
    <x v="8"/>
    <x v="0"/>
  </r>
  <r>
    <x v="77"/>
    <x v="32"/>
    <x v="32"/>
    <x v="7"/>
    <x v="9"/>
    <x v="41"/>
    <x v="0"/>
    <x v="0"/>
    <x v="41"/>
    <x v="0"/>
    <x v="7"/>
    <x v="1"/>
    <x v="75"/>
    <x v="2"/>
    <x v="0"/>
  </r>
  <r>
    <x v="78"/>
    <x v="19"/>
    <x v="19"/>
    <x v="6"/>
    <x v="9"/>
    <x v="41"/>
    <x v="0"/>
    <x v="0"/>
    <x v="41"/>
    <x v="0"/>
    <x v="7"/>
    <x v="1"/>
    <x v="75"/>
    <x v="2"/>
    <x v="0"/>
  </r>
  <r>
    <x v="79"/>
    <x v="41"/>
    <x v="41"/>
    <x v="6"/>
    <x v="9"/>
    <x v="42"/>
    <x v="0"/>
    <x v="0"/>
    <x v="42"/>
    <x v="0"/>
    <x v="7"/>
    <x v="1"/>
    <x v="75"/>
    <x v="2"/>
    <x v="0"/>
  </r>
  <r>
    <x v="80"/>
    <x v="50"/>
    <x v="50"/>
    <x v="1"/>
    <x v="9"/>
    <x v="43"/>
    <x v="0"/>
    <x v="0"/>
    <x v="43"/>
    <x v="0"/>
    <x v="7"/>
    <x v="1"/>
    <x v="75"/>
    <x v="2"/>
    <x v="0"/>
  </r>
  <r>
    <x v="81"/>
    <x v="51"/>
    <x v="51"/>
    <x v="4"/>
    <x v="9"/>
    <x v="44"/>
    <x v="0"/>
    <x v="0"/>
    <x v="44"/>
    <x v="0"/>
    <x v="7"/>
    <x v="10"/>
    <x v="76"/>
    <x v="2"/>
    <x v="0"/>
  </r>
  <r>
    <x v="82"/>
    <x v="52"/>
    <x v="52"/>
    <x v="4"/>
    <x v="9"/>
    <x v="45"/>
    <x v="0"/>
    <x v="0"/>
    <x v="45"/>
    <x v="0"/>
    <x v="7"/>
    <x v="10"/>
    <x v="77"/>
    <x v="2"/>
    <x v="0"/>
  </r>
  <r>
    <x v="83"/>
    <x v="53"/>
    <x v="53"/>
    <x v="2"/>
    <x v="9"/>
    <x v="13"/>
    <x v="0"/>
    <x v="0"/>
    <x v="13"/>
    <x v="0"/>
    <x v="7"/>
    <x v="10"/>
    <x v="78"/>
    <x v="2"/>
    <x v="0"/>
  </r>
  <r>
    <x v="84"/>
    <x v="54"/>
    <x v="54"/>
    <x v="2"/>
    <x v="9"/>
    <x v="46"/>
    <x v="0"/>
    <x v="0"/>
    <x v="46"/>
    <x v="0"/>
    <x v="7"/>
    <x v="10"/>
    <x v="79"/>
    <x v="2"/>
    <x v="0"/>
  </r>
  <r>
    <x v="85"/>
    <x v="9"/>
    <x v="9"/>
    <x v="4"/>
    <x v="9"/>
    <x v="47"/>
    <x v="0"/>
    <x v="0"/>
    <x v="47"/>
    <x v="0"/>
    <x v="7"/>
    <x v="10"/>
    <x v="80"/>
    <x v="2"/>
    <x v="0"/>
  </r>
  <r>
    <x v="86"/>
    <x v="27"/>
    <x v="27"/>
    <x v="2"/>
    <x v="9"/>
    <x v="47"/>
    <x v="0"/>
    <x v="0"/>
    <x v="47"/>
    <x v="0"/>
    <x v="7"/>
    <x v="10"/>
    <x v="81"/>
    <x v="2"/>
    <x v="0"/>
  </r>
  <r>
    <x v="87"/>
    <x v="55"/>
    <x v="55"/>
    <x v="2"/>
    <x v="9"/>
    <x v="13"/>
    <x v="0"/>
    <x v="0"/>
    <x v="13"/>
    <x v="0"/>
    <x v="7"/>
    <x v="10"/>
    <x v="82"/>
    <x v="2"/>
    <x v="0"/>
  </r>
  <r>
    <x v="88"/>
    <x v="56"/>
    <x v="56"/>
    <x v="3"/>
    <x v="9"/>
    <x v="10"/>
    <x v="0"/>
    <x v="0"/>
    <x v="10"/>
    <x v="0"/>
    <x v="7"/>
    <x v="1"/>
    <x v="83"/>
    <x v="2"/>
    <x v="0"/>
  </r>
  <r>
    <x v="89"/>
    <x v="57"/>
    <x v="57"/>
    <x v="3"/>
    <x v="9"/>
    <x v="44"/>
    <x v="0"/>
    <x v="0"/>
    <x v="44"/>
    <x v="0"/>
    <x v="7"/>
    <x v="1"/>
    <x v="83"/>
    <x v="2"/>
    <x v="0"/>
  </r>
  <r>
    <x v="90"/>
    <x v="58"/>
    <x v="58"/>
    <x v="5"/>
    <x v="9"/>
    <x v="48"/>
    <x v="0"/>
    <x v="0"/>
    <x v="48"/>
    <x v="0"/>
    <x v="7"/>
    <x v="1"/>
    <x v="83"/>
    <x v="2"/>
    <x v="0"/>
  </r>
  <r>
    <x v="91"/>
    <x v="3"/>
    <x v="3"/>
    <x v="0"/>
    <x v="9"/>
    <x v="13"/>
    <x v="0"/>
    <x v="0"/>
    <x v="13"/>
    <x v="0"/>
    <x v="7"/>
    <x v="1"/>
    <x v="83"/>
    <x v="2"/>
    <x v="0"/>
  </r>
  <r>
    <x v="92"/>
    <x v="28"/>
    <x v="28"/>
    <x v="7"/>
    <x v="10"/>
    <x v="49"/>
    <x v="0"/>
    <x v="0"/>
    <x v="49"/>
    <x v="0"/>
    <x v="7"/>
    <x v="1"/>
    <x v="84"/>
    <x v="2"/>
    <x v="0"/>
  </r>
  <r>
    <x v="93"/>
    <x v="49"/>
    <x v="49"/>
    <x v="7"/>
    <x v="10"/>
    <x v="49"/>
    <x v="0"/>
    <x v="0"/>
    <x v="49"/>
    <x v="0"/>
    <x v="7"/>
    <x v="1"/>
    <x v="85"/>
    <x v="2"/>
    <x v="0"/>
  </r>
  <r>
    <x v="94"/>
    <x v="32"/>
    <x v="32"/>
    <x v="7"/>
    <x v="10"/>
    <x v="50"/>
    <x v="0"/>
    <x v="0"/>
    <x v="50"/>
    <x v="0"/>
    <x v="7"/>
    <x v="1"/>
    <x v="86"/>
    <x v="2"/>
    <x v="0"/>
  </r>
  <r>
    <x v="95"/>
    <x v="30"/>
    <x v="30"/>
    <x v="7"/>
    <x v="10"/>
    <x v="51"/>
    <x v="0"/>
    <x v="0"/>
    <x v="51"/>
    <x v="0"/>
    <x v="7"/>
    <x v="1"/>
    <x v="87"/>
    <x v="2"/>
    <x v="0"/>
  </r>
  <r>
    <x v="96"/>
    <x v="59"/>
    <x v="59"/>
    <x v="8"/>
    <x v="10"/>
    <x v="49"/>
    <x v="0"/>
    <x v="0"/>
    <x v="49"/>
    <x v="0"/>
    <x v="7"/>
    <x v="1"/>
    <x v="88"/>
    <x v="2"/>
    <x v="1"/>
  </r>
  <r>
    <x v="97"/>
    <x v="60"/>
    <x v="60"/>
    <x v="0"/>
    <x v="10"/>
    <x v="49"/>
    <x v="0"/>
    <x v="0"/>
    <x v="49"/>
    <x v="0"/>
    <x v="7"/>
    <x v="1"/>
    <x v="89"/>
    <x v="2"/>
    <x v="2"/>
  </r>
  <r>
    <x v="98"/>
    <x v="3"/>
    <x v="3"/>
    <x v="0"/>
    <x v="10"/>
    <x v="49"/>
    <x v="0"/>
    <x v="0"/>
    <x v="49"/>
    <x v="0"/>
    <x v="7"/>
    <x v="1"/>
    <x v="90"/>
    <x v="2"/>
    <x v="0"/>
  </r>
  <r>
    <x v="99"/>
    <x v="61"/>
    <x v="61"/>
    <x v="6"/>
    <x v="10"/>
    <x v="52"/>
    <x v="0"/>
    <x v="0"/>
    <x v="52"/>
    <x v="0"/>
    <x v="7"/>
    <x v="1"/>
    <x v="91"/>
    <x v="2"/>
    <x v="3"/>
  </r>
  <r>
    <x v="100"/>
    <x v="62"/>
    <x v="62"/>
    <x v="3"/>
    <x v="10"/>
    <x v="49"/>
    <x v="0"/>
    <x v="0"/>
    <x v="49"/>
    <x v="0"/>
    <x v="7"/>
    <x v="1"/>
    <x v="92"/>
    <x v="2"/>
    <x v="0"/>
  </r>
  <r>
    <x v="101"/>
    <x v="63"/>
    <x v="63"/>
    <x v="3"/>
    <x v="10"/>
    <x v="52"/>
    <x v="0"/>
    <x v="0"/>
    <x v="52"/>
    <x v="0"/>
    <x v="7"/>
    <x v="1"/>
    <x v="93"/>
    <x v="2"/>
    <x v="0"/>
  </r>
  <r>
    <x v="102"/>
    <x v="64"/>
    <x v="64"/>
    <x v="3"/>
    <x v="10"/>
    <x v="50"/>
    <x v="0"/>
    <x v="0"/>
    <x v="50"/>
    <x v="0"/>
    <x v="7"/>
    <x v="1"/>
    <x v="94"/>
    <x v="2"/>
    <x v="0"/>
  </r>
  <r>
    <x v="103"/>
    <x v="65"/>
    <x v="65"/>
    <x v="3"/>
    <x v="10"/>
    <x v="49"/>
    <x v="0"/>
    <x v="0"/>
    <x v="49"/>
    <x v="0"/>
    <x v="7"/>
    <x v="1"/>
    <x v="95"/>
    <x v="2"/>
    <x v="4"/>
  </r>
  <r>
    <x v="104"/>
    <x v="66"/>
    <x v="66"/>
    <x v="3"/>
    <x v="10"/>
    <x v="53"/>
    <x v="0"/>
    <x v="0"/>
    <x v="53"/>
    <x v="0"/>
    <x v="7"/>
    <x v="1"/>
    <x v="96"/>
    <x v="2"/>
    <x v="0"/>
  </r>
  <r>
    <x v="105"/>
    <x v="45"/>
    <x v="45"/>
    <x v="1"/>
    <x v="10"/>
    <x v="49"/>
    <x v="0"/>
    <x v="0"/>
    <x v="49"/>
    <x v="0"/>
    <x v="7"/>
    <x v="1"/>
    <x v="97"/>
    <x v="2"/>
    <x v="0"/>
  </r>
  <r>
    <x v="106"/>
    <x v="67"/>
    <x v="67"/>
    <x v="1"/>
    <x v="10"/>
    <x v="54"/>
    <x v="0"/>
    <x v="0"/>
    <x v="54"/>
    <x v="0"/>
    <x v="7"/>
    <x v="1"/>
    <x v="98"/>
    <x v="2"/>
    <x v="0"/>
  </r>
  <r>
    <x v="107"/>
    <x v="46"/>
    <x v="46"/>
    <x v="1"/>
    <x v="10"/>
    <x v="50"/>
    <x v="0"/>
    <x v="0"/>
    <x v="50"/>
    <x v="0"/>
    <x v="7"/>
    <x v="1"/>
    <x v="99"/>
    <x v="2"/>
    <x v="0"/>
  </r>
  <r>
    <x v="108"/>
    <x v="18"/>
    <x v="18"/>
    <x v="6"/>
    <x v="10"/>
    <x v="51"/>
    <x v="0"/>
    <x v="0"/>
    <x v="51"/>
    <x v="0"/>
    <x v="7"/>
    <x v="1"/>
    <x v="100"/>
    <x v="2"/>
    <x v="0"/>
  </r>
  <r>
    <x v="109"/>
    <x v="68"/>
    <x v="68"/>
    <x v="5"/>
    <x v="10"/>
    <x v="55"/>
    <x v="0"/>
    <x v="0"/>
    <x v="55"/>
    <x v="0"/>
    <x v="7"/>
    <x v="1"/>
    <x v="101"/>
    <x v="2"/>
    <x v="5"/>
  </r>
  <r>
    <x v="110"/>
    <x v="69"/>
    <x v="69"/>
    <x v="5"/>
    <x v="10"/>
    <x v="56"/>
    <x v="0"/>
    <x v="0"/>
    <x v="56"/>
    <x v="0"/>
    <x v="7"/>
    <x v="1"/>
    <x v="102"/>
    <x v="2"/>
    <x v="0"/>
  </r>
  <r>
    <x v="111"/>
    <x v="70"/>
    <x v="70"/>
    <x v="5"/>
    <x v="10"/>
    <x v="49"/>
    <x v="0"/>
    <x v="0"/>
    <x v="49"/>
    <x v="0"/>
    <x v="7"/>
    <x v="1"/>
    <x v="103"/>
    <x v="2"/>
    <x v="0"/>
  </r>
  <r>
    <x v="112"/>
    <x v="71"/>
    <x v="71"/>
    <x v="5"/>
    <x v="10"/>
    <x v="49"/>
    <x v="0"/>
    <x v="0"/>
    <x v="49"/>
    <x v="0"/>
    <x v="7"/>
    <x v="1"/>
    <x v="104"/>
    <x v="2"/>
    <x v="0"/>
  </r>
  <r>
    <x v="113"/>
    <x v="13"/>
    <x v="13"/>
    <x v="5"/>
    <x v="10"/>
    <x v="14"/>
    <x v="0"/>
    <x v="0"/>
    <x v="57"/>
    <x v="0"/>
    <x v="7"/>
    <x v="1"/>
    <x v="105"/>
    <x v="2"/>
    <x v="0"/>
  </r>
  <r>
    <x v="114"/>
    <x v="72"/>
    <x v="72"/>
    <x v="5"/>
    <x v="10"/>
    <x v="51"/>
    <x v="0"/>
    <x v="0"/>
    <x v="51"/>
    <x v="0"/>
    <x v="7"/>
    <x v="1"/>
    <x v="106"/>
    <x v="2"/>
    <x v="0"/>
  </r>
  <r>
    <x v="115"/>
    <x v="51"/>
    <x v="51"/>
    <x v="4"/>
    <x v="10"/>
    <x v="49"/>
    <x v="0"/>
    <x v="0"/>
    <x v="49"/>
    <x v="0"/>
    <x v="7"/>
    <x v="1"/>
    <x v="107"/>
    <x v="2"/>
    <x v="0"/>
  </r>
  <r>
    <x v="116"/>
    <x v="73"/>
    <x v="73"/>
    <x v="4"/>
    <x v="10"/>
    <x v="49"/>
    <x v="0"/>
    <x v="0"/>
    <x v="49"/>
    <x v="0"/>
    <x v="7"/>
    <x v="1"/>
    <x v="108"/>
    <x v="2"/>
    <x v="0"/>
  </r>
  <r>
    <x v="117"/>
    <x v="74"/>
    <x v="74"/>
    <x v="8"/>
    <x v="10"/>
    <x v="49"/>
    <x v="0"/>
    <x v="0"/>
    <x v="49"/>
    <x v="0"/>
    <x v="7"/>
    <x v="1"/>
    <x v="109"/>
    <x v="2"/>
    <x v="6"/>
  </r>
  <r>
    <x v="118"/>
    <x v="75"/>
    <x v="75"/>
    <x v="2"/>
    <x v="10"/>
    <x v="51"/>
    <x v="0"/>
    <x v="0"/>
    <x v="51"/>
    <x v="0"/>
    <x v="7"/>
    <x v="1"/>
    <x v="110"/>
    <x v="2"/>
    <x v="0"/>
  </r>
  <r>
    <x v="119"/>
    <x v="76"/>
    <x v="76"/>
    <x v="5"/>
    <x v="2"/>
    <x v="48"/>
    <x v="0"/>
    <x v="0"/>
    <x v="48"/>
    <x v="0"/>
    <x v="4"/>
    <x v="1"/>
    <x v="111"/>
    <x v="2"/>
    <x v="0"/>
  </r>
  <r>
    <x v="120"/>
    <x v="37"/>
    <x v="37"/>
    <x v="5"/>
    <x v="2"/>
    <x v="10"/>
    <x v="0"/>
    <x v="0"/>
    <x v="10"/>
    <x v="0"/>
    <x v="4"/>
    <x v="1"/>
    <x v="112"/>
    <x v="2"/>
    <x v="0"/>
  </r>
  <r>
    <x v="121"/>
    <x v="71"/>
    <x v="71"/>
    <x v="5"/>
    <x v="2"/>
    <x v="57"/>
    <x v="0"/>
    <x v="0"/>
    <x v="58"/>
    <x v="0"/>
    <x v="4"/>
    <x v="1"/>
    <x v="113"/>
    <x v="2"/>
    <x v="0"/>
  </r>
  <r>
    <x v="122"/>
    <x v="77"/>
    <x v="77"/>
    <x v="5"/>
    <x v="2"/>
    <x v="42"/>
    <x v="0"/>
    <x v="0"/>
    <x v="42"/>
    <x v="0"/>
    <x v="4"/>
    <x v="1"/>
    <x v="114"/>
    <x v="2"/>
    <x v="0"/>
  </r>
  <r>
    <x v="123"/>
    <x v="42"/>
    <x v="42"/>
    <x v="5"/>
    <x v="2"/>
    <x v="19"/>
    <x v="0"/>
    <x v="0"/>
    <x v="19"/>
    <x v="0"/>
    <x v="4"/>
    <x v="1"/>
    <x v="115"/>
    <x v="2"/>
    <x v="0"/>
  </r>
  <r>
    <x v="124"/>
    <x v="69"/>
    <x v="69"/>
    <x v="5"/>
    <x v="2"/>
    <x v="58"/>
    <x v="0"/>
    <x v="0"/>
    <x v="59"/>
    <x v="0"/>
    <x v="4"/>
    <x v="1"/>
    <x v="116"/>
    <x v="2"/>
    <x v="0"/>
  </r>
  <r>
    <x v="125"/>
    <x v="78"/>
    <x v="78"/>
    <x v="5"/>
    <x v="2"/>
    <x v="48"/>
    <x v="0"/>
    <x v="0"/>
    <x v="48"/>
    <x v="0"/>
    <x v="4"/>
    <x v="1"/>
    <x v="117"/>
    <x v="2"/>
    <x v="0"/>
  </r>
  <r>
    <x v="126"/>
    <x v="35"/>
    <x v="35"/>
    <x v="5"/>
    <x v="2"/>
    <x v="45"/>
    <x v="0"/>
    <x v="0"/>
    <x v="45"/>
    <x v="0"/>
    <x v="4"/>
    <x v="1"/>
    <x v="118"/>
    <x v="2"/>
    <x v="0"/>
  </r>
  <r>
    <x v="127"/>
    <x v="79"/>
    <x v="79"/>
    <x v="5"/>
    <x v="2"/>
    <x v="58"/>
    <x v="0"/>
    <x v="0"/>
    <x v="59"/>
    <x v="0"/>
    <x v="4"/>
    <x v="1"/>
    <x v="116"/>
    <x v="2"/>
    <x v="0"/>
  </r>
  <r>
    <x v="128"/>
    <x v="80"/>
    <x v="80"/>
    <x v="5"/>
    <x v="2"/>
    <x v="59"/>
    <x v="0"/>
    <x v="0"/>
    <x v="60"/>
    <x v="0"/>
    <x v="4"/>
    <x v="1"/>
    <x v="119"/>
    <x v="2"/>
    <x v="0"/>
  </r>
  <r>
    <x v="129"/>
    <x v="81"/>
    <x v="81"/>
    <x v="5"/>
    <x v="2"/>
    <x v="18"/>
    <x v="0"/>
    <x v="0"/>
    <x v="18"/>
    <x v="0"/>
    <x v="4"/>
    <x v="1"/>
    <x v="120"/>
    <x v="2"/>
    <x v="0"/>
  </r>
  <r>
    <x v="130"/>
    <x v="6"/>
    <x v="6"/>
    <x v="2"/>
    <x v="2"/>
    <x v="26"/>
    <x v="0"/>
    <x v="0"/>
    <x v="26"/>
    <x v="0"/>
    <x v="7"/>
    <x v="1"/>
    <x v="121"/>
    <x v="2"/>
    <x v="0"/>
  </r>
  <r>
    <x v="131"/>
    <x v="44"/>
    <x v="44"/>
    <x v="6"/>
    <x v="2"/>
    <x v="60"/>
    <x v="0"/>
    <x v="0"/>
    <x v="61"/>
    <x v="0"/>
    <x v="7"/>
    <x v="1"/>
    <x v="122"/>
    <x v="2"/>
    <x v="0"/>
  </r>
  <r>
    <x v="132"/>
    <x v="41"/>
    <x v="41"/>
    <x v="6"/>
    <x v="2"/>
    <x v="10"/>
    <x v="0"/>
    <x v="0"/>
    <x v="10"/>
    <x v="0"/>
    <x v="7"/>
    <x v="1"/>
    <x v="123"/>
    <x v="2"/>
    <x v="0"/>
  </r>
  <r>
    <x v="133"/>
    <x v="38"/>
    <x v="38"/>
    <x v="6"/>
    <x v="2"/>
    <x v="40"/>
    <x v="0"/>
    <x v="0"/>
    <x v="40"/>
    <x v="0"/>
    <x v="7"/>
    <x v="1"/>
    <x v="124"/>
    <x v="2"/>
    <x v="0"/>
  </r>
  <r>
    <x v="134"/>
    <x v="20"/>
    <x v="20"/>
    <x v="6"/>
    <x v="2"/>
    <x v="16"/>
    <x v="0"/>
    <x v="0"/>
    <x v="16"/>
    <x v="0"/>
    <x v="7"/>
    <x v="1"/>
    <x v="125"/>
    <x v="2"/>
    <x v="0"/>
  </r>
  <r>
    <x v="135"/>
    <x v="40"/>
    <x v="40"/>
    <x v="6"/>
    <x v="2"/>
    <x v="42"/>
    <x v="0"/>
    <x v="0"/>
    <x v="42"/>
    <x v="0"/>
    <x v="7"/>
    <x v="1"/>
    <x v="126"/>
    <x v="2"/>
    <x v="0"/>
  </r>
  <r>
    <x v="136"/>
    <x v="39"/>
    <x v="39"/>
    <x v="6"/>
    <x v="2"/>
    <x v="16"/>
    <x v="0"/>
    <x v="0"/>
    <x v="16"/>
    <x v="0"/>
    <x v="7"/>
    <x v="1"/>
    <x v="127"/>
    <x v="2"/>
    <x v="0"/>
  </r>
  <r>
    <x v="137"/>
    <x v="19"/>
    <x v="19"/>
    <x v="6"/>
    <x v="2"/>
    <x v="6"/>
    <x v="0"/>
    <x v="0"/>
    <x v="6"/>
    <x v="0"/>
    <x v="7"/>
    <x v="1"/>
    <x v="128"/>
    <x v="2"/>
    <x v="0"/>
  </r>
  <r>
    <x v="138"/>
    <x v="36"/>
    <x v="36"/>
    <x v="6"/>
    <x v="2"/>
    <x v="6"/>
    <x v="0"/>
    <x v="0"/>
    <x v="6"/>
    <x v="0"/>
    <x v="7"/>
    <x v="1"/>
    <x v="129"/>
    <x v="2"/>
    <x v="0"/>
  </r>
  <r>
    <x v="139"/>
    <x v="18"/>
    <x v="18"/>
    <x v="6"/>
    <x v="2"/>
    <x v="61"/>
    <x v="0"/>
    <x v="0"/>
    <x v="62"/>
    <x v="0"/>
    <x v="7"/>
    <x v="1"/>
    <x v="130"/>
    <x v="2"/>
    <x v="0"/>
  </r>
  <r>
    <x v="140"/>
    <x v="17"/>
    <x v="17"/>
    <x v="6"/>
    <x v="2"/>
    <x v="16"/>
    <x v="0"/>
    <x v="0"/>
    <x v="16"/>
    <x v="0"/>
    <x v="7"/>
    <x v="1"/>
    <x v="131"/>
    <x v="2"/>
    <x v="0"/>
  </r>
  <r>
    <x v="141"/>
    <x v="22"/>
    <x v="22"/>
    <x v="6"/>
    <x v="2"/>
    <x v="48"/>
    <x v="0"/>
    <x v="0"/>
    <x v="48"/>
    <x v="0"/>
    <x v="7"/>
    <x v="1"/>
    <x v="132"/>
    <x v="2"/>
    <x v="0"/>
  </r>
  <r>
    <x v="142"/>
    <x v="21"/>
    <x v="21"/>
    <x v="6"/>
    <x v="2"/>
    <x v="18"/>
    <x v="0"/>
    <x v="0"/>
    <x v="18"/>
    <x v="0"/>
    <x v="7"/>
    <x v="1"/>
    <x v="133"/>
    <x v="2"/>
    <x v="0"/>
  </r>
  <r>
    <x v="143"/>
    <x v="82"/>
    <x v="82"/>
    <x v="5"/>
    <x v="11"/>
    <x v="62"/>
    <x v="0"/>
    <x v="0"/>
    <x v="63"/>
    <x v="0"/>
    <x v="4"/>
    <x v="11"/>
    <x v="134"/>
    <x v="1"/>
    <x v="0"/>
  </r>
  <r>
    <x v="144"/>
    <x v="72"/>
    <x v="72"/>
    <x v="5"/>
    <x v="11"/>
    <x v="63"/>
    <x v="0"/>
    <x v="0"/>
    <x v="64"/>
    <x v="0"/>
    <x v="4"/>
    <x v="11"/>
    <x v="135"/>
    <x v="1"/>
    <x v="0"/>
  </r>
  <r>
    <x v="145"/>
    <x v="83"/>
    <x v="83"/>
    <x v="5"/>
    <x v="11"/>
    <x v="64"/>
    <x v="0"/>
    <x v="0"/>
    <x v="65"/>
    <x v="0"/>
    <x v="4"/>
    <x v="11"/>
    <x v="136"/>
    <x v="1"/>
    <x v="0"/>
  </r>
  <r>
    <x v="146"/>
    <x v="84"/>
    <x v="84"/>
    <x v="5"/>
    <x v="11"/>
    <x v="26"/>
    <x v="0"/>
    <x v="0"/>
    <x v="26"/>
    <x v="0"/>
    <x v="4"/>
    <x v="11"/>
    <x v="137"/>
    <x v="1"/>
    <x v="0"/>
  </r>
  <r>
    <x v="147"/>
    <x v="85"/>
    <x v="85"/>
    <x v="5"/>
    <x v="11"/>
    <x v="25"/>
    <x v="0"/>
    <x v="0"/>
    <x v="25"/>
    <x v="0"/>
    <x v="4"/>
    <x v="11"/>
    <x v="138"/>
    <x v="1"/>
    <x v="0"/>
  </r>
  <r>
    <x v="148"/>
    <x v="86"/>
    <x v="86"/>
    <x v="5"/>
    <x v="11"/>
    <x v="28"/>
    <x v="0"/>
    <x v="0"/>
    <x v="28"/>
    <x v="0"/>
    <x v="4"/>
    <x v="11"/>
    <x v="139"/>
    <x v="1"/>
    <x v="0"/>
  </r>
  <r>
    <x v="149"/>
    <x v="70"/>
    <x v="70"/>
    <x v="5"/>
    <x v="11"/>
    <x v="27"/>
    <x v="0"/>
    <x v="0"/>
    <x v="27"/>
    <x v="0"/>
    <x v="4"/>
    <x v="11"/>
    <x v="140"/>
    <x v="1"/>
    <x v="0"/>
  </r>
  <r>
    <x v="150"/>
    <x v="87"/>
    <x v="87"/>
    <x v="5"/>
    <x v="11"/>
    <x v="28"/>
    <x v="0"/>
    <x v="0"/>
    <x v="28"/>
    <x v="0"/>
    <x v="4"/>
    <x v="11"/>
    <x v="141"/>
    <x v="1"/>
    <x v="0"/>
  </r>
  <r>
    <x v="151"/>
    <x v="67"/>
    <x v="67"/>
    <x v="1"/>
    <x v="11"/>
    <x v="0"/>
    <x v="0"/>
    <x v="0"/>
    <x v="0"/>
    <x v="0"/>
    <x v="2"/>
    <x v="11"/>
    <x v="142"/>
    <x v="1"/>
    <x v="0"/>
  </r>
  <r>
    <x v="152"/>
    <x v="5"/>
    <x v="5"/>
    <x v="1"/>
    <x v="11"/>
    <x v="65"/>
    <x v="0"/>
    <x v="0"/>
    <x v="66"/>
    <x v="0"/>
    <x v="2"/>
    <x v="11"/>
    <x v="143"/>
    <x v="1"/>
    <x v="0"/>
  </r>
  <r>
    <x v="153"/>
    <x v="88"/>
    <x v="88"/>
    <x v="1"/>
    <x v="11"/>
    <x v="0"/>
    <x v="0"/>
    <x v="0"/>
    <x v="0"/>
    <x v="0"/>
    <x v="2"/>
    <x v="11"/>
    <x v="142"/>
    <x v="1"/>
    <x v="0"/>
  </r>
  <r>
    <x v="154"/>
    <x v="50"/>
    <x v="50"/>
    <x v="1"/>
    <x v="11"/>
    <x v="0"/>
    <x v="0"/>
    <x v="0"/>
    <x v="0"/>
    <x v="0"/>
    <x v="2"/>
    <x v="11"/>
    <x v="142"/>
    <x v="1"/>
    <x v="0"/>
  </r>
  <r>
    <x v="155"/>
    <x v="89"/>
    <x v="89"/>
    <x v="1"/>
    <x v="11"/>
    <x v="65"/>
    <x v="0"/>
    <x v="0"/>
    <x v="66"/>
    <x v="0"/>
    <x v="2"/>
    <x v="11"/>
    <x v="143"/>
    <x v="1"/>
    <x v="0"/>
  </r>
  <r>
    <x v="156"/>
    <x v="90"/>
    <x v="90"/>
    <x v="1"/>
    <x v="11"/>
    <x v="5"/>
    <x v="0"/>
    <x v="0"/>
    <x v="5"/>
    <x v="0"/>
    <x v="2"/>
    <x v="11"/>
    <x v="144"/>
    <x v="1"/>
    <x v="0"/>
  </r>
  <r>
    <x v="157"/>
    <x v="46"/>
    <x v="46"/>
    <x v="1"/>
    <x v="11"/>
    <x v="1"/>
    <x v="0"/>
    <x v="0"/>
    <x v="1"/>
    <x v="0"/>
    <x v="2"/>
    <x v="11"/>
    <x v="145"/>
    <x v="1"/>
    <x v="0"/>
  </r>
  <r>
    <x v="158"/>
    <x v="91"/>
    <x v="91"/>
    <x v="1"/>
    <x v="11"/>
    <x v="1"/>
    <x v="0"/>
    <x v="0"/>
    <x v="1"/>
    <x v="0"/>
    <x v="2"/>
    <x v="11"/>
    <x v="145"/>
    <x v="1"/>
    <x v="0"/>
  </r>
  <r>
    <x v="159"/>
    <x v="9"/>
    <x v="9"/>
    <x v="4"/>
    <x v="11"/>
    <x v="24"/>
    <x v="0"/>
    <x v="0"/>
    <x v="24"/>
    <x v="0"/>
    <x v="3"/>
    <x v="1"/>
    <x v="146"/>
    <x v="1"/>
    <x v="0"/>
  </r>
  <r>
    <x v="160"/>
    <x v="92"/>
    <x v="92"/>
    <x v="4"/>
    <x v="11"/>
    <x v="66"/>
    <x v="0"/>
    <x v="0"/>
    <x v="67"/>
    <x v="0"/>
    <x v="3"/>
    <x v="1"/>
    <x v="147"/>
    <x v="1"/>
    <x v="0"/>
  </r>
  <r>
    <x v="161"/>
    <x v="93"/>
    <x v="93"/>
    <x v="3"/>
    <x v="11"/>
    <x v="66"/>
    <x v="0"/>
    <x v="0"/>
    <x v="67"/>
    <x v="0"/>
    <x v="3"/>
    <x v="1"/>
    <x v="148"/>
    <x v="1"/>
    <x v="0"/>
  </r>
  <r>
    <x v="162"/>
    <x v="52"/>
    <x v="52"/>
    <x v="4"/>
    <x v="11"/>
    <x v="29"/>
    <x v="0"/>
    <x v="0"/>
    <x v="29"/>
    <x v="0"/>
    <x v="3"/>
    <x v="1"/>
    <x v="149"/>
    <x v="1"/>
    <x v="0"/>
  </r>
  <r>
    <x v="163"/>
    <x v="94"/>
    <x v="94"/>
    <x v="2"/>
    <x v="11"/>
    <x v="66"/>
    <x v="0"/>
    <x v="0"/>
    <x v="67"/>
    <x v="0"/>
    <x v="3"/>
    <x v="1"/>
    <x v="150"/>
    <x v="1"/>
    <x v="0"/>
  </r>
  <r>
    <x v="164"/>
    <x v="12"/>
    <x v="12"/>
    <x v="4"/>
    <x v="11"/>
    <x v="7"/>
    <x v="0"/>
    <x v="0"/>
    <x v="7"/>
    <x v="0"/>
    <x v="3"/>
    <x v="1"/>
    <x v="151"/>
    <x v="1"/>
    <x v="0"/>
  </r>
  <r>
    <x v="165"/>
    <x v="53"/>
    <x v="53"/>
    <x v="2"/>
    <x v="11"/>
    <x v="66"/>
    <x v="0"/>
    <x v="0"/>
    <x v="67"/>
    <x v="0"/>
    <x v="3"/>
    <x v="1"/>
    <x v="152"/>
    <x v="1"/>
    <x v="0"/>
  </r>
  <r>
    <x v="166"/>
    <x v="95"/>
    <x v="95"/>
    <x v="4"/>
    <x v="11"/>
    <x v="14"/>
    <x v="0"/>
    <x v="0"/>
    <x v="57"/>
    <x v="0"/>
    <x v="3"/>
    <x v="1"/>
    <x v="153"/>
    <x v="1"/>
    <x v="0"/>
  </r>
  <r>
    <x v="167"/>
    <x v="96"/>
    <x v="96"/>
    <x v="2"/>
    <x v="11"/>
    <x v="66"/>
    <x v="0"/>
    <x v="0"/>
    <x v="67"/>
    <x v="0"/>
    <x v="3"/>
    <x v="1"/>
    <x v="154"/>
    <x v="1"/>
    <x v="0"/>
  </r>
  <r>
    <x v="168"/>
    <x v="97"/>
    <x v="97"/>
    <x v="2"/>
    <x v="11"/>
    <x v="66"/>
    <x v="0"/>
    <x v="0"/>
    <x v="67"/>
    <x v="0"/>
    <x v="3"/>
    <x v="1"/>
    <x v="155"/>
    <x v="1"/>
    <x v="0"/>
  </r>
  <r>
    <x v="169"/>
    <x v="27"/>
    <x v="27"/>
    <x v="2"/>
    <x v="11"/>
    <x v="22"/>
    <x v="0"/>
    <x v="0"/>
    <x v="22"/>
    <x v="0"/>
    <x v="3"/>
    <x v="1"/>
    <x v="156"/>
    <x v="1"/>
    <x v="0"/>
  </r>
  <r>
    <x v="170"/>
    <x v="98"/>
    <x v="98"/>
    <x v="2"/>
    <x v="11"/>
    <x v="66"/>
    <x v="0"/>
    <x v="0"/>
    <x v="67"/>
    <x v="0"/>
    <x v="3"/>
    <x v="1"/>
    <x v="157"/>
    <x v="1"/>
    <x v="0"/>
  </r>
  <r>
    <x v="171"/>
    <x v="75"/>
    <x v="75"/>
    <x v="2"/>
    <x v="11"/>
    <x v="67"/>
    <x v="0"/>
    <x v="0"/>
    <x v="68"/>
    <x v="0"/>
    <x v="3"/>
    <x v="1"/>
    <x v="158"/>
    <x v="1"/>
    <x v="0"/>
  </r>
  <r>
    <x v="172"/>
    <x v="99"/>
    <x v="99"/>
    <x v="4"/>
    <x v="11"/>
    <x v="66"/>
    <x v="0"/>
    <x v="0"/>
    <x v="67"/>
    <x v="0"/>
    <x v="3"/>
    <x v="1"/>
    <x v="159"/>
    <x v="1"/>
    <x v="0"/>
  </r>
  <r>
    <x v="173"/>
    <x v="100"/>
    <x v="100"/>
    <x v="4"/>
    <x v="11"/>
    <x v="66"/>
    <x v="0"/>
    <x v="0"/>
    <x v="67"/>
    <x v="0"/>
    <x v="3"/>
    <x v="1"/>
    <x v="160"/>
    <x v="1"/>
    <x v="0"/>
  </r>
  <r>
    <x v="174"/>
    <x v="101"/>
    <x v="101"/>
    <x v="2"/>
    <x v="11"/>
    <x v="1"/>
    <x v="0"/>
    <x v="0"/>
    <x v="1"/>
    <x v="0"/>
    <x v="3"/>
    <x v="1"/>
    <x v="161"/>
    <x v="1"/>
    <x v="0"/>
  </r>
  <r>
    <x v="175"/>
    <x v="19"/>
    <x v="19"/>
    <x v="6"/>
    <x v="1"/>
    <x v="10"/>
    <x v="0"/>
    <x v="0"/>
    <x v="10"/>
    <x v="0"/>
    <x v="7"/>
    <x v="1"/>
    <x v="162"/>
    <x v="1"/>
    <x v="0"/>
  </r>
  <r>
    <x v="176"/>
    <x v="102"/>
    <x v="102"/>
    <x v="1"/>
    <x v="1"/>
    <x v="63"/>
    <x v="0"/>
    <x v="0"/>
    <x v="64"/>
    <x v="0"/>
    <x v="7"/>
    <x v="1"/>
    <x v="163"/>
    <x v="1"/>
    <x v="0"/>
  </r>
  <r>
    <x v="177"/>
    <x v="22"/>
    <x v="22"/>
    <x v="6"/>
    <x v="1"/>
    <x v="68"/>
    <x v="0"/>
    <x v="0"/>
    <x v="69"/>
    <x v="0"/>
    <x v="7"/>
    <x v="1"/>
    <x v="164"/>
    <x v="1"/>
    <x v="0"/>
  </r>
  <r>
    <x v="178"/>
    <x v="21"/>
    <x v="21"/>
    <x v="6"/>
    <x v="1"/>
    <x v="69"/>
    <x v="0"/>
    <x v="0"/>
    <x v="70"/>
    <x v="0"/>
    <x v="7"/>
    <x v="1"/>
    <x v="165"/>
    <x v="1"/>
    <x v="0"/>
  </r>
  <r>
    <x v="179"/>
    <x v="40"/>
    <x v="40"/>
    <x v="6"/>
    <x v="1"/>
    <x v="7"/>
    <x v="0"/>
    <x v="0"/>
    <x v="7"/>
    <x v="0"/>
    <x v="7"/>
    <x v="1"/>
    <x v="166"/>
    <x v="1"/>
    <x v="0"/>
  </r>
  <r>
    <x v="180"/>
    <x v="18"/>
    <x v="18"/>
    <x v="6"/>
    <x v="1"/>
    <x v="1"/>
    <x v="0"/>
    <x v="0"/>
    <x v="1"/>
    <x v="0"/>
    <x v="7"/>
    <x v="1"/>
    <x v="167"/>
    <x v="1"/>
    <x v="0"/>
  </r>
  <r>
    <x v="181"/>
    <x v="32"/>
    <x v="32"/>
    <x v="7"/>
    <x v="1"/>
    <x v="70"/>
    <x v="0"/>
    <x v="0"/>
    <x v="71"/>
    <x v="0"/>
    <x v="7"/>
    <x v="1"/>
    <x v="168"/>
    <x v="1"/>
    <x v="0"/>
  </r>
  <r>
    <x v="182"/>
    <x v="49"/>
    <x v="49"/>
    <x v="7"/>
    <x v="1"/>
    <x v="5"/>
    <x v="0"/>
    <x v="0"/>
    <x v="5"/>
    <x v="0"/>
    <x v="7"/>
    <x v="1"/>
    <x v="169"/>
    <x v="1"/>
    <x v="0"/>
  </r>
  <r>
    <x v="183"/>
    <x v="43"/>
    <x v="43"/>
    <x v="7"/>
    <x v="1"/>
    <x v="10"/>
    <x v="0"/>
    <x v="0"/>
    <x v="10"/>
    <x v="0"/>
    <x v="7"/>
    <x v="1"/>
    <x v="170"/>
    <x v="1"/>
    <x v="0"/>
  </r>
  <r>
    <x v="184"/>
    <x v="103"/>
    <x v="103"/>
    <x v="7"/>
    <x v="1"/>
    <x v="71"/>
    <x v="0"/>
    <x v="0"/>
    <x v="72"/>
    <x v="0"/>
    <x v="7"/>
    <x v="1"/>
    <x v="171"/>
    <x v="1"/>
    <x v="0"/>
  </r>
  <r>
    <x v="185"/>
    <x v="90"/>
    <x v="90"/>
    <x v="1"/>
    <x v="12"/>
    <x v="29"/>
    <x v="0"/>
    <x v="0"/>
    <x v="29"/>
    <x v="0"/>
    <x v="7"/>
    <x v="1"/>
    <x v="172"/>
    <x v="9"/>
    <x v="0"/>
  </r>
  <r>
    <x v="186"/>
    <x v="45"/>
    <x v="45"/>
    <x v="1"/>
    <x v="12"/>
    <x v="43"/>
    <x v="0"/>
    <x v="0"/>
    <x v="43"/>
    <x v="0"/>
    <x v="7"/>
    <x v="1"/>
    <x v="173"/>
    <x v="9"/>
    <x v="0"/>
  </r>
  <r>
    <x v="187"/>
    <x v="91"/>
    <x v="91"/>
    <x v="1"/>
    <x v="12"/>
    <x v="72"/>
    <x v="0"/>
    <x v="0"/>
    <x v="73"/>
    <x v="0"/>
    <x v="7"/>
    <x v="1"/>
    <x v="174"/>
    <x v="9"/>
    <x v="0"/>
  </r>
  <r>
    <x v="188"/>
    <x v="67"/>
    <x v="67"/>
    <x v="1"/>
    <x v="12"/>
    <x v="26"/>
    <x v="0"/>
    <x v="0"/>
    <x v="26"/>
    <x v="0"/>
    <x v="7"/>
    <x v="1"/>
    <x v="174"/>
    <x v="9"/>
    <x v="0"/>
  </r>
  <r>
    <x v="189"/>
    <x v="5"/>
    <x v="5"/>
    <x v="1"/>
    <x v="12"/>
    <x v="0"/>
    <x v="0"/>
    <x v="0"/>
    <x v="0"/>
    <x v="0"/>
    <x v="7"/>
    <x v="1"/>
    <x v="175"/>
    <x v="9"/>
    <x v="0"/>
  </r>
  <r>
    <x v="190"/>
    <x v="88"/>
    <x v="88"/>
    <x v="1"/>
    <x v="12"/>
    <x v="73"/>
    <x v="0"/>
    <x v="0"/>
    <x v="74"/>
    <x v="0"/>
    <x v="7"/>
    <x v="1"/>
    <x v="174"/>
    <x v="9"/>
    <x v="0"/>
  </r>
  <r>
    <x v="191"/>
    <x v="50"/>
    <x v="50"/>
    <x v="1"/>
    <x v="12"/>
    <x v="0"/>
    <x v="0"/>
    <x v="0"/>
    <x v="0"/>
    <x v="0"/>
    <x v="7"/>
    <x v="1"/>
    <x v="176"/>
    <x v="9"/>
    <x v="0"/>
  </r>
  <r>
    <x v="192"/>
    <x v="89"/>
    <x v="89"/>
    <x v="1"/>
    <x v="12"/>
    <x v="7"/>
    <x v="0"/>
    <x v="0"/>
    <x v="7"/>
    <x v="0"/>
    <x v="7"/>
    <x v="1"/>
    <x v="177"/>
    <x v="9"/>
    <x v="0"/>
  </r>
  <r>
    <x v="193"/>
    <x v="66"/>
    <x v="66"/>
    <x v="3"/>
    <x v="12"/>
    <x v="3"/>
    <x v="0"/>
    <x v="0"/>
    <x v="3"/>
    <x v="0"/>
    <x v="7"/>
    <x v="1"/>
    <x v="75"/>
    <x v="9"/>
    <x v="0"/>
  </r>
  <r>
    <x v="194"/>
    <x v="63"/>
    <x v="63"/>
    <x v="3"/>
    <x v="12"/>
    <x v="74"/>
    <x v="0"/>
    <x v="0"/>
    <x v="75"/>
    <x v="0"/>
    <x v="7"/>
    <x v="1"/>
    <x v="75"/>
    <x v="9"/>
    <x v="0"/>
  </r>
  <r>
    <x v="195"/>
    <x v="57"/>
    <x v="57"/>
    <x v="3"/>
    <x v="12"/>
    <x v="74"/>
    <x v="0"/>
    <x v="0"/>
    <x v="75"/>
    <x v="0"/>
    <x v="7"/>
    <x v="1"/>
    <x v="75"/>
    <x v="9"/>
    <x v="0"/>
  </r>
  <r>
    <x v="196"/>
    <x v="104"/>
    <x v="104"/>
    <x v="3"/>
    <x v="12"/>
    <x v="75"/>
    <x v="0"/>
    <x v="0"/>
    <x v="76"/>
    <x v="0"/>
    <x v="7"/>
    <x v="1"/>
    <x v="75"/>
    <x v="9"/>
    <x v="0"/>
  </r>
  <r>
    <x v="197"/>
    <x v="105"/>
    <x v="105"/>
    <x v="3"/>
    <x v="12"/>
    <x v="76"/>
    <x v="0"/>
    <x v="0"/>
    <x v="77"/>
    <x v="0"/>
    <x v="7"/>
    <x v="1"/>
    <x v="75"/>
    <x v="9"/>
    <x v="0"/>
  </r>
  <r>
    <x v="198"/>
    <x v="106"/>
    <x v="106"/>
    <x v="3"/>
    <x v="12"/>
    <x v="3"/>
    <x v="0"/>
    <x v="0"/>
    <x v="3"/>
    <x v="0"/>
    <x v="7"/>
    <x v="1"/>
    <x v="75"/>
    <x v="9"/>
    <x v="0"/>
  </r>
  <r>
    <x v="199"/>
    <x v="107"/>
    <x v="107"/>
    <x v="3"/>
    <x v="12"/>
    <x v="74"/>
    <x v="0"/>
    <x v="0"/>
    <x v="75"/>
    <x v="0"/>
    <x v="7"/>
    <x v="1"/>
    <x v="75"/>
    <x v="9"/>
    <x v="0"/>
  </r>
  <r>
    <x v="200"/>
    <x v="108"/>
    <x v="108"/>
    <x v="3"/>
    <x v="12"/>
    <x v="77"/>
    <x v="0"/>
    <x v="0"/>
    <x v="78"/>
    <x v="0"/>
    <x v="7"/>
    <x v="1"/>
    <x v="75"/>
    <x v="9"/>
    <x v="0"/>
  </r>
  <r>
    <x v="201"/>
    <x v="109"/>
    <x v="109"/>
    <x v="3"/>
    <x v="12"/>
    <x v="74"/>
    <x v="0"/>
    <x v="0"/>
    <x v="75"/>
    <x v="0"/>
    <x v="7"/>
    <x v="1"/>
    <x v="75"/>
    <x v="9"/>
    <x v="0"/>
  </r>
  <r>
    <x v="202"/>
    <x v="110"/>
    <x v="110"/>
    <x v="3"/>
    <x v="12"/>
    <x v="78"/>
    <x v="0"/>
    <x v="0"/>
    <x v="79"/>
    <x v="0"/>
    <x v="7"/>
    <x v="1"/>
    <x v="75"/>
    <x v="9"/>
    <x v="0"/>
  </r>
  <r>
    <x v="203"/>
    <x v="111"/>
    <x v="111"/>
    <x v="3"/>
    <x v="12"/>
    <x v="79"/>
    <x v="0"/>
    <x v="0"/>
    <x v="80"/>
    <x v="0"/>
    <x v="7"/>
    <x v="1"/>
    <x v="75"/>
    <x v="9"/>
    <x v="0"/>
  </r>
  <r>
    <x v="204"/>
    <x v="112"/>
    <x v="112"/>
    <x v="3"/>
    <x v="12"/>
    <x v="80"/>
    <x v="0"/>
    <x v="0"/>
    <x v="81"/>
    <x v="0"/>
    <x v="7"/>
    <x v="1"/>
    <x v="75"/>
    <x v="9"/>
    <x v="0"/>
  </r>
  <r>
    <x v="205"/>
    <x v="56"/>
    <x v="56"/>
    <x v="3"/>
    <x v="12"/>
    <x v="81"/>
    <x v="0"/>
    <x v="0"/>
    <x v="82"/>
    <x v="0"/>
    <x v="7"/>
    <x v="1"/>
    <x v="75"/>
    <x v="9"/>
    <x v="0"/>
  </r>
  <r>
    <x v="206"/>
    <x v="113"/>
    <x v="113"/>
    <x v="3"/>
    <x v="12"/>
    <x v="82"/>
    <x v="0"/>
    <x v="0"/>
    <x v="83"/>
    <x v="0"/>
    <x v="7"/>
    <x v="1"/>
    <x v="75"/>
    <x v="9"/>
    <x v="0"/>
  </r>
  <r>
    <x v="207"/>
    <x v="114"/>
    <x v="114"/>
    <x v="3"/>
    <x v="12"/>
    <x v="22"/>
    <x v="0"/>
    <x v="0"/>
    <x v="22"/>
    <x v="0"/>
    <x v="7"/>
    <x v="1"/>
    <x v="75"/>
    <x v="9"/>
    <x v="0"/>
  </r>
  <r>
    <x v="208"/>
    <x v="115"/>
    <x v="115"/>
    <x v="3"/>
    <x v="12"/>
    <x v="22"/>
    <x v="0"/>
    <x v="0"/>
    <x v="22"/>
    <x v="0"/>
    <x v="7"/>
    <x v="1"/>
    <x v="75"/>
    <x v="9"/>
    <x v="0"/>
  </r>
  <r>
    <x v="209"/>
    <x v="64"/>
    <x v="64"/>
    <x v="3"/>
    <x v="12"/>
    <x v="83"/>
    <x v="0"/>
    <x v="0"/>
    <x v="84"/>
    <x v="0"/>
    <x v="7"/>
    <x v="1"/>
    <x v="75"/>
    <x v="9"/>
    <x v="0"/>
  </r>
  <r>
    <x v="210"/>
    <x v="116"/>
    <x v="116"/>
    <x v="3"/>
    <x v="12"/>
    <x v="84"/>
    <x v="0"/>
    <x v="0"/>
    <x v="85"/>
    <x v="0"/>
    <x v="7"/>
    <x v="1"/>
    <x v="75"/>
    <x v="9"/>
    <x v="0"/>
  </r>
  <r>
    <x v="211"/>
    <x v="117"/>
    <x v="117"/>
    <x v="3"/>
    <x v="12"/>
    <x v="85"/>
    <x v="0"/>
    <x v="0"/>
    <x v="86"/>
    <x v="0"/>
    <x v="7"/>
    <x v="1"/>
    <x v="75"/>
    <x v="9"/>
    <x v="0"/>
  </r>
  <r>
    <x v="212"/>
    <x v="118"/>
    <x v="118"/>
    <x v="3"/>
    <x v="12"/>
    <x v="86"/>
    <x v="0"/>
    <x v="0"/>
    <x v="87"/>
    <x v="0"/>
    <x v="7"/>
    <x v="1"/>
    <x v="75"/>
    <x v="9"/>
    <x v="0"/>
  </r>
  <r>
    <x v="213"/>
    <x v="119"/>
    <x v="119"/>
    <x v="3"/>
    <x v="12"/>
    <x v="87"/>
    <x v="0"/>
    <x v="0"/>
    <x v="88"/>
    <x v="0"/>
    <x v="7"/>
    <x v="1"/>
    <x v="75"/>
    <x v="9"/>
    <x v="0"/>
  </r>
  <r>
    <x v="214"/>
    <x v="120"/>
    <x v="120"/>
    <x v="3"/>
    <x v="12"/>
    <x v="88"/>
    <x v="0"/>
    <x v="0"/>
    <x v="89"/>
    <x v="0"/>
    <x v="7"/>
    <x v="1"/>
    <x v="75"/>
    <x v="9"/>
    <x v="0"/>
  </r>
  <r>
    <x v="215"/>
    <x v="121"/>
    <x v="121"/>
    <x v="3"/>
    <x v="12"/>
    <x v="89"/>
    <x v="0"/>
    <x v="0"/>
    <x v="90"/>
    <x v="0"/>
    <x v="7"/>
    <x v="1"/>
    <x v="75"/>
    <x v="9"/>
    <x v="0"/>
  </r>
  <r>
    <x v="216"/>
    <x v="122"/>
    <x v="122"/>
    <x v="4"/>
    <x v="13"/>
    <x v="6"/>
    <x v="0"/>
    <x v="0"/>
    <x v="6"/>
    <x v="0"/>
    <x v="3"/>
    <x v="12"/>
    <x v="178"/>
    <x v="2"/>
    <x v="0"/>
  </r>
  <r>
    <x v="217"/>
    <x v="123"/>
    <x v="123"/>
    <x v="4"/>
    <x v="13"/>
    <x v="48"/>
    <x v="0"/>
    <x v="0"/>
    <x v="48"/>
    <x v="0"/>
    <x v="3"/>
    <x v="12"/>
    <x v="178"/>
    <x v="2"/>
    <x v="0"/>
  </r>
  <r>
    <x v="218"/>
    <x v="8"/>
    <x v="8"/>
    <x v="4"/>
    <x v="13"/>
    <x v="48"/>
    <x v="0"/>
    <x v="0"/>
    <x v="48"/>
    <x v="0"/>
    <x v="3"/>
    <x v="12"/>
    <x v="178"/>
    <x v="2"/>
    <x v="0"/>
  </r>
  <r>
    <x v="219"/>
    <x v="12"/>
    <x v="12"/>
    <x v="4"/>
    <x v="13"/>
    <x v="6"/>
    <x v="0"/>
    <x v="0"/>
    <x v="6"/>
    <x v="0"/>
    <x v="3"/>
    <x v="12"/>
    <x v="178"/>
    <x v="2"/>
    <x v="0"/>
  </r>
  <r>
    <x v="220"/>
    <x v="1"/>
    <x v="1"/>
    <x v="0"/>
    <x v="2"/>
    <x v="14"/>
    <x v="0"/>
    <x v="0"/>
    <x v="57"/>
    <x v="0"/>
    <x v="0"/>
    <x v="13"/>
    <x v="179"/>
    <x v="2"/>
    <x v="0"/>
  </r>
  <r>
    <x v="221"/>
    <x v="108"/>
    <x v="108"/>
    <x v="3"/>
    <x v="2"/>
    <x v="90"/>
    <x v="0"/>
    <x v="0"/>
    <x v="91"/>
    <x v="0"/>
    <x v="5"/>
    <x v="14"/>
    <x v="180"/>
    <x v="2"/>
    <x v="0"/>
  </r>
  <r>
    <x v="222"/>
    <x v="108"/>
    <x v="108"/>
    <x v="3"/>
    <x v="2"/>
    <x v="10"/>
    <x v="0"/>
    <x v="0"/>
    <x v="10"/>
    <x v="0"/>
    <x v="5"/>
    <x v="15"/>
    <x v="181"/>
    <x v="2"/>
    <x v="0"/>
  </r>
  <r>
    <x v="223"/>
    <x v="108"/>
    <x v="108"/>
    <x v="3"/>
    <x v="2"/>
    <x v="47"/>
    <x v="0"/>
    <x v="0"/>
    <x v="47"/>
    <x v="0"/>
    <x v="5"/>
    <x v="16"/>
    <x v="182"/>
    <x v="2"/>
    <x v="0"/>
  </r>
  <r>
    <x v="224"/>
    <x v="108"/>
    <x v="108"/>
    <x v="3"/>
    <x v="2"/>
    <x v="40"/>
    <x v="0"/>
    <x v="0"/>
    <x v="40"/>
    <x v="0"/>
    <x v="5"/>
    <x v="17"/>
    <x v="183"/>
    <x v="2"/>
    <x v="0"/>
  </r>
  <r>
    <x v="225"/>
    <x v="63"/>
    <x v="63"/>
    <x v="3"/>
    <x v="2"/>
    <x v="90"/>
    <x v="0"/>
    <x v="0"/>
    <x v="91"/>
    <x v="0"/>
    <x v="5"/>
    <x v="15"/>
    <x v="184"/>
    <x v="2"/>
    <x v="0"/>
  </r>
  <r>
    <x v="226"/>
    <x v="63"/>
    <x v="63"/>
    <x v="3"/>
    <x v="2"/>
    <x v="48"/>
    <x v="0"/>
    <x v="0"/>
    <x v="48"/>
    <x v="0"/>
    <x v="5"/>
    <x v="18"/>
    <x v="185"/>
    <x v="2"/>
    <x v="0"/>
  </r>
  <r>
    <x v="227"/>
    <x v="111"/>
    <x v="111"/>
    <x v="3"/>
    <x v="2"/>
    <x v="90"/>
    <x v="0"/>
    <x v="0"/>
    <x v="91"/>
    <x v="0"/>
    <x v="5"/>
    <x v="15"/>
    <x v="184"/>
    <x v="2"/>
    <x v="0"/>
  </r>
  <r>
    <x v="228"/>
    <x v="57"/>
    <x v="57"/>
    <x v="3"/>
    <x v="2"/>
    <x v="90"/>
    <x v="0"/>
    <x v="0"/>
    <x v="91"/>
    <x v="0"/>
    <x v="5"/>
    <x v="15"/>
    <x v="184"/>
    <x v="2"/>
    <x v="0"/>
  </r>
  <r>
    <x v="229"/>
    <x v="12"/>
    <x v="12"/>
    <x v="4"/>
    <x v="2"/>
    <x v="26"/>
    <x v="0"/>
    <x v="0"/>
    <x v="66"/>
    <x v="2"/>
    <x v="3"/>
    <x v="19"/>
    <x v="186"/>
    <x v="2"/>
    <x v="0"/>
  </r>
  <r>
    <x v="230"/>
    <x v="124"/>
    <x v="124"/>
    <x v="5"/>
    <x v="2"/>
    <x v="16"/>
    <x v="0"/>
    <x v="0"/>
    <x v="16"/>
    <x v="0"/>
    <x v="4"/>
    <x v="19"/>
    <x v="187"/>
    <x v="2"/>
    <x v="0"/>
  </r>
  <r>
    <x v="231"/>
    <x v="122"/>
    <x v="122"/>
    <x v="4"/>
    <x v="2"/>
    <x v="41"/>
    <x v="0"/>
    <x v="0"/>
    <x v="41"/>
    <x v="0"/>
    <x v="3"/>
    <x v="19"/>
    <x v="188"/>
    <x v="2"/>
    <x v="0"/>
  </r>
  <r>
    <x v="232"/>
    <x v="12"/>
    <x v="12"/>
    <x v="4"/>
    <x v="2"/>
    <x v="91"/>
    <x v="0"/>
    <x v="0"/>
    <x v="92"/>
    <x v="0"/>
    <x v="3"/>
    <x v="20"/>
    <x v="189"/>
    <x v="2"/>
    <x v="0"/>
  </r>
  <r>
    <x v="233"/>
    <x v="125"/>
    <x v="125"/>
    <x v="4"/>
    <x v="2"/>
    <x v="6"/>
    <x v="0"/>
    <x v="0"/>
    <x v="6"/>
    <x v="0"/>
    <x v="3"/>
    <x v="20"/>
    <x v="190"/>
    <x v="2"/>
    <x v="0"/>
  </r>
  <r>
    <x v="234"/>
    <x v="123"/>
    <x v="123"/>
    <x v="4"/>
    <x v="2"/>
    <x v="16"/>
    <x v="0"/>
    <x v="0"/>
    <x v="16"/>
    <x v="0"/>
    <x v="3"/>
    <x v="20"/>
    <x v="191"/>
    <x v="2"/>
    <x v="0"/>
  </r>
  <r>
    <x v="235"/>
    <x v="51"/>
    <x v="51"/>
    <x v="4"/>
    <x v="2"/>
    <x v="6"/>
    <x v="0"/>
    <x v="0"/>
    <x v="6"/>
    <x v="0"/>
    <x v="3"/>
    <x v="20"/>
    <x v="192"/>
    <x v="2"/>
    <x v="0"/>
  </r>
  <r>
    <x v="236"/>
    <x v="12"/>
    <x v="12"/>
    <x v="4"/>
    <x v="2"/>
    <x v="16"/>
    <x v="0"/>
    <x v="0"/>
    <x v="16"/>
    <x v="0"/>
    <x v="3"/>
    <x v="21"/>
    <x v="193"/>
    <x v="2"/>
    <x v="0"/>
  </r>
  <r>
    <x v="237"/>
    <x v="123"/>
    <x v="123"/>
    <x v="4"/>
    <x v="2"/>
    <x v="16"/>
    <x v="0"/>
    <x v="0"/>
    <x v="16"/>
    <x v="0"/>
    <x v="3"/>
    <x v="21"/>
    <x v="194"/>
    <x v="2"/>
    <x v="0"/>
  </r>
  <r>
    <x v="238"/>
    <x v="52"/>
    <x v="52"/>
    <x v="4"/>
    <x v="2"/>
    <x v="16"/>
    <x v="0"/>
    <x v="0"/>
    <x v="16"/>
    <x v="0"/>
    <x v="3"/>
    <x v="21"/>
    <x v="75"/>
    <x v="2"/>
    <x v="0"/>
  </r>
  <r>
    <x v="239"/>
    <x v="27"/>
    <x v="27"/>
    <x v="2"/>
    <x v="2"/>
    <x v="16"/>
    <x v="0"/>
    <x v="0"/>
    <x v="16"/>
    <x v="0"/>
    <x v="3"/>
    <x v="21"/>
    <x v="195"/>
    <x v="2"/>
    <x v="0"/>
  </r>
  <r>
    <x v="240"/>
    <x v="98"/>
    <x v="98"/>
    <x v="2"/>
    <x v="2"/>
    <x v="16"/>
    <x v="0"/>
    <x v="0"/>
    <x v="16"/>
    <x v="0"/>
    <x v="3"/>
    <x v="21"/>
    <x v="195"/>
    <x v="2"/>
    <x v="0"/>
  </r>
  <r>
    <x v="241"/>
    <x v="23"/>
    <x v="23"/>
    <x v="2"/>
    <x v="2"/>
    <x v="16"/>
    <x v="0"/>
    <x v="0"/>
    <x v="16"/>
    <x v="0"/>
    <x v="3"/>
    <x v="21"/>
    <x v="195"/>
    <x v="2"/>
    <x v="0"/>
  </r>
  <r>
    <x v="242"/>
    <x v="123"/>
    <x v="123"/>
    <x v="4"/>
    <x v="2"/>
    <x v="10"/>
    <x v="0"/>
    <x v="0"/>
    <x v="10"/>
    <x v="0"/>
    <x v="3"/>
    <x v="22"/>
    <x v="196"/>
    <x v="2"/>
    <x v="0"/>
  </r>
  <r>
    <x v="243"/>
    <x v="123"/>
    <x v="123"/>
    <x v="4"/>
    <x v="2"/>
    <x v="92"/>
    <x v="0"/>
    <x v="0"/>
    <x v="93"/>
    <x v="0"/>
    <x v="3"/>
    <x v="23"/>
    <x v="197"/>
    <x v="2"/>
    <x v="0"/>
  </r>
  <r>
    <x v="244"/>
    <x v="8"/>
    <x v="8"/>
    <x v="4"/>
    <x v="2"/>
    <x v="1"/>
    <x v="0"/>
    <x v="0"/>
    <x v="1"/>
    <x v="0"/>
    <x v="3"/>
    <x v="24"/>
    <x v="198"/>
    <x v="2"/>
    <x v="0"/>
  </r>
  <r>
    <x v="245"/>
    <x v="126"/>
    <x v="126"/>
    <x v="4"/>
    <x v="2"/>
    <x v="60"/>
    <x v="0"/>
    <x v="0"/>
    <x v="61"/>
    <x v="0"/>
    <x v="3"/>
    <x v="24"/>
    <x v="199"/>
    <x v="2"/>
    <x v="0"/>
  </r>
  <r>
    <x v="246"/>
    <x v="127"/>
    <x v="127"/>
    <x v="2"/>
    <x v="2"/>
    <x v="91"/>
    <x v="0"/>
    <x v="0"/>
    <x v="92"/>
    <x v="0"/>
    <x v="3"/>
    <x v="24"/>
    <x v="200"/>
    <x v="2"/>
    <x v="0"/>
  </r>
  <r>
    <x v="247"/>
    <x v="12"/>
    <x v="12"/>
    <x v="4"/>
    <x v="2"/>
    <x v="6"/>
    <x v="0"/>
    <x v="0"/>
    <x v="6"/>
    <x v="0"/>
    <x v="3"/>
    <x v="24"/>
    <x v="201"/>
    <x v="2"/>
    <x v="0"/>
  </r>
  <r>
    <x v="248"/>
    <x v="52"/>
    <x v="52"/>
    <x v="4"/>
    <x v="2"/>
    <x v="72"/>
    <x v="0"/>
    <x v="0"/>
    <x v="73"/>
    <x v="0"/>
    <x v="3"/>
    <x v="25"/>
    <x v="202"/>
    <x v="2"/>
    <x v="0"/>
  </r>
  <r>
    <x v="249"/>
    <x v="25"/>
    <x v="25"/>
    <x v="2"/>
    <x v="2"/>
    <x v="16"/>
    <x v="0"/>
    <x v="0"/>
    <x v="16"/>
    <x v="0"/>
    <x v="3"/>
    <x v="26"/>
    <x v="203"/>
    <x v="2"/>
    <x v="0"/>
  </r>
  <r>
    <x v="250"/>
    <x v="37"/>
    <x v="37"/>
    <x v="5"/>
    <x v="2"/>
    <x v="0"/>
    <x v="0"/>
    <x v="0"/>
    <x v="0"/>
    <x v="0"/>
    <x v="4"/>
    <x v="27"/>
    <x v="204"/>
    <x v="2"/>
    <x v="0"/>
  </r>
  <r>
    <x v="251"/>
    <x v="86"/>
    <x v="86"/>
    <x v="5"/>
    <x v="2"/>
    <x v="10"/>
    <x v="0"/>
    <x v="0"/>
    <x v="10"/>
    <x v="0"/>
    <x v="4"/>
    <x v="27"/>
    <x v="205"/>
    <x v="2"/>
    <x v="0"/>
  </r>
  <r>
    <x v="252"/>
    <x v="92"/>
    <x v="92"/>
    <x v="4"/>
    <x v="2"/>
    <x v="93"/>
    <x v="0"/>
    <x v="0"/>
    <x v="94"/>
    <x v="0"/>
    <x v="3"/>
    <x v="27"/>
    <x v="206"/>
    <x v="2"/>
    <x v="0"/>
  </r>
  <r>
    <x v="253"/>
    <x v="3"/>
    <x v="3"/>
    <x v="0"/>
    <x v="2"/>
    <x v="93"/>
    <x v="0"/>
    <x v="0"/>
    <x v="94"/>
    <x v="0"/>
    <x v="0"/>
    <x v="25"/>
    <x v="207"/>
    <x v="2"/>
    <x v="0"/>
  </r>
  <r>
    <x v="254"/>
    <x v="17"/>
    <x v="17"/>
    <x v="6"/>
    <x v="2"/>
    <x v="7"/>
    <x v="0"/>
    <x v="0"/>
    <x v="7"/>
    <x v="0"/>
    <x v="6"/>
    <x v="15"/>
    <x v="208"/>
    <x v="2"/>
    <x v="0"/>
  </r>
  <r>
    <x v="255"/>
    <x v="19"/>
    <x v="19"/>
    <x v="6"/>
    <x v="10"/>
    <x v="94"/>
    <x v="0"/>
    <x v="0"/>
    <x v="95"/>
    <x v="0"/>
    <x v="6"/>
    <x v="28"/>
    <x v="209"/>
    <x v="2"/>
    <x v="0"/>
  </r>
  <r>
    <x v="256"/>
    <x v="44"/>
    <x v="44"/>
    <x v="6"/>
    <x v="10"/>
    <x v="65"/>
    <x v="0"/>
    <x v="0"/>
    <x v="66"/>
    <x v="0"/>
    <x v="6"/>
    <x v="28"/>
    <x v="210"/>
    <x v="2"/>
    <x v="0"/>
  </r>
  <r>
    <x v="257"/>
    <x v="20"/>
    <x v="20"/>
    <x v="6"/>
    <x v="10"/>
    <x v="37"/>
    <x v="0"/>
    <x v="0"/>
    <x v="37"/>
    <x v="0"/>
    <x v="6"/>
    <x v="28"/>
    <x v="211"/>
    <x v="2"/>
    <x v="0"/>
  </r>
  <r>
    <x v="258"/>
    <x v="21"/>
    <x v="21"/>
    <x v="6"/>
    <x v="10"/>
    <x v="91"/>
    <x v="0"/>
    <x v="0"/>
    <x v="92"/>
    <x v="0"/>
    <x v="6"/>
    <x v="28"/>
    <x v="212"/>
    <x v="2"/>
    <x v="0"/>
  </r>
  <r>
    <x v="259"/>
    <x v="17"/>
    <x v="17"/>
    <x v="6"/>
    <x v="10"/>
    <x v="93"/>
    <x v="0"/>
    <x v="0"/>
    <x v="94"/>
    <x v="0"/>
    <x v="6"/>
    <x v="28"/>
    <x v="213"/>
    <x v="2"/>
    <x v="0"/>
  </r>
  <r>
    <x v="260"/>
    <x v="18"/>
    <x v="18"/>
    <x v="6"/>
    <x v="10"/>
    <x v="72"/>
    <x v="0"/>
    <x v="0"/>
    <x v="73"/>
    <x v="0"/>
    <x v="6"/>
    <x v="28"/>
    <x v="214"/>
    <x v="2"/>
    <x v="0"/>
  </r>
  <r>
    <x v="261"/>
    <x v="22"/>
    <x v="22"/>
    <x v="6"/>
    <x v="10"/>
    <x v="6"/>
    <x v="0"/>
    <x v="0"/>
    <x v="6"/>
    <x v="0"/>
    <x v="6"/>
    <x v="28"/>
    <x v="215"/>
    <x v="2"/>
    <x v="0"/>
  </r>
  <r>
    <x v="262"/>
    <x v="33"/>
    <x v="33"/>
    <x v="7"/>
    <x v="10"/>
    <x v="5"/>
    <x v="0"/>
    <x v="0"/>
    <x v="5"/>
    <x v="0"/>
    <x v="5"/>
    <x v="28"/>
    <x v="216"/>
    <x v="2"/>
    <x v="0"/>
  </r>
  <r>
    <x v="263"/>
    <x v="32"/>
    <x v="32"/>
    <x v="7"/>
    <x v="10"/>
    <x v="42"/>
    <x v="0"/>
    <x v="0"/>
    <x v="42"/>
    <x v="0"/>
    <x v="5"/>
    <x v="28"/>
    <x v="217"/>
    <x v="2"/>
    <x v="0"/>
  </r>
  <r>
    <x v="264"/>
    <x v="22"/>
    <x v="22"/>
    <x v="6"/>
    <x v="2"/>
    <x v="93"/>
    <x v="0"/>
    <x v="0"/>
    <x v="94"/>
    <x v="0"/>
    <x v="7"/>
    <x v="29"/>
    <x v="218"/>
    <x v="2"/>
    <x v="0"/>
  </r>
  <r>
    <x v="265"/>
    <x v="17"/>
    <x v="17"/>
    <x v="6"/>
    <x v="2"/>
    <x v="93"/>
    <x v="0"/>
    <x v="0"/>
    <x v="94"/>
    <x v="0"/>
    <x v="7"/>
    <x v="29"/>
    <x v="219"/>
    <x v="2"/>
    <x v="0"/>
  </r>
  <r>
    <x v="266"/>
    <x v="41"/>
    <x v="41"/>
    <x v="6"/>
    <x v="2"/>
    <x v="14"/>
    <x v="0"/>
    <x v="0"/>
    <x v="57"/>
    <x v="0"/>
    <x v="7"/>
    <x v="29"/>
    <x v="220"/>
    <x v="2"/>
    <x v="0"/>
  </r>
  <r>
    <x v="267"/>
    <x v="1"/>
    <x v="1"/>
    <x v="0"/>
    <x v="2"/>
    <x v="6"/>
    <x v="0"/>
    <x v="0"/>
    <x v="6"/>
    <x v="0"/>
    <x v="7"/>
    <x v="30"/>
    <x v="221"/>
    <x v="2"/>
    <x v="0"/>
  </r>
  <r>
    <x v="268"/>
    <x v="0"/>
    <x v="0"/>
    <x v="0"/>
    <x v="2"/>
    <x v="91"/>
    <x v="0"/>
    <x v="0"/>
    <x v="92"/>
    <x v="0"/>
    <x v="7"/>
    <x v="29"/>
    <x v="222"/>
    <x v="2"/>
    <x v="0"/>
  </r>
  <r>
    <x v="269"/>
    <x v="12"/>
    <x v="12"/>
    <x v="4"/>
    <x v="2"/>
    <x v="14"/>
    <x v="0"/>
    <x v="0"/>
    <x v="57"/>
    <x v="0"/>
    <x v="7"/>
    <x v="29"/>
    <x v="223"/>
    <x v="2"/>
    <x v="0"/>
  </r>
  <r>
    <x v="270"/>
    <x v="8"/>
    <x v="8"/>
    <x v="4"/>
    <x v="2"/>
    <x v="7"/>
    <x v="0"/>
    <x v="0"/>
    <x v="7"/>
    <x v="0"/>
    <x v="7"/>
    <x v="29"/>
    <x v="224"/>
    <x v="2"/>
    <x v="0"/>
  </r>
  <r>
    <x v="271"/>
    <x v="80"/>
    <x v="80"/>
    <x v="5"/>
    <x v="2"/>
    <x v="10"/>
    <x v="0"/>
    <x v="0"/>
    <x v="10"/>
    <x v="0"/>
    <x v="7"/>
    <x v="29"/>
    <x v="225"/>
    <x v="2"/>
    <x v="0"/>
  </r>
  <r>
    <x v="272"/>
    <x v="29"/>
    <x v="29"/>
    <x v="7"/>
    <x v="2"/>
    <x v="2"/>
    <x v="0"/>
    <x v="0"/>
    <x v="2"/>
    <x v="0"/>
    <x v="7"/>
    <x v="31"/>
    <x v="226"/>
    <x v="2"/>
    <x v="0"/>
  </r>
  <r>
    <x v="273"/>
    <x v="3"/>
    <x v="3"/>
    <x v="0"/>
    <x v="2"/>
    <x v="6"/>
    <x v="0"/>
    <x v="0"/>
    <x v="6"/>
    <x v="0"/>
    <x v="5"/>
    <x v="31"/>
    <x v="227"/>
    <x v="2"/>
    <x v="0"/>
  </r>
  <r>
    <x v="274"/>
    <x v="101"/>
    <x v="101"/>
    <x v="2"/>
    <x v="2"/>
    <x v="7"/>
    <x v="0"/>
    <x v="0"/>
    <x v="7"/>
    <x v="0"/>
    <x v="7"/>
    <x v="32"/>
    <x v="228"/>
    <x v="2"/>
    <x v="0"/>
  </r>
  <r>
    <x v="275"/>
    <x v="22"/>
    <x v="22"/>
    <x v="6"/>
    <x v="2"/>
    <x v="5"/>
    <x v="0"/>
    <x v="0"/>
    <x v="5"/>
    <x v="0"/>
    <x v="7"/>
    <x v="33"/>
    <x v="229"/>
    <x v="2"/>
    <x v="0"/>
  </r>
  <r>
    <x v="276"/>
    <x v="89"/>
    <x v="89"/>
    <x v="1"/>
    <x v="2"/>
    <x v="48"/>
    <x v="0"/>
    <x v="0"/>
    <x v="48"/>
    <x v="0"/>
    <x v="7"/>
    <x v="29"/>
    <x v="230"/>
    <x v="2"/>
    <x v="0"/>
  </r>
  <r>
    <x v="277"/>
    <x v="17"/>
    <x v="17"/>
    <x v="6"/>
    <x v="2"/>
    <x v="16"/>
    <x v="0"/>
    <x v="0"/>
    <x v="16"/>
    <x v="0"/>
    <x v="6"/>
    <x v="34"/>
    <x v="231"/>
    <x v="2"/>
    <x v="0"/>
  </r>
  <r>
    <x v="278"/>
    <x v="89"/>
    <x v="89"/>
    <x v="1"/>
    <x v="2"/>
    <x v="6"/>
    <x v="0"/>
    <x v="0"/>
    <x v="6"/>
    <x v="0"/>
    <x v="7"/>
    <x v="15"/>
    <x v="232"/>
    <x v="2"/>
    <x v="0"/>
  </r>
  <r>
    <x v="279"/>
    <x v="128"/>
    <x v="128"/>
    <x v="3"/>
    <x v="14"/>
    <x v="27"/>
    <x v="0"/>
    <x v="0"/>
    <x v="27"/>
    <x v="0"/>
    <x v="3"/>
    <x v="35"/>
    <x v="233"/>
    <x v="10"/>
    <x v="0"/>
  </r>
  <r>
    <x v="280"/>
    <x v="123"/>
    <x v="123"/>
    <x v="4"/>
    <x v="14"/>
    <x v="95"/>
    <x v="0"/>
    <x v="0"/>
    <x v="96"/>
    <x v="0"/>
    <x v="3"/>
    <x v="35"/>
    <x v="234"/>
    <x v="10"/>
    <x v="0"/>
  </r>
  <r>
    <x v="281"/>
    <x v="129"/>
    <x v="129"/>
    <x v="4"/>
    <x v="14"/>
    <x v="20"/>
    <x v="0"/>
    <x v="0"/>
    <x v="20"/>
    <x v="0"/>
    <x v="3"/>
    <x v="35"/>
    <x v="235"/>
    <x v="10"/>
    <x v="0"/>
  </r>
  <r>
    <x v="282"/>
    <x v="101"/>
    <x v="101"/>
    <x v="2"/>
    <x v="14"/>
    <x v="96"/>
    <x v="0"/>
    <x v="0"/>
    <x v="97"/>
    <x v="0"/>
    <x v="4"/>
    <x v="36"/>
    <x v="236"/>
    <x v="10"/>
    <x v="0"/>
  </r>
  <r>
    <x v="283"/>
    <x v="130"/>
    <x v="130"/>
    <x v="3"/>
    <x v="14"/>
    <x v="24"/>
    <x v="0"/>
    <x v="0"/>
    <x v="24"/>
    <x v="0"/>
    <x v="4"/>
    <x v="36"/>
    <x v="237"/>
    <x v="10"/>
    <x v="0"/>
  </r>
  <r>
    <x v="284"/>
    <x v="131"/>
    <x v="131"/>
    <x v="5"/>
    <x v="15"/>
    <x v="20"/>
    <x v="0"/>
    <x v="0"/>
    <x v="20"/>
    <x v="0"/>
    <x v="7"/>
    <x v="1"/>
    <x v="75"/>
    <x v="11"/>
    <x v="0"/>
  </r>
  <r>
    <x v="285"/>
    <x v="132"/>
    <x v="132"/>
    <x v="4"/>
    <x v="15"/>
    <x v="25"/>
    <x v="0"/>
    <x v="0"/>
    <x v="25"/>
    <x v="0"/>
    <x v="7"/>
    <x v="1"/>
    <x v="75"/>
    <x v="11"/>
    <x v="0"/>
  </r>
  <r>
    <x v="286"/>
    <x v="124"/>
    <x v="124"/>
    <x v="5"/>
    <x v="15"/>
    <x v="97"/>
    <x v="0"/>
    <x v="0"/>
    <x v="98"/>
    <x v="0"/>
    <x v="7"/>
    <x v="1"/>
    <x v="75"/>
    <x v="11"/>
    <x v="0"/>
  </r>
  <r>
    <x v="287"/>
    <x v="77"/>
    <x v="77"/>
    <x v="5"/>
    <x v="15"/>
    <x v="27"/>
    <x v="0"/>
    <x v="0"/>
    <x v="27"/>
    <x v="0"/>
    <x v="7"/>
    <x v="1"/>
    <x v="75"/>
    <x v="11"/>
    <x v="0"/>
  </r>
  <r>
    <x v="288"/>
    <x v="51"/>
    <x v="51"/>
    <x v="4"/>
    <x v="15"/>
    <x v="98"/>
    <x v="0"/>
    <x v="0"/>
    <x v="99"/>
    <x v="0"/>
    <x v="7"/>
    <x v="1"/>
    <x v="75"/>
    <x v="11"/>
    <x v="0"/>
  </r>
  <r>
    <x v="289"/>
    <x v="133"/>
    <x v="133"/>
    <x v="4"/>
    <x v="15"/>
    <x v="28"/>
    <x v="0"/>
    <x v="0"/>
    <x v="28"/>
    <x v="0"/>
    <x v="7"/>
    <x v="1"/>
    <x v="75"/>
    <x v="11"/>
    <x v="0"/>
  </r>
  <r>
    <x v="290"/>
    <x v="134"/>
    <x v="134"/>
    <x v="2"/>
    <x v="15"/>
    <x v="97"/>
    <x v="0"/>
    <x v="0"/>
    <x v="98"/>
    <x v="0"/>
    <x v="7"/>
    <x v="1"/>
    <x v="75"/>
    <x v="11"/>
    <x v="0"/>
  </r>
  <r>
    <x v="291"/>
    <x v="135"/>
    <x v="135"/>
    <x v="4"/>
    <x v="15"/>
    <x v="28"/>
    <x v="0"/>
    <x v="0"/>
    <x v="28"/>
    <x v="0"/>
    <x v="7"/>
    <x v="1"/>
    <x v="75"/>
    <x v="11"/>
    <x v="0"/>
  </r>
  <r>
    <x v="292"/>
    <x v="122"/>
    <x v="122"/>
    <x v="4"/>
    <x v="15"/>
    <x v="97"/>
    <x v="0"/>
    <x v="0"/>
    <x v="98"/>
    <x v="0"/>
    <x v="7"/>
    <x v="1"/>
    <x v="75"/>
    <x v="11"/>
    <x v="0"/>
  </r>
  <r>
    <x v="293"/>
    <x v="81"/>
    <x v="81"/>
    <x v="5"/>
    <x v="15"/>
    <x v="28"/>
    <x v="0"/>
    <x v="0"/>
    <x v="28"/>
    <x v="0"/>
    <x v="7"/>
    <x v="1"/>
    <x v="75"/>
    <x v="11"/>
    <x v="0"/>
  </r>
  <r>
    <x v="294"/>
    <x v="24"/>
    <x v="24"/>
    <x v="2"/>
    <x v="15"/>
    <x v="27"/>
    <x v="0"/>
    <x v="0"/>
    <x v="27"/>
    <x v="0"/>
    <x v="7"/>
    <x v="1"/>
    <x v="75"/>
    <x v="11"/>
    <x v="0"/>
  </r>
  <r>
    <x v="295"/>
    <x v="71"/>
    <x v="71"/>
    <x v="5"/>
    <x v="15"/>
    <x v="24"/>
    <x v="0"/>
    <x v="0"/>
    <x v="24"/>
    <x v="0"/>
    <x v="7"/>
    <x v="1"/>
    <x v="75"/>
    <x v="11"/>
    <x v="0"/>
  </r>
  <r>
    <x v="296"/>
    <x v="73"/>
    <x v="73"/>
    <x v="4"/>
    <x v="15"/>
    <x v="28"/>
    <x v="0"/>
    <x v="0"/>
    <x v="28"/>
    <x v="0"/>
    <x v="7"/>
    <x v="1"/>
    <x v="75"/>
    <x v="11"/>
    <x v="0"/>
  </r>
  <r>
    <x v="297"/>
    <x v="136"/>
    <x v="136"/>
    <x v="5"/>
    <x v="15"/>
    <x v="24"/>
    <x v="0"/>
    <x v="0"/>
    <x v="24"/>
    <x v="0"/>
    <x v="7"/>
    <x v="1"/>
    <x v="75"/>
    <x v="11"/>
    <x v="0"/>
  </r>
  <r>
    <x v="298"/>
    <x v="137"/>
    <x v="137"/>
    <x v="4"/>
    <x v="15"/>
    <x v="27"/>
    <x v="0"/>
    <x v="0"/>
    <x v="27"/>
    <x v="0"/>
    <x v="7"/>
    <x v="1"/>
    <x v="75"/>
    <x v="11"/>
    <x v="0"/>
  </r>
  <r>
    <x v="299"/>
    <x v="41"/>
    <x v="41"/>
    <x v="6"/>
    <x v="15"/>
    <x v="99"/>
    <x v="0"/>
    <x v="0"/>
    <x v="100"/>
    <x v="0"/>
    <x v="7"/>
    <x v="1"/>
    <x v="75"/>
    <x v="11"/>
    <x v="0"/>
  </r>
  <r>
    <x v="300"/>
    <x v="138"/>
    <x v="138"/>
    <x v="5"/>
    <x v="15"/>
    <x v="25"/>
    <x v="0"/>
    <x v="0"/>
    <x v="25"/>
    <x v="0"/>
    <x v="7"/>
    <x v="1"/>
    <x v="75"/>
    <x v="11"/>
    <x v="0"/>
  </r>
  <r>
    <x v="301"/>
    <x v="139"/>
    <x v="139"/>
    <x v="4"/>
    <x v="15"/>
    <x v="20"/>
    <x v="0"/>
    <x v="0"/>
    <x v="20"/>
    <x v="0"/>
    <x v="7"/>
    <x v="1"/>
    <x v="75"/>
    <x v="11"/>
    <x v="0"/>
  </r>
  <r>
    <x v="302"/>
    <x v="140"/>
    <x v="140"/>
    <x v="4"/>
    <x v="15"/>
    <x v="27"/>
    <x v="0"/>
    <x v="0"/>
    <x v="27"/>
    <x v="0"/>
    <x v="7"/>
    <x v="1"/>
    <x v="75"/>
    <x v="11"/>
    <x v="0"/>
  </r>
  <r>
    <x v="303"/>
    <x v="26"/>
    <x v="26"/>
    <x v="2"/>
    <x v="15"/>
    <x v="24"/>
    <x v="0"/>
    <x v="0"/>
    <x v="24"/>
    <x v="0"/>
    <x v="7"/>
    <x v="1"/>
    <x v="75"/>
    <x v="11"/>
    <x v="0"/>
  </r>
  <r>
    <x v="304"/>
    <x v="58"/>
    <x v="58"/>
    <x v="5"/>
    <x v="15"/>
    <x v="77"/>
    <x v="0"/>
    <x v="0"/>
    <x v="78"/>
    <x v="0"/>
    <x v="7"/>
    <x v="1"/>
    <x v="75"/>
    <x v="11"/>
    <x v="0"/>
  </r>
  <r>
    <x v="305"/>
    <x v="54"/>
    <x v="54"/>
    <x v="2"/>
    <x v="15"/>
    <x v="24"/>
    <x v="0"/>
    <x v="0"/>
    <x v="24"/>
    <x v="0"/>
    <x v="7"/>
    <x v="1"/>
    <x v="75"/>
    <x v="11"/>
    <x v="0"/>
  </r>
  <r>
    <x v="306"/>
    <x v="127"/>
    <x v="127"/>
    <x v="2"/>
    <x v="15"/>
    <x v="29"/>
    <x v="0"/>
    <x v="0"/>
    <x v="29"/>
    <x v="0"/>
    <x v="7"/>
    <x v="1"/>
    <x v="75"/>
    <x v="11"/>
    <x v="0"/>
  </r>
  <r>
    <x v="307"/>
    <x v="69"/>
    <x v="69"/>
    <x v="5"/>
    <x v="15"/>
    <x v="20"/>
    <x v="0"/>
    <x v="0"/>
    <x v="20"/>
    <x v="0"/>
    <x v="7"/>
    <x v="1"/>
    <x v="75"/>
    <x v="11"/>
    <x v="0"/>
  </r>
  <r>
    <x v="308"/>
    <x v="11"/>
    <x v="11"/>
    <x v="4"/>
    <x v="15"/>
    <x v="24"/>
    <x v="0"/>
    <x v="0"/>
    <x v="24"/>
    <x v="0"/>
    <x v="7"/>
    <x v="1"/>
    <x v="75"/>
    <x v="11"/>
    <x v="0"/>
  </r>
  <r>
    <x v="309"/>
    <x v="141"/>
    <x v="141"/>
    <x v="4"/>
    <x v="15"/>
    <x v="25"/>
    <x v="0"/>
    <x v="0"/>
    <x v="25"/>
    <x v="0"/>
    <x v="7"/>
    <x v="1"/>
    <x v="75"/>
    <x v="11"/>
    <x v="0"/>
  </r>
  <r>
    <x v="310"/>
    <x v="19"/>
    <x v="19"/>
    <x v="6"/>
    <x v="15"/>
    <x v="73"/>
    <x v="0"/>
    <x v="0"/>
    <x v="74"/>
    <x v="0"/>
    <x v="7"/>
    <x v="1"/>
    <x v="75"/>
    <x v="11"/>
    <x v="0"/>
  </r>
  <r>
    <x v="311"/>
    <x v="142"/>
    <x v="142"/>
    <x v="4"/>
    <x v="15"/>
    <x v="27"/>
    <x v="0"/>
    <x v="0"/>
    <x v="27"/>
    <x v="0"/>
    <x v="7"/>
    <x v="1"/>
    <x v="75"/>
    <x v="11"/>
    <x v="0"/>
  </r>
  <r>
    <x v="312"/>
    <x v="143"/>
    <x v="143"/>
    <x v="2"/>
    <x v="15"/>
    <x v="25"/>
    <x v="0"/>
    <x v="0"/>
    <x v="25"/>
    <x v="0"/>
    <x v="7"/>
    <x v="1"/>
    <x v="75"/>
    <x v="11"/>
    <x v="0"/>
  </r>
  <r>
    <x v="313"/>
    <x v="8"/>
    <x v="8"/>
    <x v="4"/>
    <x v="15"/>
    <x v="2"/>
    <x v="0"/>
    <x v="0"/>
    <x v="2"/>
    <x v="0"/>
    <x v="7"/>
    <x v="1"/>
    <x v="75"/>
    <x v="11"/>
    <x v="0"/>
  </r>
  <r>
    <x v="314"/>
    <x v="144"/>
    <x v="144"/>
    <x v="4"/>
    <x v="15"/>
    <x v="77"/>
    <x v="0"/>
    <x v="0"/>
    <x v="78"/>
    <x v="0"/>
    <x v="7"/>
    <x v="1"/>
    <x v="75"/>
    <x v="11"/>
    <x v="0"/>
  </r>
  <r>
    <x v="315"/>
    <x v="78"/>
    <x v="78"/>
    <x v="5"/>
    <x v="15"/>
    <x v="25"/>
    <x v="0"/>
    <x v="0"/>
    <x v="25"/>
    <x v="0"/>
    <x v="7"/>
    <x v="1"/>
    <x v="75"/>
    <x v="11"/>
    <x v="0"/>
  </r>
  <r>
    <x v="316"/>
    <x v="145"/>
    <x v="145"/>
    <x v="2"/>
    <x v="15"/>
    <x v="27"/>
    <x v="0"/>
    <x v="0"/>
    <x v="27"/>
    <x v="0"/>
    <x v="7"/>
    <x v="1"/>
    <x v="75"/>
    <x v="11"/>
    <x v="0"/>
  </r>
  <r>
    <x v="317"/>
    <x v="126"/>
    <x v="126"/>
    <x v="4"/>
    <x v="16"/>
    <x v="27"/>
    <x v="0"/>
    <x v="0"/>
    <x v="27"/>
    <x v="0"/>
    <x v="7"/>
    <x v="1"/>
    <x v="75"/>
    <x v="12"/>
    <x v="0"/>
  </r>
  <r>
    <x v="318"/>
    <x v="25"/>
    <x v="25"/>
    <x v="2"/>
    <x v="16"/>
    <x v="20"/>
    <x v="0"/>
    <x v="0"/>
    <x v="20"/>
    <x v="0"/>
    <x v="7"/>
    <x v="1"/>
    <x v="75"/>
    <x v="12"/>
    <x v="0"/>
  </r>
  <r>
    <x v="319"/>
    <x v="76"/>
    <x v="76"/>
    <x v="5"/>
    <x v="16"/>
    <x v="28"/>
    <x v="0"/>
    <x v="0"/>
    <x v="28"/>
    <x v="0"/>
    <x v="7"/>
    <x v="1"/>
    <x v="75"/>
    <x v="12"/>
    <x v="0"/>
  </r>
  <r>
    <x v="320"/>
    <x v="10"/>
    <x v="10"/>
    <x v="4"/>
    <x v="16"/>
    <x v="24"/>
    <x v="0"/>
    <x v="0"/>
    <x v="24"/>
    <x v="0"/>
    <x v="7"/>
    <x v="1"/>
    <x v="75"/>
    <x v="12"/>
    <x v="0"/>
  </r>
  <r>
    <x v="321"/>
    <x v="146"/>
    <x v="146"/>
    <x v="4"/>
    <x v="16"/>
    <x v="24"/>
    <x v="0"/>
    <x v="0"/>
    <x v="24"/>
    <x v="0"/>
    <x v="7"/>
    <x v="1"/>
    <x v="75"/>
    <x v="12"/>
    <x v="0"/>
  </r>
  <r>
    <x v="322"/>
    <x v="147"/>
    <x v="147"/>
    <x v="4"/>
    <x v="16"/>
    <x v="20"/>
    <x v="0"/>
    <x v="0"/>
    <x v="20"/>
    <x v="0"/>
    <x v="7"/>
    <x v="1"/>
    <x v="75"/>
    <x v="12"/>
    <x v="0"/>
  </r>
  <r>
    <x v="323"/>
    <x v="80"/>
    <x v="80"/>
    <x v="5"/>
    <x v="16"/>
    <x v="2"/>
    <x v="0"/>
    <x v="0"/>
    <x v="2"/>
    <x v="0"/>
    <x v="7"/>
    <x v="1"/>
    <x v="75"/>
    <x v="12"/>
    <x v="0"/>
  </r>
  <r>
    <x v="324"/>
    <x v="28"/>
    <x v="28"/>
    <x v="7"/>
    <x v="16"/>
    <x v="65"/>
    <x v="0"/>
    <x v="0"/>
    <x v="66"/>
    <x v="0"/>
    <x v="7"/>
    <x v="1"/>
    <x v="75"/>
    <x v="12"/>
    <x v="0"/>
  </r>
  <r>
    <x v="325"/>
    <x v="148"/>
    <x v="148"/>
    <x v="4"/>
    <x v="16"/>
    <x v="25"/>
    <x v="0"/>
    <x v="0"/>
    <x v="25"/>
    <x v="0"/>
    <x v="7"/>
    <x v="1"/>
    <x v="75"/>
    <x v="12"/>
    <x v="0"/>
  </r>
  <r>
    <x v="326"/>
    <x v="125"/>
    <x v="125"/>
    <x v="4"/>
    <x v="16"/>
    <x v="20"/>
    <x v="0"/>
    <x v="0"/>
    <x v="20"/>
    <x v="0"/>
    <x v="7"/>
    <x v="1"/>
    <x v="75"/>
    <x v="12"/>
    <x v="0"/>
  </r>
  <r>
    <x v="327"/>
    <x v="149"/>
    <x v="149"/>
    <x v="4"/>
    <x v="16"/>
    <x v="20"/>
    <x v="0"/>
    <x v="0"/>
    <x v="20"/>
    <x v="0"/>
    <x v="7"/>
    <x v="1"/>
    <x v="75"/>
    <x v="12"/>
    <x v="0"/>
  </r>
  <r>
    <x v="328"/>
    <x v="55"/>
    <x v="55"/>
    <x v="2"/>
    <x v="16"/>
    <x v="28"/>
    <x v="0"/>
    <x v="0"/>
    <x v="28"/>
    <x v="0"/>
    <x v="7"/>
    <x v="1"/>
    <x v="75"/>
    <x v="12"/>
    <x v="0"/>
  </r>
  <r>
    <x v="329"/>
    <x v="150"/>
    <x v="150"/>
    <x v="4"/>
    <x v="16"/>
    <x v="27"/>
    <x v="0"/>
    <x v="0"/>
    <x v="27"/>
    <x v="0"/>
    <x v="7"/>
    <x v="1"/>
    <x v="75"/>
    <x v="12"/>
    <x v="0"/>
  </r>
  <r>
    <x v="330"/>
    <x v="151"/>
    <x v="151"/>
    <x v="2"/>
    <x v="16"/>
    <x v="20"/>
    <x v="0"/>
    <x v="0"/>
    <x v="20"/>
    <x v="0"/>
    <x v="7"/>
    <x v="1"/>
    <x v="75"/>
    <x v="12"/>
    <x v="0"/>
  </r>
  <r>
    <x v="331"/>
    <x v="152"/>
    <x v="152"/>
    <x v="4"/>
    <x v="16"/>
    <x v="25"/>
    <x v="0"/>
    <x v="0"/>
    <x v="25"/>
    <x v="0"/>
    <x v="7"/>
    <x v="1"/>
    <x v="75"/>
    <x v="12"/>
    <x v="0"/>
  </r>
  <r>
    <x v="332"/>
    <x v="79"/>
    <x v="79"/>
    <x v="5"/>
    <x v="16"/>
    <x v="20"/>
    <x v="0"/>
    <x v="0"/>
    <x v="20"/>
    <x v="0"/>
    <x v="7"/>
    <x v="1"/>
    <x v="75"/>
    <x v="12"/>
    <x v="0"/>
  </r>
  <r>
    <x v="333"/>
    <x v="84"/>
    <x v="84"/>
    <x v="5"/>
    <x v="16"/>
    <x v="0"/>
    <x v="0"/>
    <x v="0"/>
    <x v="0"/>
    <x v="0"/>
    <x v="7"/>
    <x v="1"/>
    <x v="75"/>
    <x v="12"/>
    <x v="0"/>
  </r>
  <r>
    <x v="334"/>
    <x v="95"/>
    <x v="95"/>
    <x v="4"/>
    <x v="16"/>
    <x v="3"/>
    <x v="0"/>
    <x v="0"/>
    <x v="3"/>
    <x v="0"/>
    <x v="7"/>
    <x v="1"/>
    <x v="75"/>
    <x v="12"/>
    <x v="0"/>
  </r>
  <r>
    <x v="335"/>
    <x v="123"/>
    <x v="123"/>
    <x v="4"/>
    <x v="16"/>
    <x v="26"/>
    <x v="0"/>
    <x v="0"/>
    <x v="26"/>
    <x v="0"/>
    <x v="7"/>
    <x v="1"/>
    <x v="75"/>
    <x v="12"/>
    <x v="0"/>
  </r>
  <r>
    <x v="336"/>
    <x v="22"/>
    <x v="22"/>
    <x v="6"/>
    <x v="2"/>
    <x v="6"/>
    <x v="0"/>
    <x v="0"/>
    <x v="6"/>
    <x v="0"/>
    <x v="7"/>
    <x v="37"/>
    <x v="238"/>
    <x v="2"/>
    <x v="0"/>
  </r>
  <r>
    <x v="337"/>
    <x v="40"/>
    <x v="40"/>
    <x v="6"/>
    <x v="2"/>
    <x v="6"/>
    <x v="0"/>
    <x v="0"/>
    <x v="6"/>
    <x v="0"/>
    <x v="7"/>
    <x v="37"/>
    <x v="239"/>
    <x v="2"/>
    <x v="0"/>
  </r>
  <r>
    <x v="338"/>
    <x v="38"/>
    <x v="38"/>
    <x v="6"/>
    <x v="2"/>
    <x v="16"/>
    <x v="0"/>
    <x v="0"/>
    <x v="16"/>
    <x v="0"/>
    <x v="7"/>
    <x v="37"/>
    <x v="240"/>
    <x v="2"/>
    <x v="0"/>
  </r>
  <r>
    <x v="339"/>
    <x v="44"/>
    <x v="44"/>
    <x v="6"/>
    <x v="2"/>
    <x v="16"/>
    <x v="0"/>
    <x v="0"/>
    <x v="16"/>
    <x v="0"/>
    <x v="7"/>
    <x v="37"/>
    <x v="241"/>
    <x v="2"/>
    <x v="0"/>
  </r>
  <r>
    <x v="340"/>
    <x v="30"/>
    <x v="30"/>
    <x v="7"/>
    <x v="2"/>
    <x v="7"/>
    <x v="0"/>
    <x v="0"/>
    <x v="7"/>
    <x v="0"/>
    <x v="7"/>
    <x v="37"/>
    <x v="242"/>
    <x v="2"/>
    <x v="0"/>
  </r>
  <r>
    <x v="341"/>
    <x v="127"/>
    <x v="127"/>
    <x v="2"/>
    <x v="2"/>
    <x v="6"/>
    <x v="0"/>
    <x v="0"/>
    <x v="6"/>
    <x v="0"/>
    <x v="7"/>
    <x v="37"/>
    <x v="243"/>
    <x v="2"/>
    <x v="0"/>
  </r>
  <r>
    <x v="342"/>
    <x v="23"/>
    <x v="23"/>
    <x v="2"/>
    <x v="2"/>
    <x v="6"/>
    <x v="0"/>
    <x v="0"/>
    <x v="6"/>
    <x v="0"/>
    <x v="7"/>
    <x v="37"/>
    <x v="244"/>
    <x v="2"/>
    <x v="0"/>
  </r>
  <r>
    <x v="343"/>
    <x v="27"/>
    <x v="27"/>
    <x v="2"/>
    <x v="2"/>
    <x v="90"/>
    <x v="0"/>
    <x v="0"/>
    <x v="91"/>
    <x v="0"/>
    <x v="7"/>
    <x v="37"/>
    <x v="244"/>
    <x v="2"/>
    <x v="0"/>
  </r>
  <r>
    <x v="344"/>
    <x v="55"/>
    <x v="55"/>
    <x v="2"/>
    <x v="2"/>
    <x v="6"/>
    <x v="0"/>
    <x v="0"/>
    <x v="6"/>
    <x v="0"/>
    <x v="7"/>
    <x v="37"/>
    <x v="245"/>
    <x v="2"/>
    <x v="0"/>
  </r>
  <r>
    <x v="345"/>
    <x v="108"/>
    <x v="108"/>
    <x v="3"/>
    <x v="2"/>
    <x v="6"/>
    <x v="0"/>
    <x v="0"/>
    <x v="6"/>
    <x v="0"/>
    <x v="5"/>
    <x v="38"/>
    <x v="246"/>
    <x v="2"/>
    <x v="0"/>
  </r>
  <r>
    <x v="346"/>
    <x v="56"/>
    <x v="56"/>
    <x v="3"/>
    <x v="2"/>
    <x v="16"/>
    <x v="0"/>
    <x v="0"/>
    <x v="16"/>
    <x v="0"/>
    <x v="8"/>
    <x v="38"/>
    <x v="247"/>
    <x v="2"/>
    <x v="0"/>
  </r>
  <r>
    <x v="347"/>
    <x v="117"/>
    <x v="117"/>
    <x v="3"/>
    <x v="2"/>
    <x v="48"/>
    <x v="0"/>
    <x v="0"/>
    <x v="48"/>
    <x v="0"/>
    <x v="8"/>
    <x v="38"/>
    <x v="247"/>
    <x v="2"/>
    <x v="0"/>
  </r>
  <r>
    <x v="348"/>
    <x v="54"/>
    <x v="54"/>
    <x v="2"/>
    <x v="2"/>
    <x v="6"/>
    <x v="0"/>
    <x v="0"/>
    <x v="6"/>
    <x v="0"/>
    <x v="3"/>
    <x v="38"/>
    <x v="248"/>
    <x v="2"/>
    <x v="0"/>
  </r>
  <r>
    <x v="349"/>
    <x v="101"/>
    <x v="101"/>
    <x v="2"/>
    <x v="2"/>
    <x v="6"/>
    <x v="0"/>
    <x v="0"/>
    <x v="6"/>
    <x v="0"/>
    <x v="3"/>
    <x v="38"/>
    <x v="249"/>
    <x v="2"/>
    <x v="0"/>
  </r>
  <r>
    <x v="350"/>
    <x v="98"/>
    <x v="98"/>
    <x v="2"/>
    <x v="2"/>
    <x v="16"/>
    <x v="0"/>
    <x v="0"/>
    <x v="16"/>
    <x v="0"/>
    <x v="3"/>
    <x v="38"/>
    <x v="250"/>
    <x v="2"/>
    <x v="0"/>
  </r>
  <r>
    <x v="351"/>
    <x v="92"/>
    <x v="92"/>
    <x v="4"/>
    <x v="2"/>
    <x v="48"/>
    <x v="0"/>
    <x v="0"/>
    <x v="48"/>
    <x v="0"/>
    <x v="3"/>
    <x v="38"/>
    <x v="251"/>
    <x v="2"/>
    <x v="0"/>
  </r>
  <r>
    <x v="352"/>
    <x v="9"/>
    <x v="9"/>
    <x v="4"/>
    <x v="2"/>
    <x v="48"/>
    <x v="0"/>
    <x v="0"/>
    <x v="48"/>
    <x v="0"/>
    <x v="3"/>
    <x v="37"/>
    <x v="252"/>
    <x v="2"/>
    <x v="0"/>
  </r>
  <r>
    <x v="353"/>
    <x v="10"/>
    <x v="10"/>
    <x v="4"/>
    <x v="2"/>
    <x v="48"/>
    <x v="0"/>
    <x v="0"/>
    <x v="48"/>
    <x v="0"/>
    <x v="3"/>
    <x v="37"/>
    <x v="252"/>
    <x v="2"/>
    <x v="0"/>
  </r>
  <r>
    <x v="354"/>
    <x v="9"/>
    <x v="9"/>
    <x v="4"/>
    <x v="2"/>
    <x v="48"/>
    <x v="0"/>
    <x v="0"/>
    <x v="48"/>
    <x v="0"/>
    <x v="3"/>
    <x v="38"/>
    <x v="253"/>
    <x v="13"/>
    <x v="7"/>
  </r>
  <r>
    <x v="355"/>
    <x v="11"/>
    <x v="11"/>
    <x v="4"/>
    <x v="2"/>
    <x v="48"/>
    <x v="0"/>
    <x v="0"/>
    <x v="48"/>
    <x v="0"/>
    <x v="3"/>
    <x v="38"/>
    <x v="253"/>
    <x v="13"/>
    <x v="7"/>
  </r>
  <r>
    <x v="356"/>
    <x v="31"/>
    <x v="31"/>
    <x v="7"/>
    <x v="17"/>
    <x v="16"/>
    <x v="0"/>
    <x v="0"/>
    <x v="16"/>
    <x v="0"/>
    <x v="7"/>
    <x v="1"/>
    <x v="254"/>
    <x v="13"/>
    <x v="7"/>
  </r>
  <r>
    <x v="357"/>
    <x v="31"/>
    <x v="31"/>
    <x v="7"/>
    <x v="17"/>
    <x v="93"/>
    <x v="0"/>
    <x v="0"/>
    <x v="94"/>
    <x v="0"/>
    <x v="7"/>
    <x v="1"/>
    <x v="255"/>
    <x v="13"/>
    <x v="7"/>
  </r>
  <r>
    <x v="358"/>
    <x v="43"/>
    <x v="43"/>
    <x v="7"/>
    <x v="17"/>
    <x v="6"/>
    <x v="0"/>
    <x v="0"/>
    <x v="6"/>
    <x v="0"/>
    <x v="7"/>
    <x v="1"/>
    <x v="256"/>
    <x v="13"/>
    <x v="7"/>
  </r>
  <r>
    <x v="359"/>
    <x v="153"/>
    <x v="153"/>
    <x v="9"/>
    <x v="17"/>
    <x v="100"/>
    <x v="0"/>
    <x v="0"/>
    <x v="14"/>
    <x v="0"/>
    <x v="7"/>
    <x v="1"/>
    <x v="75"/>
    <x v="13"/>
    <x v="7"/>
  </r>
  <r>
    <x v="360"/>
    <x v="153"/>
    <x v="153"/>
    <x v="9"/>
    <x v="17"/>
    <x v="100"/>
    <x v="0"/>
    <x v="0"/>
    <x v="14"/>
    <x v="0"/>
    <x v="7"/>
    <x v="1"/>
    <x v="75"/>
    <x v="13"/>
    <x v="7"/>
  </r>
  <r>
    <x v="361"/>
    <x v="153"/>
    <x v="153"/>
    <x v="9"/>
    <x v="17"/>
    <x v="100"/>
    <x v="0"/>
    <x v="0"/>
    <x v="14"/>
    <x v="0"/>
    <x v="7"/>
    <x v="1"/>
    <x v="75"/>
    <x v="13"/>
    <x v="7"/>
  </r>
  <r>
    <x v="362"/>
    <x v="153"/>
    <x v="153"/>
    <x v="9"/>
    <x v="17"/>
    <x v="100"/>
    <x v="0"/>
    <x v="0"/>
    <x v="14"/>
    <x v="0"/>
    <x v="7"/>
    <x v="1"/>
    <x v="75"/>
    <x v="13"/>
    <x v="7"/>
  </r>
  <r>
    <x v="363"/>
    <x v="153"/>
    <x v="153"/>
    <x v="9"/>
    <x v="17"/>
    <x v="100"/>
    <x v="0"/>
    <x v="0"/>
    <x v="14"/>
    <x v="0"/>
    <x v="7"/>
    <x v="1"/>
    <x v="75"/>
    <x v="13"/>
    <x v="7"/>
  </r>
  <r>
    <x v="364"/>
    <x v="153"/>
    <x v="153"/>
    <x v="9"/>
    <x v="17"/>
    <x v="100"/>
    <x v="0"/>
    <x v="0"/>
    <x v="14"/>
    <x v="0"/>
    <x v="7"/>
    <x v="1"/>
    <x v="75"/>
    <x v="13"/>
    <x v="7"/>
  </r>
  <r>
    <x v="365"/>
    <x v="153"/>
    <x v="153"/>
    <x v="9"/>
    <x v="17"/>
    <x v="100"/>
    <x v="0"/>
    <x v="0"/>
    <x v="14"/>
    <x v="0"/>
    <x v="7"/>
    <x v="1"/>
    <x v="75"/>
    <x v="13"/>
    <x v="7"/>
  </r>
  <r>
    <x v="366"/>
    <x v="153"/>
    <x v="153"/>
    <x v="9"/>
    <x v="17"/>
    <x v="100"/>
    <x v="0"/>
    <x v="0"/>
    <x v="14"/>
    <x v="0"/>
    <x v="7"/>
    <x v="1"/>
    <x v="75"/>
    <x v="13"/>
    <x v="7"/>
  </r>
  <r>
    <x v="367"/>
    <x v="153"/>
    <x v="153"/>
    <x v="9"/>
    <x v="17"/>
    <x v="100"/>
    <x v="0"/>
    <x v="0"/>
    <x v="14"/>
    <x v="0"/>
    <x v="7"/>
    <x v="1"/>
    <x v="75"/>
    <x v="13"/>
    <x v="7"/>
  </r>
  <r>
    <x v="368"/>
    <x v="153"/>
    <x v="153"/>
    <x v="9"/>
    <x v="17"/>
    <x v="100"/>
    <x v="0"/>
    <x v="0"/>
    <x v="14"/>
    <x v="0"/>
    <x v="7"/>
    <x v="1"/>
    <x v="75"/>
    <x v="13"/>
    <x v="7"/>
  </r>
  <r>
    <x v="369"/>
    <x v="153"/>
    <x v="153"/>
    <x v="9"/>
    <x v="17"/>
    <x v="100"/>
    <x v="0"/>
    <x v="0"/>
    <x v="14"/>
    <x v="0"/>
    <x v="7"/>
    <x v="1"/>
    <x v="75"/>
    <x v="13"/>
    <x v="7"/>
  </r>
  <r>
    <x v="370"/>
    <x v="153"/>
    <x v="153"/>
    <x v="9"/>
    <x v="17"/>
    <x v="100"/>
    <x v="0"/>
    <x v="0"/>
    <x v="14"/>
    <x v="0"/>
    <x v="7"/>
    <x v="1"/>
    <x v="75"/>
    <x v="13"/>
    <x v="7"/>
  </r>
  <r>
    <x v="371"/>
    <x v="153"/>
    <x v="153"/>
    <x v="9"/>
    <x v="17"/>
    <x v="100"/>
    <x v="0"/>
    <x v="0"/>
    <x v="14"/>
    <x v="0"/>
    <x v="7"/>
    <x v="1"/>
    <x v="75"/>
    <x v="13"/>
    <x v="7"/>
  </r>
  <r>
    <x v="372"/>
    <x v="153"/>
    <x v="153"/>
    <x v="9"/>
    <x v="17"/>
    <x v="100"/>
    <x v="0"/>
    <x v="0"/>
    <x v="14"/>
    <x v="0"/>
    <x v="7"/>
    <x v="1"/>
    <x v="75"/>
    <x v="13"/>
    <x v="7"/>
  </r>
  <r>
    <x v="373"/>
    <x v="153"/>
    <x v="153"/>
    <x v="9"/>
    <x v="17"/>
    <x v="100"/>
    <x v="0"/>
    <x v="0"/>
    <x v="14"/>
    <x v="0"/>
    <x v="7"/>
    <x v="1"/>
    <x v="75"/>
    <x v="13"/>
    <x v="7"/>
  </r>
  <r>
    <x v="374"/>
    <x v="153"/>
    <x v="153"/>
    <x v="9"/>
    <x v="17"/>
    <x v="100"/>
    <x v="0"/>
    <x v="0"/>
    <x v="14"/>
    <x v="0"/>
    <x v="7"/>
    <x v="1"/>
    <x v="75"/>
    <x v="13"/>
    <x v="7"/>
  </r>
  <r>
    <x v="375"/>
    <x v="153"/>
    <x v="153"/>
    <x v="9"/>
    <x v="17"/>
    <x v="100"/>
    <x v="0"/>
    <x v="0"/>
    <x v="14"/>
    <x v="0"/>
    <x v="7"/>
    <x v="1"/>
    <x v="75"/>
    <x v="13"/>
    <x v="7"/>
  </r>
  <r>
    <x v="376"/>
    <x v="153"/>
    <x v="153"/>
    <x v="9"/>
    <x v="17"/>
    <x v="100"/>
    <x v="0"/>
    <x v="0"/>
    <x v="14"/>
    <x v="0"/>
    <x v="7"/>
    <x v="1"/>
    <x v="75"/>
    <x v="13"/>
    <x v="7"/>
  </r>
  <r>
    <x v="377"/>
    <x v="153"/>
    <x v="153"/>
    <x v="9"/>
    <x v="17"/>
    <x v="100"/>
    <x v="0"/>
    <x v="0"/>
    <x v="14"/>
    <x v="0"/>
    <x v="7"/>
    <x v="1"/>
    <x v="75"/>
    <x v="13"/>
    <x v="7"/>
  </r>
  <r>
    <x v="378"/>
    <x v="153"/>
    <x v="153"/>
    <x v="9"/>
    <x v="17"/>
    <x v="100"/>
    <x v="0"/>
    <x v="0"/>
    <x v="14"/>
    <x v="0"/>
    <x v="7"/>
    <x v="1"/>
    <x v="75"/>
    <x v="13"/>
    <x v="7"/>
  </r>
  <r>
    <x v="379"/>
    <x v="153"/>
    <x v="153"/>
    <x v="9"/>
    <x v="17"/>
    <x v="100"/>
    <x v="0"/>
    <x v="0"/>
    <x v="14"/>
    <x v="0"/>
    <x v="7"/>
    <x v="1"/>
    <x v="75"/>
    <x v="13"/>
    <x v="7"/>
  </r>
  <r>
    <x v="380"/>
    <x v="153"/>
    <x v="153"/>
    <x v="9"/>
    <x v="17"/>
    <x v="100"/>
    <x v="0"/>
    <x v="0"/>
    <x v="14"/>
    <x v="0"/>
    <x v="7"/>
    <x v="1"/>
    <x v="75"/>
    <x v="13"/>
    <x v="7"/>
  </r>
  <r>
    <x v="381"/>
    <x v="153"/>
    <x v="153"/>
    <x v="9"/>
    <x v="17"/>
    <x v="100"/>
    <x v="0"/>
    <x v="0"/>
    <x v="14"/>
    <x v="0"/>
    <x v="7"/>
    <x v="1"/>
    <x v="75"/>
    <x v="13"/>
    <x v="7"/>
  </r>
  <r>
    <x v="382"/>
    <x v="153"/>
    <x v="153"/>
    <x v="9"/>
    <x v="17"/>
    <x v="100"/>
    <x v="0"/>
    <x v="0"/>
    <x v="14"/>
    <x v="0"/>
    <x v="7"/>
    <x v="1"/>
    <x v="75"/>
    <x v="13"/>
    <x v="7"/>
  </r>
  <r>
    <x v="383"/>
    <x v="153"/>
    <x v="153"/>
    <x v="9"/>
    <x v="17"/>
    <x v="100"/>
    <x v="0"/>
    <x v="0"/>
    <x v="14"/>
    <x v="0"/>
    <x v="7"/>
    <x v="1"/>
    <x v="75"/>
    <x v="13"/>
    <x v="7"/>
  </r>
  <r>
    <x v="384"/>
    <x v="153"/>
    <x v="153"/>
    <x v="9"/>
    <x v="17"/>
    <x v="100"/>
    <x v="0"/>
    <x v="0"/>
    <x v="14"/>
    <x v="0"/>
    <x v="7"/>
    <x v="1"/>
    <x v="75"/>
    <x v="13"/>
    <x v="7"/>
  </r>
  <r>
    <x v="385"/>
    <x v="153"/>
    <x v="153"/>
    <x v="9"/>
    <x v="17"/>
    <x v="100"/>
    <x v="0"/>
    <x v="0"/>
    <x v="14"/>
    <x v="0"/>
    <x v="7"/>
    <x v="1"/>
    <x v="75"/>
    <x v="13"/>
    <x v="7"/>
  </r>
  <r>
    <x v="386"/>
    <x v="153"/>
    <x v="153"/>
    <x v="9"/>
    <x v="17"/>
    <x v="100"/>
    <x v="0"/>
    <x v="0"/>
    <x v="14"/>
    <x v="0"/>
    <x v="7"/>
    <x v="1"/>
    <x v="75"/>
    <x v="13"/>
    <x v="7"/>
  </r>
  <r>
    <x v="387"/>
    <x v="153"/>
    <x v="153"/>
    <x v="9"/>
    <x v="17"/>
    <x v="100"/>
    <x v="0"/>
    <x v="0"/>
    <x v="14"/>
    <x v="0"/>
    <x v="7"/>
    <x v="1"/>
    <x v="75"/>
    <x v="13"/>
    <x v="7"/>
  </r>
  <r>
    <x v="388"/>
    <x v="153"/>
    <x v="153"/>
    <x v="9"/>
    <x v="17"/>
    <x v="100"/>
    <x v="0"/>
    <x v="0"/>
    <x v="14"/>
    <x v="0"/>
    <x v="7"/>
    <x v="1"/>
    <x v="75"/>
    <x v="13"/>
    <x v="7"/>
  </r>
  <r>
    <x v="389"/>
    <x v="153"/>
    <x v="153"/>
    <x v="9"/>
    <x v="17"/>
    <x v="100"/>
    <x v="0"/>
    <x v="0"/>
    <x v="14"/>
    <x v="0"/>
    <x v="7"/>
    <x v="1"/>
    <x v="75"/>
    <x v="13"/>
    <x v="7"/>
  </r>
  <r>
    <x v="390"/>
    <x v="153"/>
    <x v="153"/>
    <x v="9"/>
    <x v="17"/>
    <x v="100"/>
    <x v="0"/>
    <x v="0"/>
    <x v="14"/>
    <x v="0"/>
    <x v="7"/>
    <x v="1"/>
    <x v="75"/>
    <x v="13"/>
    <x v="7"/>
  </r>
  <r>
    <x v="391"/>
    <x v="153"/>
    <x v="153"/>
    <x v="9"/>
    <x v="17"/>
    <x v="100"/>
    <x v="0"/>
    <x v="0"/>
    <x v="14"/>
    <x v="0"/>
    <x v="7"/>
    <x v="1"/>
    <x v="75"/>
    <x v="13"/>
    <x v="7"/>
  </r>
  <r>
    <x v="392"/>
    <x v="153"/>
    <x v="153"/>
    <x v="9"/>
    <x v="17"/>
    <x v="100"/>
    <x v="0"/>
    <x v="0"/>
    <x v="14"/>
    <x v="0"/>
    <x v="7"/>
    <x v="1"/>
    <x v="75"/>
    <x v="13"/>
    <x v="7"/>
  </r>
  <r>
    <x v="393"/>
    <x v="153"/>
    <x v="153"/>
    <x v="9"/>
    <x v="17"/>
    <x v="100"/>
    <x v="0"/>
    <x v="0"/>
    <x v="14"/>
    <x v="0"/>
    <x v="7"/>
    <x v="1"/>
    <x v="75"/>
    <x v="13"/>
    <x v="7"/>
  </r>
  <r>
    <x v="394"/>
    <x v="153"/>
    <x v="153"/>
    <x v="9"/>
    <x v="17"/>
    <x v="100"/>
    <x v="0"/>
    <x v="0"/>
    <x v="14"/>
    <x v="0"/>
    <x v="7"/>
    <x v="1"/>
    <x v="75"/>
    <x v="13"/>
    <x v="7"/>
  </r>
  <r>
    <x v="395"/>
    <x v="153"/>
    <x v="153"/>
    <x v="9"/>
    <x v="17"/>
    <x v="100"/>
    <x v="0"/>
    <x v="0"/>
    <x v="14"/>
    <x v="0"/>
    <x v="7"/>
    <x v="1"/>
    <x v="75"/>
    <x v="13"/>
    <x v="7"/>
  </r>
  <r>
    <x v="396"/>
    <x v="153"/>
    <x v="153"/>
    <x v="9"/>
    <x v="17"/>
    <x v="100"/>
    <x v="0"/>
    <x v="0"/>
    <x v="14"/>
    <x v="0"/>
    <x v="7"/>
    <x v="1"/>
    <x v="75"/>
    <x v="13"/>
    <x v="7"/>
  </r>
  <r>
    <x v="397"/>
    <x v="153"/>
    <x v="153"/>
    <x v="9"/>
    <x v="17"/>
    <x v="100"/>
    <x v="0"/>
    <x v="0"/>
    <x v="14"/>
    <x v="0"/>
    <x v="7"/>
    <x v="1"/>
    <x v="75"/>
    <x v="13"/>
    <x v="7"/>
  </r>
  <r>
    <x v="398"/>
    <x v="153"/>
    <x v="153"/>
    <x v="9"/>
    <x v="17"/>
    <x v="100"/>
    <x v="0"/>
    <x v="0"/>
    <x v="14"/>
    <x v="0"/>
    <x v="7"/>
    <x v="1"/>
    <x v="75"/>
    <x v="13"/>
    <x v="7"/>
  </r>
  <r>
    <x v="399"/>
    <x v="153"/>
    <x v="153"/>
    <x v="9"/>
    <x v="17"/>
    <x v="100"/>
    <x v="0"/>
    <x v="0"/>
    <x v="14"/>
    <x v="0"/>
    <x v="7"/>
    <x v="1"/>
    <x v="75"/>
    <x v="13"/>
    <x v="7"/>
  </r>
  <r>
    <x v="400"/>
    <x v="153"/>
    <x v="153"/>
    <x v="9"/>
    <x v="17"/>
    <x v="100"/>
    <x v="0"/>
    <x v="0"/>
    <x v="14"/>
    <x v="0"/>
    <x v="7"/>
    <x v="1"/>
    <x v="75"/>
    <x v="13"/>
    <x v="7"/>
  </r>
  <r>
    <x v="401"/>
    <x v="153"/>
    <x v="153"/>
    <x v="9"/>
    <x v="17"/>
    <x v="100"/>
    <x v="0"/>
    <x v="0"/>
    <x v="14"/>
    <x v="0"/>
    <x v="7"/>
    <x v="1"/>
    <x v="75"/>
    <x v="13"/>
    <x v="7"/>
  </r>
  <r>
    <x v="402"/>
    <x v="153"/>
    <x v="153"/>
    <x v="9"/>
    <x v="17"/>
    <x v="100"/>
    <x v="0"/>
    <x v="0"/>
    <x v="14"/>
    <x v="0"/>
    <x v="7"/>
    <x v="1"/>
    <x v="75"/>
    <x v="13"/>
    <x v="7"/>
  </r>
  <r>
    <x v="403"/>
    <x v="153"/>
    <x v="153"/>
    <x v="9"/>
    <x v="17"/>
    <x v="100"/>
    <x v="0"/>
    <x v="0"/>
    <x v="14"/>
    <x v="0"/>
    <x v="7"/>
    <x v="1"/>
    <x v="75"/>
    <x v="13"/>
    <x v="7"/>
  </r>
  <r>
    <x v="404"/>
    <x v="153"/>
    <x v="153"/>
    <x v="9"/>
    <x v="17"/>
    <x v="100"/>
    <x v="0"/>
    <x v="0"/>
    <x v="14"/>
    <x v="0"/>
    <x v="7"/>
    <x v="1"/>
    <x v="75"/>
    <x v="13"/>
    <x v="7"/>
  </r>
  <r>
    <x v="405"/>
    <x v="153"/>
    <x v="153"/>
    <x v="9"/>
    <x v="17"/>
    <x v="100"/>
    <x v="0"/>
    <x v="0"/>
    <x v="14"/>
    <x v="0"/>
    <x v="7"/>
    <x v="1"/>
    <x v="75"/>
    <x v="13"/>
    <x v="7"/>
  </r>
  <r>
    <x v="406"/>
    <x v="153"/>
    <x v="153"/>
    <x v="9"/>
    <x v="17"/>
    <x v="100"/>
    <x v="0"/>
    <x v="0"/>
    <x v="14"/>
    <x v="0"/>
    <x v="7"/>
    <x v="1"/>
    <x v="75"/>
    <x v="13"/>
    <x v="7"/>
  </r>
  <r>
    <x v="407"/>
    <x v="153"/>
    <x v="153"/>
    <x v="9"/>
    <x v="17"/>
    <x v="100"/>
    <x v="0"/>
    <x v="0"/>
    <x v="14"/>
    <x v="0"/>
    <x v="7"/>
    <x v="1"/>
    <x v="75"/>
    <x v="13"/>
    <x v="7"/>
  </r>
  <r>
    <x v="408"/>
    <x v="153"/>
    <x v="153"/>
    <x v="9"/>
    <x v="17"/>
    <x v="100"/>
    <x v="0"/>
    <x v="0"/>
    <x v="14"/>
    <x v="0"/>
    <x v="7"/>
    <x v="1"/>
    <x v="75"/>
    <x v="13"/>
    <x v="7"/>
  </r>
  <r>
    <x v="409"/>
    <x v="153"/>
    <x v="153"/>
    <x v="9"/>
    <x v="17"/>
    <x v="100"/>
    <x v="0"/>
    <x v="0"/>
    <x v="14"/>
    <x v="0"/>
    <x v="7"/>
    <x v="1"/>
    <x v="75"/>
    <x v="13"/>
    <x v="7"/>
  </r>
  <r>
    <x v="410"/>
    <x v="153"/>
    <x v="153"/>
    <x v="9"/>
    <x v="17"/>
    <x v="100"/>
    <x v="0"/>
    <x v="0"/>
    <x v="14"/>
    <x v="0"/>
    <x v="7"/>
    <x v="1"/>
    <x v="75"/>
    <x v="13"/>
    <x v="7"/>
  </r>
  <r>
    <x v="411"/>
    <x v="153"/>
    <x v="153"/>
    <x v="9"/>
    <x v="17"/>
    <x v="100"/>
    <x v="0"/>
    <x v="0"/>
    <x v="14"/>
    <x v="0"/>
    <x v="7"/>
    <x v="1"/>
    <x v="75"/>
    <x v="13"/>
    <x v="7"/>
  </r>
  <r>
    <x v="412"/>
    <x v="153"/>
    <x v="153"/>
    <x v="9"/>
    <x v="17"/>
    <x v="100"/>
    <x v="0"/>
    <x v="0"/>
    <x v="14"/>
    <x v="0"/>
    <x v="7"/>
    <x v="1"/>
    <x v="75"/>
    <x v="13"/>
    <x v="7"/>
  </r>
  <r>
    <x v="413"/>
    <x v="153"/>
    <x v="153"/>
    <x v="9"/>
    <x v="17"/>
    <x v="100"/>
    <x v="0"/>
    <x v="0"/>
    <x v="14"/>
    <x v="0"/>
    <x v="7"/>
    <x v="1"/>
    <x v="75"/>
    <x v="13"/>
    <x v="7"/>
  </r>
  <r>
    <x v="414"/>
    <x v="153"/>
    <x v="153"/>
    <x v="9"/>
    <x v="17"/>
    <x v="100"/>
    <x v="0"/>
    <x v="0"/>
    <x v="14"/>
    <x v="0"/>
    <x v="7"/>
    <x v="1"/>
    <x v="75"/>
    <x v="13"/>
    <x v="7"/>
  </r>
  <r>
    <x v="415"/>
    <x v="153"/>
    <x v="153"/>
    <x v="9"/>
    <x v="17"/>
    <x v="100"/>
    <x v="0"/>
    <x v="0"/>
    <x v="14"/>
    <x v="0"/>
    <x v="7"/>
    <x v="1"/>
    <x v="75"/>
    <x v="13"/>
    <x v="7"/>
  </r>
  <r>
    <x v="416"/>
    <x v="153"/>
    <x v="153"/>
    <x v="9"/>
    <x v="17"/>
    <x v="100"/>
    <x v="0"/>
    <x v="0"/>
    <x v="14"/>
    <x v="0"/>
    <x v="7"/>
    <x v="1"/>
    <x v="75"/>
    <x v="13"/>
    <x v="7"/>
  </r>
  <r>
    <x v="417"/>
    <x v="153"/>
    <x v="153"/>
    <x v="9"/>
    <x v="17"/>
    <x v="100"/>
    <x v="0"/>
    <x v="0"/>
    <x v="14"/>
    <x v="0"/>
    <x v="7"/>
    <x v="1"/>
    <x v="75"/>
    <x v="13"/>
    <x v="7"/>
  </r>
  <r>
    <x v="418"/>
    <x v="153"/>
    <x v="153"/>
    <x v="9"/>
    <x v="17"/>
    <x v="100"/>
    <x v="0"/>
    <x v="0"/>
    <x v="14"/>
    <x v="0"/>
    <x v="7"/>
    <x v="1"/>
    <x v="75"/>
    <x v="13"/>
    <x v="7"/>
  </r>
  <r>
    <x v="419"/>
    <x v="153"/>
    <x v="153"/>
    <x v="9"/>
    <x v="17"/>
    <x v="100"/>
    <x v="0"/>
    <x v="0"/>
    <x v="14"/>
    <x v="0"/>
    <x v="7"/>
    <x v="1"/>
    <x v="75"/>
    <x v="13"/>
    <x v="7"/>
  </r>
  <r>
    <x v="420"/>
    <x v="153"/>
    <x v="153"/>
    <x v="9"/>
    <x v="17"/>
    <x v="100"/>
    <x v="0"/>
    <x v="0"/>
    <x v="14"/>
    <x v="0"/>
    <x v="7"/>
    <x v="1"/>
    <x v="75"/>
    <x v="13"/>
    <x v="7"/>
  </r>
  <r>
    <x v="421"/>
    <x v="153"/>
    <x v="153"/>
    <x v="9"/>
    <x v="17"/>
    <x v="100"/>
    <x v="0"/>
    <x v="0"/>
    <x v="14"/>
    <x v="0"/>
    <x v="7"/>
    <x v="1"/>
    <x v="75"/>
    <x v="13"/>
    <x v="7"/>
  </r>
  <r>
    <x v="422"/>
    <x v="153"/>
    <x v="153"/>
    <x v="9"/>
    <x v="17"/>
    <x v="100"/>
    <x v="0"/>
    <x v="0"/>
    <x v="14"/>
    <x v="0"/>
    <x v="7"/>
    <x v="1"/>
    <x v="75"/>
    <x v="13"/>
    <x v="7"/>
  </r>
  <r>
    <x v="423"/>
    <x v="153"/>
    <x v="153"/>
    <x v="9"/>
    <x v="17"/>
    <x v="100"/>
    <x v="0"/>
    <x v="0"/>
    <x v="14"/>
    <x v="0"/>
    <x v="7"/>
    <x v="1"/>
    <x v="75"/>
    <x v="13"/>
    <x v="7"/>
  </r>
  <r>
    <x v="424"/>
    <x v="153"/>
    <x v="153"/>
    <x v="9"/>
    <x v="17"/>
    <x v="100"/>
    <x v="0"/>
    <x v="0"/>
    <x v="14"/>
    <x v="0"/>
    <x v="7"/>
    <x v="1"/>
    <x v="75"/>
    <x v="13"/>
    <x v="7"/>
  </r>
  <r>
    <x v="425"/>
    <x v="153"/>
    <x v="153"/>
    <x v="9"/>
    <x v="17"/>
    <x v="100"/>
    <x v="0"/>
    <x v="0"/>
    <x v="14"/>
    <x v="0"/>
    <x v="7"/>
    <x v="1"/>
    <x v="75"/>
    <x v="13"/>
    <x v="7"/>
  </r>
  <r>
    <x v="426"/>
    <x v="153"/>
    <x v="153"/>
    <x v="9"/>
    <x v="17"/>
    <x v="100"/>
    <x v="0"/>
    <x v="0"/>
    <x v="14"/>
    <x v="0"/>
    <x v="7"/>
    <x v="1"/>
    <x v="75"/>
    <x v="13"/>
    <x v="7"/>
  </r>
  <r>
    <x v="427"/>
    <x v="153"/>
    <x v="153"/>
    <x v="9"/>
    <x v="17"/>
    <x v="100"/>
    <x v="0"/>
    <x v="0"/>
    <x v="14"/>
    <x v="0"/>
    <x v="7"/>
    <x v="1"/>
    <x v="75"/>
    <x v="13"/>
    <x v="7"/>
  </r>
  <r>
    <x v="428"/>
    <x v="153"/>
    <x v="153"/>
    <x v="9"/>
    <x v="17"/>
    <x v="100"/>
    <x v="0"/>
    <x v="0"/>
    <x v="14"/>
    <x v="0"/>
    <x v="7"/>
    <x v="1"/>
    <x v="75"/>
    <x v="13"/>
    <x v="7"/>
  </r>
  <r>
    <x v="429"/>
    <x v="153"/>
    <x v="153"/>
    <x v="9"/>
    <x v="17"/>
    <x v="100"/>
    <x v="0"/>
    <x v="0"/>
    <x v="14"/>
    <x v="0"/>
    <x v="7"/>
    <x v="1"/>
    <x v="75"/>
    <x v="13"/>
    <x v="7"/>
  </r>
  <r>
    <x v="430"/>
    <x v="153"/>
    <x v="153"/>
    <x v="9"/>
    <x v="17"/>
    <x v="100"/>
    <x v="0"/>
    <x v="0"/>
    <x v="14"/>
    <x v="0"/>
    <x v="7"/>
    <x v="1"/>
    <x v="75"/>
    <x v="13"/>
    <x v="7"/>
  </r>
  <r>
    <x v="431"/>
    <x v="153"/>
    <x v="153"/>
    <x v="9"/>
    <x v="17"/>
    <x v="100"/>
    <x v="0"/>
    <x v="0"/>
    <x v="14"/>
    <x v="0"/>
    <x v="7"/>
    <x v="1"/>
    <x v="75"/>
    <x v="13"/>
    <x v="7"/>
  </r>
  <r>
    <x v="432"/>
    <x v="153"/>
    <x v="153"/>
    <x v="9"/>
    <x v="17"/>
    <x v="100"/>
    <x v="0"/>
    <x v="0"/>
    <x v="14"/>
    <x v="0"/>
    <x v="7"/>
    <x v="1"/>
    <x v="75"/>
    <x v="13"/>
    <x v="7"/>
  </r>
  <r>
    <x v="433"/>
    <x v="153"/>
    <x v="153"/>
    <x v="9"/>
    <x v="17"/>
    <x v="100"/>
    <x v="0"/>
    <x v="0"/>
    <x v="14"/>
    <x v="0"/>
    <x v="7"/>
    <x v="1"/>
    <x v="75"/>
    <x v="13"/>
    <x v="7"/>
  </r>
  <r>
    <x v="434"/>
    <x v="153"/>
    <x v="153"/>
    <x v="9"/>
    <x v="17"/>
    <x v="100"/>
    <x v="0"/>
    <x v="0"/>
    <x v="14"/>
    <x v="0"/>
    <x v="7"/>
    <x v="1"/>
    <x v="75"/>
    <x v="13"/>
    <x v="7"/>
  </r>
  <r>
    <x v="435"/>
    <x v="153"/>
    <x v="153"/>
    <x v="9"/>
    <x v="17"/>
    <x v="100"/>
    <x v="0"/>
    <x v="0"/>
    <x v="14"/>
    <x v="0"/>
    <x v="7"/>
    <x v="1"/>
    <x v="75"/>
    <x v="13"/>
    <x v="7"/>
  </r>
  <r>
    <x v="436"/>
    <x v="153"/>
    <x v="153"/>
    <x v="9"/>
    <x v="17"/>
    <x v="100"/>
    <x v="0"/>
    <x v="0"/>
    <x v="14"/>
    <x v="0"/>
    <x v="7"/>
    <x v="1"/>
    <x v="75"/>
    <x v="13"/>
    <x v="7"/>
  </r>
  <r>
    <x v="437"/>
    <x v="153"/>
    <x v="153"/>
    <x v="9"/>
    <x v="17"/>
    <x v="100"/>
    <x v="0"/>
    <x v="0"/>
    <x v="14"/>
    <x v="0"/>
    <x v="7"/>
    <x v="1"/>
    <x v="75"/>
    <x v="13"/>
    <x v="7"/>
  </r>
  <r>
    <x v="438"/>
    <x v="153"/>
    <x v="153"/>
    <x v="9"/>
    <x v="17"/>
    <x v="100"/>
    <x v="0"/>
    <x v="0"/>
    <x v="14"/>
    <x v="0"/>
    <x v="7"/>
    <x v="1"/>
    <x v="75"/>
    <x v="13"/>
    <x v="7"/>
  </r>
  <r>
    <x v="439"/>
    <x v="153"/>
    <x v="153"/>
    <x v="9"/>
    <x v="17"/>
    <x v="100"/>
    <x v="0"/>
    <x v="0"/>
    <x v="14"/>
    <x v="0"/>
    <x v="7"/>
    <x v="1"/>
    <x v="75"/>
    <x v="13"/>
    <x v="7"/>
  </r>
  <r>
    <x v="440"/>
    <x v="153"/>
    <x v="153"/>
    <x v="9"/>
    <x v="17"/>
    <x v="100"/>
    <x v="0"/>
    <x v="0"/>
    <x v="14"/>
    <x v="0"/>
    <x v="7"/>
    <x v="1"/>
    <x v="75"/>
    <x v="13"/>
    <x v="7"/>
  </r>
  <r>
    <x v="441"/>
    <x v="153"/>
    <x v="153"/>
    <x v="9"/>
    <x v="17"/>
    <x v="100"/>
    <x v="0"/>
    <x v="0"/>
    <x v="14"/>
    <x v="0"/>
    <x v="7"/>
    <x v="1"/>
    <x v="75"/>
    <x v="13"/>
    <x v="7"/>
  </r>
  <r>
    <x v="442"/>
    <x v="153"/>
    <x v="153"/>
    <x v="9"/>
    <x v="17"/>
    <x v="100"/>
    <x v="0"/>
    <x v="0"/>
    <x v="14"/>
    <x v="0"/>
    <x v="7"/>
    <x v="1"/>
    <x v="75"/>
    <x v="13"/>
    <x v="7"/>
  </r>
  <r>
    <x v="443"/>
    <x v="153"/>
    <x v="153"/>
    <x v="9"/>
    <x v="17"/>
    <x v="100"/>
    <x v="0"/>
    <x v="0"/>
    <x v="14"/>
    <x v="0"/>
    <x v="7"/>
    <x v="1"/>
    <x v="75"/>
    <x v="13"/>
    <x v="7"/>
  </r>
  <r>
    <x v="444"/>
    <x v="153"/>
    <x v="153"/>
    <x v="9"/>
    <x v="17"/>
    <x v="100"/>
    <x v="0"/>
    <x v="0"/>
    <x v="14"/>
    <x v="0"/>
    <x v="7"/>
    <x v="1"/>
    <x v="75"/>
    <x v="13"/>
    <x v="7"/>
  </r>
  <r>
    <x v="445"/>
    <x v="153"/>
    <x v="153"/>
    <x v="9"/>
    <x v="17"/>
    <x v="100"/>
    <x v="0"/>
    <x v="0"/>
    <x v="14"/>
    <x v="0"/>
    <x v="7"/>
    <x v="1"/>
    <x v="75"/>
    <x v="13"/>
    <x v="7"/>
  </r>
  <r>
    <x v="446"/>
    <x v="153"/>
    <x v="153"/>
    <x v="9"/>
    <x v="17"/>
    <x v="100"/>
    <x v="0"/>
    <x v="0"/>
    <x v="14"/>
    <x v="0"/>
    <x v="7"/>
    <x v="1"/>
    <x v="75"/>
    <x v="13"/>
    <x v="7"/>
  </r>
  <r>
    <x v="447"/>
    <x v="153"/>
    <x v="153"/>
    <x v="9"/>
    <x v="17"/>
    <x v="100"/>
    <x v="0"/>
    <x v="0"/>
    <x v="14"/>
    <x v="0"/>
    <x v="7"/>
    <x v="1"/>
    <x v="75"/>
    <x v="13"/>
    <x v="7"/>
  </r>
  <r>
    <x v="448"/>
    <x v="153"/>
    <x v="153"/>
    <x v="9"/>
    <x v="17"/>
    <x v="100"/>
    <x v="0"/>
    <x v="0"/>
    <x v="14"/>
    <x v="0"/>
    <x v="7"/>
    <x v="1"/>
    <x v="75"/>
    <x v="13"/>
    <x v="7"/>
  </r>
  <r>
    <x v="449"/>
    <x v="153"/>
    <x v="153"/>
    <x v="9"/>
    <x v="17"/>
    <x v="100"/>
    <x v="0"/>
    <x v="0"/>
    <x v="14"/>
    <x v="0"/>
    <x v="7"/>
    <x v="1"/>
    <x v="75"/>
    <x v="13"/>
    <x v="7"/>
  </r>
  <r>
    <x v="450"/>
    <x v="153"/>
    <x v="153"/>
    <x v="9"/>
    <x v="17"/>
    <x v="100"/>
    <x v="0"/>
    <x v="0"/>
    <x v="14"/>
    <x v="0"/>
    <x v="7"/>
    <x v="1"/>
    <x v="75"/>
    <x v="13"/>
    <x v="7"/>
  </r>
  <r>
    <x v="451"/>
    <x v="153"/>
    <x v="153"/>
    <x v="9"/>
    <x v="17"/>
    <x v="100"/>
    <x v="0"/>
    <x v="0"/>
    <x v="14"/>
    <x v="0"/>
    <x v="7"/>
    <x v="1"/>
    <x v="75"/>
    <x v="13"/>
    <x v="7"/>
  </r>
  <r>
    <x v="452"/>
    <x v="153"/>
    <x v="153"/>
    <x v="9"/>
    <x v="17"/>
    <x v="100"/>
    <x v="0"/>
    <x v="0"/>
    <x v="14"/>
    <x v="0"/>
    <x v="7"/>
    <x v="1"/>
    <x v="75"/>
    <x v="13"/>
    <x v="7"/>
  </r>
  <r>
    <x v="453"/>
    <x v="153"/>
    <x v="153"/>
    <x v="9"/>
    <x v="17"/>
    <x v="100"/>
    <x v="0"/>
    <x v="0"/>
    <x v="14"/>
    <x v="0"/>
    <x v="7"/>
    <x v="1"/>
    <x v="75"/>
    <x v="13"/>
    <x v="7"/>
  </r>
  <r>
    <x v="454"/>
    <x v="153"/>
    <x v="153"/>
    <x v="9"/>
    <x v="17"/>
    <x v="100"/>
    <x v="0"/>
    <x v="0"/>
    <x v="14"/>
    <x v="0"/>
    <x v="7"/>
    <x v="1"/>
    <x v="75"/>
    <x v="13"/>
    <x v="7"/>
  </r>
  <r>
    <x v="455"/>
    <x v="153"/>
    <x v="153"/>
    <x v="9"/>
    <x v="17"/>
    <x v="100"/>
    <x v="0"/>
    <x v="0"/>
    <x v="14"/>
    <x v="0"/>
    <x v="7"/>
    <x v="1"/>
    <x v="75"/>
    <x v="13"/>
    <x v="7"/>
  </r>
  <r>
    <x v="456"/>
    <x v="153"/>
    <x v="153"/>
    <x v="9"/>
    <x v="17"/>
    <x v="100"/>
    <x v="0"/>
    <x v="0"/>
    <x v="14"/>
    <x v="0"/>
    <x v="7"/>
    <x v="1"/>
    <x v="75"/>
    <x v="13"/>
    <x v="7"/>
  </r>
  <r>
    <x v="457"/>
    <x v="153"/>
    <x v="153"/>
    <x v="9"/>
    <x v="17"/>
    <x v="100"/>
    <x v="0"/>
    <x v="0"/>
    <x v="14"/>
    <x v="0"/>
    <x v="7"/>
    <x v="1"/>
    <x v="75"/>
    <x v="13"/>
    <x v="7"/>
  </r>
  <r>
    <x v="458"/>
    <x v="153"/>
    <x v="153"/>
    <x v="9"/>
    <x v="17"/>
    <x v="100"/>
    <x v="0"/>
    <x v="0"/>
    <x v="14"/>
    <x v="0"/>
    <x v="7"/>
    <x v="1"/>
    <x v="75"/>
    <x v="13"/>
    <x v="7"/>
  </r>
  <r>
    <x v="459"/>
    <x v="153"/>
    <x v="153"/>
    <x v="9"/>
    <x v="17"/>
    <x v="100"/>
    <x v="0"/>
    <x v="0"/>
    <x v="14"/>
    <x v="0"/>
    <x v="7"/>
    <x v="1"/>
    <x v="75"/>
    <x v="13"/>
    <x v="7"/>
  </r>
  <r>
    <x v="460"/>
    <x v="153"/>
    <x v="153"/>
    <x v="9"/>
    <x v="17"/>
    <x v="100"/>
    <x v="0"/>
    <x v="0"/>
    <x v="14"/>
    <x v="0"/>
    <x v="7"/>
    <x v="1"/>
    <x v="75"/>
    <x v="13"/>
    <x v="7"/>
  </r>
  <r>
    <x v="461"/>
    <x v="153"/>
    <x v="153"/>
    <x v="9"/>
    <x v="17"/>
    <x v="100"/>
    <x v="0"/>
    <x v="0"/>
    <x v="14"/>
    <x v="0"/>
    <x v="7"/>
    <x v="1"/>
    <x v="75"/>
    <x v="13"/>
    <x v="7"/>
  </r>
  <r>
    <x v="462"/>
    <x v="153"/>
    <x v="153"/>
    <x v="9"/>
    <x v="17"/>
    <x v="100"/>
    <x v="0"/>
    <x v="0"/>
    <x v="14"/>
    <x v="0"/>
    <x v="7"/>
    <x v="1"/>
    <x v="75"/>
    <x v="13"/>
    <x v="7"/>
  </r>
  <r>
    <x v="463"/>
    <x v="153"/>
    <x v="153"/>
    <x v="9"/>
    <x v="17"/>
    <x v="100"/>
    <x v="0"/>
    <x v="0"/>
    <x v="14"/>
    <x v="0"/>
    <x v="7"/>
    <x v="1"/>
    <x v="75"/>
    <x v="13"/>
    <x v="7"/>
  </r>
  <r>
    <x v="464"/>
    <x v="153"/>
    <x v="153"/>
    <x v="9"/>
    <x v="17"/>
    <x v="100"/>
    <x v="0"/>
    <x v="0"/>
    <x v="14"/>
    <x v="0"/>
    <x v="7"/>
    <x v="1"/>
    <x v="75"/>
    <x v="13"/>
    <x v="7"/>
  </r>
  <r>
    <x v="465"/>
    <x v="153"/>
    <x v="153"/>
    <x v="9"/>
    <x v="17"/>
    <x v="100"/>
    <x v="0"/>
    <x v="0"/>
    <x v="14"/>
    <x v="0"/>
    <x v="7"/>
    <x v="1"/>
    <x v="75"/>
    <x v="13"/>
    <x v="7"/>
  </r>
  <r>
    <x v="466"/>
    <x v="153"/>
    <x v="153"/>
    <x v="9"/>
    <x v="17"/>
    <x v="100"/>
    <x v="0"/>
    <x v="0"/>
    <x v="14"/>
    <x v="0"/>
    <x v="7"/>
    <x v="1"/>
    <x v="75"/>
    <x v="13"/>
    <x v="7"/>
  </r>
  <r>
    <x v="467"/>
    <x v="153"/>
    <x v="153"/>
    <x v="9"/>
    <x v="17"/>
    <x v="100"/>
    <x v="0"/>
    <x v="0"/>
    <x v="14"/>
    <x v="0"/>
    <x v="7"/>
    <x v="1"/>
    <x v="75"/>
    <x v="13"/>
    <x v="7"/>
  </r>
  <r>
    <x v="468"/>
    <x v="153"/>
    <x v="153"/>
    <x v="9"/>
    <x v="17"/>
    <x v="100"/>
    <x v="0"/>
    <x v="0"/>
    <x v="14"/>
    <x v="0"/>
    <x v="7"/>
    <x v="1"/>
    <x v="75"/>
    <x v="13"/>
    <x v="7"/>
  </r>
  <r>
    <x v="469"/>
    <x v="153"/>
    <x v="153"/>
    <x v="9"/>
    <x v="17"/>
    <x v="100"/>
    <x v="0"/>
    <x v="0"/>
    <x v="14"/>
    <x v="0"/>
    <x v="7"/>
    <x v="1"/>
    <x v="75"/>
    <x v="13"/>
    <x v="7"/>
  </r>
  <r>
    <x v="470"/>
    <x v="153"/>
    <x v="153"/>
    <x v="9"/>
    <x v="17"/>
    <x v="100"/>
    <x v="0"/>
    <x v="0"/>
    <x v="14"/>
    <x v="0"/>
    <x v="7"/>
    <x v="1"/>
    <x v="75"/>
    <x v="13"/>
    <x v="7"/>
  </r>
  <r>
    <x v="471"/>
    <x v="153"/>
    <x v="153"/>
    <x v="9"/>
    <x v="17"/>
    <x v="100"/>
    <x v="0"/>
    <x v="0"/>
    <x v="14"/>
    <x v="0"/>
    <x v="7"/>
    <x v="1"/>
    <x v="75"/>
    <x v="13"/>
    <x v="7"/>
  </r>
  <r>
    <x v="472"/>
    <x v="153"/>
    <x v="153"/>
    <x v="9"/>
    <x v="17"/>
    <x v="100"/>
    <x v="0"/>
    <x v="0"/>
    <x v="14"/>
    <x v="0"/>
    <x v="7"/>
    <x v="1"/>
    <x v="75"/>
    <x v="13"/>
    <x v="7"/>
  </r>
  <r>
    <x v="473"/>
    <x v="153"/>
    <x v="153"/>
    <x v="9"/>
    <x v="17"/>
    <x v="100"/>
    <x v="0"/>
    <x v="0"/>
    <x v="14"/>
    <x v="0"/>
    <x v="7"/>
    <x v="1"/>
    <x v="75"/>
    <x v="13"/>
    <x v="7"/>
  </r>
  <r>
    <x v="474"/>
    <x v="153"/>
    <x v="153"/>
    <x v="9"/>
    <x v="17"/>
    <x v="100"/>
    <x v="0"/>
    <x v="0"/>
    <x v="14"/>
    <x v="0"/>
    <x v="7"/>
    <x v="1"/>
    <x v="75"/>
    <x v="13"/>
    <x v="7"/>
  </r>
  <r>
    <x v="475"/>
    <x v="153"/>
    <x v="153"/>
    <x v="9"/>
    <x v="17"/>
    <x v="100"/>
    <x v="0"/>
    <x v="0"/>
    <x v="14"/>
    <x v="0"/>
    <x v="7"/>
    <x v="1"/>
    <x v="75"/>
    <x v="13"/>
    <x v="7"/>
  </r>
  <r>
    <x v="476"/>
    <x v="153"/>
    <x v="153"/>
    <x v="9"/>
    <x v="17"/>
    <x v="100"/>
    <x v="0"/>
    <x v="0"/>
    <x v="14"/>
    <x v="0"/>
    <x v="7"/>
    <x v="1"/>
    <x v="75"/>
    <x v="13"/>
    <x v="7"/>
  </r>
  <r>
    <x v="477"/>
    <x v="153"/>
    <x v="153"/>
    <x v="9"/>
    <x v="17"/>
    <x v="100"/>
    <x v="0"/>
    <x v="0"/>
    <x v="14"/>
    <x v="0"/>
    <x v="7"/>
    <x v="1"/>
    <x v="75"/>
    <x v="13"/>
    <x v="7"/>
  </r>
  <r>
    <x v="478"/>
    <x v="153"/>
    <x v="153"/>
    <x v="9"/>
    <x v="17"/>
    <x v="100"/>
    <x v="0"/>
    <x v="0"/>
    <x v="14"/>
    <x v="0"/>
    <x v="7"/>
    <x v="1"/>
    <x v="75"/>
    <x v="13"/>
    <x v="7"/>
  </r>
  <r>
    <x v="479"/>
    <x v="153"/>
    <x v="153"/>
    <x v="9"/>
    <x v="17"/>
    <x v="100"/>
    <x v="0"/>
    <x v="0"/>
    <x v="14"/>
    <x v="0"/>
    <x v="7"/>
    <x v="1"/>
    <x v="75"/>
    <x v="13"/>
    <x v="7"/>
  </r>
  <r>
    <x v="480"/>
    <x v="153"/>
    <x v="153"/>
    <x v="9"/>
    <x v="17"/>
    <x v="100"/>
    <x v="0"/>
    <x v="0"/>
    <x v="14"/>
    <x v="0"/>
    <x v="7"/>
    <x v="1"/>
    <x v="75"/>
    <x v="13"/>
    <x v="7"/>
  </r>
  <r>
    <x v="481"/>
    <x v="153"/>
    <x v="153"/>
    <x v="9"/>
    <x v="17"/>
    <x v="100"/>
    <x v="0"/>
    <x v="0"/>
    <x v="14"/>
    <x v="0"/>
    <x v="7"/>
    <x v="1"/>
    <x v="75"/>
    <x v="13"/>
    <x v="7"/>
  </r>
  <r>
    <x v="482"/>
    <x v="153"/>
    <x v="153"/>
    <x v="9"/>
    <x v="17"/>
    <x v="100"/>
    <x v="0"/>
    <x v="0"/>
    <x v="14"/>
    <x v="0"/>
    <x v="7"/>
    <x v="1"/>
    <x v="75"/>
    <x v="13"/>
    <x v="7"/>
  </r>
  <r>
    <x v="483"/>
    <x v="153"/>
    <x v="153"/>
    <x v="9"/>
    <x v="17"/>
    <x v="100"/>
    <x v="0"/>
    <x v="0"/>
    <x v="14"/>
    <x v="0"/>
    <x v="7"/>
    <x v="1"/>
    <x v="75"/>
    <x v="13"/>
    <x v="7"/>
  </r>
  <r>
    <x v="484"/>
    <x v="153"/>
    <x v="153"/>
    <x v="9"/>
    <x v="17"/>
    <x v="100"/>
    <x v="0"/>
    <x v="0"/>
    <x v="14"/>
    <x v="0"/>
    <x v="7"/>
    <x v="1"/>
    <x v="75"/>
    <x v="13"/>
    <x v="7"/>
  </r>
  <r>
    <x v="485"/>
    <x v="153"/>
    <x v="153"/>
    <x v="9"/>
    <x v="17"/>
    <x v="100"/>
    <x v="0"/>
    <x v="0"/>
    <x v="14"/>
    <x v="0"/>
    <x v="7"/>
    <x v="1"/>
    <x v="75"/>
    <x v="13"/>
    <x v="7"/>
  </r>
  <r>
    <x v="486"/>
    <x v="153"/>
    <x v="153"/>
    <x v="9"/>
    <x v="17"/>
    <x v="100"/>
    <x v="0"/>
    <x v="0"/>
    <x v="14"/>
    <x v="0"/>
    <x v="7"/>
    <x v="1"/>
    <x v="75"/>
    <x v="13"/>
    <x v="7"/>
  </r>
  <r>
    <x v="487"/>
    <x v="153"/>
    <x v="153"/>
    <x v="9"/>
    <x v="17"/>
    <x v="100"/>
    <x v="0"/>
    <x v="0"/>
    <x v="14"/>
    <x v="0"/>
    <x v="7"/>
    <x v="1"/>
    <x v="75"/>
    <x v="13"/>
    <x v="7"/>
  </r>
  <r>
    <x v="488"/>
    <x v="153"/>
    <x v="153"/>
    <x v="9"/>
    <x v="17"/>
    <x v="100"/>
    <x v="0"/>
    <x v="0"/>
    <x v="14"/>
    <x v="0"/>
    <x v="7"/>
    <x v="1"/>
    <x v="75"/>
    <x v="13"/>
    <x v="7"/>
  </r>
  <r>
    <x v="489"/>
    <x v="153"/>
    <x v="153"/>
    <x v="9"/>
    <x v="17"/>
    <x v="100"/>
    <x v="0"/>
    <x v="0"/>
    <x v="14"/>
    <x v="0"/>
    <x v="7"/>
    <x v="1"/>
    <x v="75"/>
    <x v="13"/>
    <x v="7"/>
  </r>
  <r>
    <x v="490"/>
    <x v="153"/>
    <x v="153"/>
    <x v="9"/>
    <x v="17"/>
    <x v="100"/>
    <x v="0"/>
    <x v="0"/>
    <x v="14"/>
    <x v="0"/>
    <x v="7"/>
    <x v="1"/>
    <x v="75"/>
    <x v="13"/>
    <x v="7"/>
  </r>
  <r>
    <x v="491"/>
    <x v="153"/>
    <x v="153"/>
    <x v="9"/>
    <x v="17"/>
    <x v="100"/>
    <x v="0"/>
    <x v="0"/>
    <x v="14"/>
    <x v="0"/>
    <x v="7"/>
    <x v="1"/>
    <x v="75"/>
    <x v="13"/>
    <x v="7"/>
  </r>
  <r>
    <x v="492"/>
    <x v="153"/>
    <x v="153"/>
    <x v="9"/>
    <x v="17"/>
    <x v="100"/>
    <x v="0"/>
    <x v="0"/>
    <x v="14"/>
    <x v="0"/>
    <x v="7"/>
    <x v="1"/>
    <x v="75"/>
    <x v="13"/>
    <x v="7"/>
  </r>
  <r>
    <x v="493"/>
    <x v="153"/>
    <x v="153"/>
    <x v="9"/>
    <x v="17"/>
    <x v="100"/>
    <x v="0"/>
    <x v="0"/>
    <x v="14"/>
    <x v="0"/>
    <x v="7"/>
    <x v="1"/>
    <x v="75"/>
    <x v="13"/>
    <x v="7"/>
  </r>
  <r>
    <x v="494"/>
    <x v="153"/>
    <x v="153"/>
    <x v="9"/>
    <x v="17"/>
    <x v="100"/>
    <x v="0"/>
    <x v="0"/>
    <x v="14"/>
    <x v="0"/>
    <x v="7"/>
    <x v="1"/>
    <x v="75"/>
    <x v="13"/>
    <x v="7"/>
  </r>
  <r>
    <x v="495"/>
    <x v="153"/>
    <x v="153"/>
    <x v="9"/>
    <x v="17"/>
    <x v="100"/>
    <x v="0"/>
    <x v="0"/>
    <x v="14"/>
    <x v="0"/>
    <x v="7"/>
    <x v="1"/>
    <x v="75"/>
    <x v="13"/>
    <x v="7"/>
  </r>
  <r>
    <x v="496"/>
    <x v="153"/>
    <x v="153"/>
    <x v="9"/>
    <x v="17"/>
    <x v="100"/>
    <x v="0"/>
    <x v="0"/>
    <x v="14"/>
    <x v="0"/>
    <x v="7"/>
    <x v="1"/>
    <x v="75"/>
    <x v="13"/>
    <x v="7"/>
  </r>
  <r>
    <x v="497"/>
    <x v="153"/>
    <x v="154"/>
    <x v="10"/>
    <x v="17"/>
    <x v="101"/>
    <x v="0"/>
    <x v="0"/>
    <x v="14"/>
    <x v="0"/>
    <x v="7"/>
    <x v="1"/>
    <x v="75"/>
    <x v="13"/>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 cacheId="1" autoFormatId="1" applyNumberFormats="0" applyBorderFormats="0" applyFontFormats="0" applyPatternFormats="0" applyAlignmentFormats="0" applyWidthHeightFormats="1" dataCaption="值" updatedVersion="5" minRefreshableVersion="3" createdVersion="3" useAutoFormatting="1" indent="0" outline="1" outlineData="1" showDrill="1" multipleFieldFilters="0">
  <location ref="Q1:R156" firstHeaderRow="1" firstDataRow="1" firstDataCol="1"/>
  <pivotFields count="15">
    <pivotField showAll="0">
      <items count="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49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50"/>
        <item t="default"/>
      </items>
    </pivotField>
    <pivotField axis="axisRow" multipleItemSelectionAllowed="1" showAll="0">
      <items count="170">
        <item x="131"/>
        <item x="96"/>
        <item x="115"/>
        <item x="132"/>
        <item x="124"/>
        <item x="14"/>
        <item x="117"/>
        <item x="51"/>
        <item x="92"/>
        <item x="134"/>
        <item x="64"/>
        <item x="130"/>
        <item x="135"/>
        <item x="118"/>
        <item x="63"/>
        <item x="52"/>
        <item x="1"/>
        <item x="105"/>
        <item x="122"/>
        <item x="87"/>
        <item m="1" x="164"/>
        <item x="48"/>
        <item x="81"/>
        <item x="24"/>
        <item x="85"/>
        <item x="71"/>
        <item x="101"/>
        <item x="73"/>
        <item x="136"/>
        <item x="137"/>
        <item x="50"/>
        <item x="75"/>
        <item x="129"/>
        <item x="104"/>
        <item x="41"/>
        <item x="37"/>
        <item x="106"/>
        <item x="120"/>
        <item m="1" x="155"/>
        <item x="38"/>
        <item x="43"/>
        <item x="103"/>
        <item x="88"/>
        <item x="53"/>
        <item x="36"/>
        <item x="83"/>
        <item x="31"/>
        <item x="35"/>
        <item x="17"/>
        <item x="97"/>
        <item x="109"/>
        <item x="139"/>
        <item x="100"/>
        <item x="27"/>
        <item x="40"/>
        <item x="5"/>
        <item m="1" x="156"/>
        <item x="140"/>
        <item x="26"/>
        <item x="58"/>
        <item x="12"/>
        <item x="113"/>
        <item x="95"/>
        <item x="54"/>
        <item x="127"/>
        <item x="69"/>
        <item x="11"/>
        <item x="98"/>
        <item x="121"/>
        <item x="46"/>
        <item x="33"/>
        <item x="141"/>
        <item m="1" x="160"/>
        <item x="19"/>
        <item x="29"/>
        <item x="2"/>
        <item x="102"/>
        <item x="18"/>
        <item x="67"/>
        <item x="7"/>
        <item x="142"/>
        <item m="1" x="157"/>
        <item x="39"/>
        <item x="65"/>
        <item x="45"/>
        <item x="86"/>
        <item x="116"/>
        <item x="60"/>
        <item x="8"/>
        <item x="119"/>
        <item x="110"/>
        <item x="128"/>
        <item x="56"/>
        <item x="78"/>
        <item x="145"/>
        <item x="91"/>
        <item x="99"/>
        <item x="93"/>
        <item x="22"/>
        <item x="9"/>
        <item x="44"/>
        <item x="3"/>
        <item x="25"/>
        <item x="76"/>
        <item x="0"/>
        <item x="82"/>
        <item x="70"/>
        <item x="10"/>
        <item m="1" x="158"/>
        <item x="114"/>
        <item x="89"/>
        <item x="123"/>
        <item x="57"/>
        <item x="30"/>
        <item x="147"/>
        <item x="112"/>
        <item m="1" x="168"/>
        <item x="94"/>
        <item x="47"/>
        <item x="28"/>
        <item x="16"/>
        <item x="148"/>
        <item x="125"/>
        <item x="111"/>
        <item x="149"/>
        <item m="1" x="163"/>
        <item x="107"/>
        <item x="55"/>
        <item x="108"/>
        <item x="32"/>
        <item x="23"/>
        <item x="84"/>
        <item x="49"/>
        <item x="13"/>
        <item x="34"/>
        <item x="150"/>
        <item x="151"/>
        <item x="152"/>
        <item x="6"/>
        <item x="79"/>
        <item x="77"/>
        <item x="42"/>
        <item x="15"/>
        <item x="146"/>
        <item x="133"/>
        <item x="144"/>
        <item m="1" x="161"/>
        <item m="1" x="162"/>
        <item x="153"/>
        <item x="4"/>
        <item x="143"/>
        <item x="138"/>
        <item m="1" x="167"/>
        <item x="126"/>
        <item x="66"/>
        <item m="1" x="159"/>
        <item x="90"/>
        <item m="1" x="166"/>
        <item m="1" x="165"/>
        <item x="80"/>
        <item x="21"/>
        <item x="20"/>
        <item m="1" x="154"/>
        <item x="72"/>
        <item x="62"/>
        <item x="68"/>
        <item x="59"/>
        <item x="61"/>
        <item x="74"/>
        <item t="default"/>
      </items>
    </pivotField>
    <pivotField showAll="0">
      <items count="156">
        <item x="121"/>
        <item x="75"/>
        <item x="28"/>
        <item x="49"/>
        <item x="63"/>
        <item x="94"/>
        <item x="30"/>
        <item x="57"/>
        <item x="116"/>
        <item x="117"/>
        <item x="16"/>
        <item x="45"/>
        <item x="9"/>
        <item x="127"/>
        <item x="37"/>
        <item x="99"/>
        <item x="146"/>
        <item x="142"/>
        <item x="64"/>
        <item x="93"/>
        <item x="96"/>
        <item x="7"/>
        <item x="120"/>
        <item x="145"/>
        <item x="129"/>
        <item x="73"/>
        <item x="128"/>
        <item x="118"/>
        <item x="81"/>
        <item x="13"/>
        <item x="89"/>
        <item x="102"/>
        <item x="119"/>
        <item x="84"/>
        <item x="104"/>
        <item x="23"/>
        <item x="105"/>
        <item x="14"/>
        <item x="29"/>
        <item x="55"/>
        <item x="0"/>
        <item x="47"/>
        <item x="51"/>
        <item x="106"/>
        <item x="56"/>
        <item x="107"/>
        <item x="67"/>
        <item x="32"/>
        <item x="98"/>
        <item x="40"/>
        <item x="76"/>
        <item x="69"/>
        <item x="136"/>
        <item x="12"/>
        <item x="144"/>
        <item x="108"/>
        <item x="111"/>
        <item x="46"/>
        <item x="87"/>
        <item x="44"/>
        <item x="31"/>
        <item x="3"/>
        <item x="88"/>
        <item x="71"/>
        <item x="5"/>
        <item x="125"/>
        <item x="2"/>
        <item x="134"/>
        <item x="78"/>
        <item x="124"/>
        <item x="135"/>
        <item x="27"/>
        <item x="97"/>
        <item x="82"/>
        <item x="86"/>
        <item x="92"/>
        <item x="91"/>
        <item x="137"/>
        <item x="54"/>
        <item x="17"/>
        <item x="39"/>
        <item x="22"/>
        <item x="110"/>
        <item x="151"/>
        <item x="147"/>
        <item x="1"/>
        <item x="25"/>
        <item x="52"/>
        <item x="112"/>
        <item x="50"/>
        <item x="38"/>
        <item x="41"/>
        <item x="19"/>
        <item x="130"/>
        <item x="114"/>
        <item x="115"/>
        <item x="34"/>
        <item x="33"/>
        <item x="11"/>
        <item x="10"/>
        <item x="95"/>
        <item x="53"/>
        <item x="26"/>
        <item x="133"/>
        <item x="113"/>
        <item x="79"/>
        <item x="100"/>
        <item x="8"/>
        <item x="83"/>
        <item x="139"/>
        <item x="43"/>
        <item x="48"/>
        <item x="131"/>
        <item x="18"/>
        <item x="123"/>
        <item x="148"/>
        <item x="103"/>
        <item x="149"/>
        <item x="150"/>
        <item x="35"/>
        <item x="24"/>
        <item x="101"/>
        <item x="141"/>
        <item x="77"/>
        <item x="36"/>
        <item x="132"/>
        <item x="6"/>
        <item x="140"/>
        <item x="15"/>
        <item x="85"/>
        <item x="152"/>
        <item x="70"/>
        <item x="58"/>
        <item x="138"/>
        <item x="4"/>
        <item x="126"/>
        <item x="42"/>
        <item x="153"/>
        <item x="154"/>
        <item x="143"/>
        <item x="109"/>
        <item x="122"/>
        <item x="72"/>
        <item x="20"/>
        <item x="21"/>
        <item x="80"/>
        <item x="90"/>
        <item x="66"/>
        <item x="59"/>
        <item x="60"/>
        <item x="61"/>
        <item x="62"/>
        <item x="65"/>
        <item x="68"/>
        <item x="74"/>
        <item t="default"/>
      </items>
    </pivotField>
    <pivotField showAll="0">
      <items count="12">
        <item x="9"/>
        <item x="2"/>
        <item x="4"/>
        <item x="3"/>
        <item x="5"/>
        <item x="6"/>
        <item x="1"/>
        <item x="7"/>
        <item x="10"/>
        <item x="0"/>
        <item x="8"/>
        <item t="default"/>
      </items>
    </pivotField>
    <pivotField showAll="0">
      <items count="19">
        <item x="12"/>
        <item x="8"/>
        <item x="2"/>
        <item x="17"/>
        <item x="4"/>
        <item x="11"/>
        <item x="1"/>
        <item x="15"/>
        <item x="9"/>
        <item x="7"/>
        <item x="6"/>
        <item x="16"/>
        <item x="5"/>
        <item x="0"/>
        <item x="10"/>
        <item x="3"/>
        <item x="13"/>
        <item x="14"/>
        <item t="default"/>
      </items>
    </pivotField>
    <pivotField dataField="1" numFmtId="177" showAll="0">
      <items count="103">
        <item x="100"/>
        <item x="6"/>
        <item x="16"/>
        <item x="7"/>
        <item x="93"/>
        <item x="5"/>
        <item x="72"/>
        <item x="24"/>
        <item x="10"/>
        <item x="48"/>
        <item x="3"/>
        <item x="101"/>
        <item x="27"/>
        <item x="14"/>
        <item x="97"/>
        <item x="1"/>
        <item x="26"/>
        <item x="25"/>
        <item x="65"/>
        <item x="68"/>
        <item x="20"/>
        <item x="91"/>
        <item x="77"/>
        <item x="22"/>
        <item x="0"/>
        <item x="37"/>
        <item x="31"/>
        <item x="42"/>
        <item x="2"/>
        <item x="41"/>
        <item x="61"/>
        <item x="13"/>
        <item x="8"/>
        <item x="67"/>
        <item x="29"/>
        <item x="21"/>
        <item x="90"/>
        <item x="73"/>
        <item x="28"/>
        <item x="96"/>
        <item x="95"/>
        <item x="63"/>
        <item x="66"/>
        <item x="71"/>
        <item x="92"/>
        <item x="47"/>
        <item x="59"/>
        <item x="43"/>
        <item x="32"/>
        <item x="34"/>
        <item x="44"/>
        <item x="58"/>
        <item x="84"/>
        <item x="49"/>
        <item x="52"/>
        <item x="51"/>
        <item x="50"/>
        <item x="4"/>
        <item x="9"/>
        <item x="11"/>
        <item x="12"/>
        <item x="15"/>
        <item x="17"/>
        <item x="18"/>
        <item x="19"/>
        <item x="23"/>
        <item x="30"/>
        <item x="33"/>
        <item x="35"/>
        <item x="36"/>
        <item x="38"/>
        <item x="39"/>
        <item x="40"/>
        <item x="45"/>
        <item x="46"/>
        <item x="53"/>
        <item x="54"/>
        <item x="55"/>
        <item x="56"/>
        <item x="57"/>
        <item x="60"/>
        <item x="62"/>
        <item x="64"/>
        <item x="69"/>
        <item x="70"/>
        <item x="74"/>
        <item x="75"/>
        <item x="76"/>
        <item x="78"/>
        <item x="79"/>
        <item x="80"/>
        <item x="81"/>
        <item x="82"/>
        <item x="83"/>
        <item x="85"/>
        <item x="86"/>
        <item x="87"/>
        <item x="88"/>
        <item x="89"/>
        <item x="94"/>
        <item x="98"/>
        <item x="99"/>
        <item t="default"/>
      </items>
    </pivotField>
    <pivotField showAll="0">
      <items count="2">
        <item x="0"/>
        <item t="default"/>
      </items>
    </pivotField>
    <pivotField showAll="0">
      <items count="2">
        <item x="0"/>
        <item t="default"/>
      </items>
    </pivotField>
    <pivotField showAll="0">
      <items count="102">
        <item x="48"/>
        <item x="6"/>
        <item x="10"/>
        <item x="16"/>
        <item x="57"/>
        <item x="7"/>
        <item x="94"/>
        <item x="1"/>
        <item x="5"/>
        <item x="73"/>
        <item x="3"/>
        <item x="27"/>
        <item x="24"/>
        <item x="98"/>
        <item x="14"/>
        <item x="26"/>
        <item x="25"/>
        <item x="66"/>
        <item x="20"/>
        <item x="92"/>
        <item x="78"/>
        <item x="22"/>
        <item x="0"/>
        <item x="37"/>
        <item x="69"/>
        <item x="31"/>
        <item x="42"/>
        <item x="2"/>
        <item x="41"/>
        <item x="62"/>
        <item x="13"/>
        <item x="8"/>
        <item x="68"/>
        <item x="29"/>
        <item x="21"/>
        <item x="91"/>
        <item x="74"/>
        <item x="28"/>
        <item x="97"/>
        <item x="96"/>
        <item x="64"/>
        <item x="67"/>
        <item x="72"/>
        <item x="93"/>
        <item x="47"/>
        <item x="60"/>
        <item x="43"/>
        <item x="32"/>
        <item x="34"/>
        <item x="44"/>
        <item x="59"/>
        <item x="85"/>
        <item x="49"/>
        <item x="52"/>
        <item x="51"/>
        <item x="50"/>
        <item x="4"/>
        <item x="9"/>
        <item x="11"/>
        <item x="12"/>
        <item x="15"/>
        <item x="17"/>
        <item x="18"/>
        <item x="19"/>
        <item x="23"/>
        <item x="30"/>
        <item x="33"/>
        <item x="35"/>
        <item x="36"/>
        <item x="38"/>
        <item x="39"/>
        <item x="40"/>
        <item x="45"/>
        <item x="46"/>
        <item x="53"/>
        <item x="54"/>
        <item x="55"/>
        <item x="56"/>
        <item x="58"/>
        <item x="61"/>
        <item x="63"/>
        <item x="65"/>
        <item x="70"/>
        <item x="71"/>
        <item x="75"/>
        <item x="76"/>
        <item x="77"/>
        <item x="79"/>
        <item x="80"/>
        <item x="81"/>
        <item x="82"/>
        <item x="83"/>
        <item x="84"/>
        <item x="86"/>
        <item x="87"/>
        <item x="88"/>
        <item x="89"/>
        <item x="90"/>
        <item x="95"/>
        <item x="99"/>
        <item x="100"/>
        <item t="default"/>
      </items>
    </pivotField>
    <pivotField showAll="0">
      <items count="4">
        <item x="0"/>
        <item x="1"/>
        <item x="2"/>
        <item t="default"/>
      </items>
    </pivotField>
    <pivotField showAll="0">
      <items count="10">
        <item x="0"/>
        <item x="3"/>
        <item x="4"/>
        <item x="7"/>
        <item x="1"/>
        <item x="5"/>
        <item x="8"/>
        <item x="2"/>
        <item x="6"/>
        <item t="default"/>
      </items>
    </pivotField>
    <pivotField showAll="0">
      <items count="40">
        <item x="1"/>
        <item x="4"/>
        <item x="11"/>
        <item x="27"/>
        <item x="13"/>
        <item x="33"/>
        <item x="30"/>
        <item x="8"/>
        <item x="26"/>
        <item x="37"/>
        <item x="38"/>
        <item x="5"/>
        <item x="2"/>
        <item x="25"/>
        <item x="19"/>
        <item x="34"/>
        <item x="15"/>
        <item x="9"/>
        <item x="7"/>
        <item x="0"/>
        <item x="10"/>
        <item x="3"/>
        <item x="6"/>
        <item x="12"/>
        <item x="14"/>
        <item x="16"/>
        <item x="17"/>
        <item x="18"/>
        <item x="20"/>
        <item x="21"/>
        <item x="22"/>
        <item x="23"/>
        <item x="24"/>
        <item x="28"/>
        <item x="29"/>
        <item x="31"/>
        <item x="32"/>
        <item x="35"/>
        <item x="36"/>
        <item t="default"/>
      </items>
    </pivotField>
    <pivotField showAll="0">
      <items count="258">
        <item x="75"/>
        <item x="174"/>
        <item x="203"/>
        <item x="248"/>
        <item x="249"/>
        <item x="250"/>
        <item x="179"/>
        <item x="243"/>
        <item x="244"/>
        <item x="245"/>
        <item x="1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5"/>
        <item x="176"/>
        <item x="178"/>
        <item x="180"/>
        <item x="181"/>
        <item x="182"/>
        <item x="183"/>
        <item x="184"/>
        <item x="185"/>
        <item x="186"/>
        <item x="187"/>
        <item x="188"/>
        <item x="189"/>
        <item x="190"/>
        <item x="191"/>
        <item x="192"/>
        <item x="193"/>
        <item x="194"/>
        <item x="195"/>
        <item x="196"/>
        <item x="197"/>
        <item x="198"/>
        <item x="199"/>
        <item x="200"/>
        <item x="201"/>
        <item x="202"/>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6"/>
        <item x="247"/>
        <item x="251"/>
        <item x="252"/>
        <item x="253"/>
        <item x="254"/>
        <item x="255"/>
        <item x="256"/>
        <item t="default"/>
      </items>
    </pivotField>
    <pivotField showAll="0">
      <items count="15">
        <item x="2"/>
        <item x="9"/>
        <item x="8"/>
        <item x="13"/>
        <item x="4"/>
        <item x="0"/>
        <item x="11"/>
        <item x="1"/>
        <item x="12"/>
        <item x="7"/>
        <item x="6"/>
        <item x="5"/>
        <item x="3"/>
        <item x="10"/>
        <item t="default"/>
      </items>
    </pivotField>
    <pivotField showAll="0">
      <items count="9">
        <item x="0"/>
        <item x="7"/>
        <item x="1"/>
        <item x="2"/>
        <item x="3"/>
        <item x="4"/>
        <item x="5"/>
        <item x="6"/>
        <item t="default"/>
      </items>
    </pivotField>
  </pivotFields>
  <rowFields count="1">
    <field x="1"/>
  </rowFields>
  <rowItems count="155">
    <i>
      <x/>
    </i>
    <i>
      <x v="1"/>
    </i>
    <i>
      <x v="2"/>
    </i>
    <i>
      <x v="3"/>
    </i>
    <i>
      <x v="4"/>
    </i>
    <i>
      <x v="5"/>
    </i>
    <i>
      <x v="6"/>
    </i>
    <i>
      <x v="7"/>
    </i>
    <i>
      <x v="8"/>
    </i>
    <i>
      <x v="9"/>
    </i>
    <i>
      <x v="10"/>
    </i>
    <i>
      <x v="11"/>
    </i>
    <i>
      <x v="12"/>
    </i>
    <i>
      <x v="13"/>
    </i>
    <i>
      <x v="14"/>
    </i>
    <i>
      <x v="15"/>
    </i>
    <i>
      <x v="16"/>
    </i>
    <i>
      <x v="17"/>
    </i>
    <i>
      <x v="18"/>
    </i>
    <i>
      <x v="19"/>
    </i>
    <i>
      <x v="21"/>
    </i>
    <i>
      <x v="22"/>
    </i>
    <i>
      <x v="23"/>
    </i>
    <i>
      <x v="24"/>
    </i>
    <i>
      <x v="25"/>
    </i>
    <i>
      <x v="26"/>
    </i>
    <i>
      <x v="27"/>
    </i>
    <i>
      <x v="28"/>
    </i>
    <i>
      <x v="29"/>
    </i>
    <i>
      <x v="30"/>
    </i>
    <i>
      <x v="31"/>
    </i>
    <i>
      <x v="32"/>
    </i>
    <i>
      <x v="33"/>
    </i>
    <i>
      <x v="34"/>
    </i>
    <i>
      <x v="35"/>
    </i>
    <i>
      <x v="36"/>
    </i>
    <i>
      <x v="37"/>
    </i>
    <i>
      <x v="39"/>
    </i>
    <i>
      <x v="40"/>
    </i>
    <i>
      <x v="41"/>
    </i>
    <i>
      <x v="42"/>
    </i>
    <i>
      <x v="43"/>
    </i>
    <i>
      <x v="44"/>
    </i>
    <i>
      <x v="45"/>
    </i>
    <i>
      <x v="46"/>
    </i>
    <i>
      <x v="47"/>
    </i>
    <i>
      <x v="48"/>
    </i>
    <i>
      <x v="49"/>
    </i>
    <i>
      <x v="50"/>
    </i>
    <i>
      <x v="51"/>
    </i>
    <i>
      <x v="52"/>
    </i>
    <i>
      <x v="53"/>
    </i>
    <i>
      <x v="54"/>
    </i>
    <i>
      <x v="55"/>
    </i>
    <i>
      <x v="57"/>
    </i>
    <i>
      <x v="58"/>
    </i>
    <i>
      <x v="59"/>
    </i>
    <i>
      <x v="60"/>
    </i>
    <i>
      <x v="61"/>
    </i>
    <i>
      <x v="62"/>
    </i>
    <i>
      <x v="63"/>
    </i>
    <i>
      <x v="64"/>
    </i>
    <i>
      <x v="65"/>
    </i>
    <i>
      <x v="66"/>
    </i>
    <i>
      <x v="67"/>
    </i>
    <i>
      <x v="68"/>
    </i>
    <i>
      <x v="69"/>
    </i>
    <i>
      <x v="70"/>
    </i>
    <i>
      <x v="71"/>
    </i>
    <i>
      <x v="73"/>
    </i>
    <i>
      <x v="74"/>
    </i>
    <i>
      <x v="75"/>
    </i>
    <i>
      <x v="76"/>
    </i>
    <i>
      <x v="77"/>
    </i>
    <i>
      <x v="78"/>
    </i>
    <i>
      <x v="79"/>
    </i>
    <i>
      <x v="80"/>
    </i>
    <i>
      <x v="82"/>
    </i>
    <i>
      <x v="83"/>
    </i>
    <i>
      <x v="84"/>
    </i>
    <i>
      <x v="85"/>
    </i>
    <i>
      <x v="86"/>
    </i>
    <i>
      <x v="87"/>
    </i>
    <i>
      <x v="88"/>
    </i>
    <i>
      <x v="89"/>
    </i>
    <i>
      <x v="90"/>
    </i>
    <i>
      <x v="91"/>
    </i>
    <i>
      <x v="92"/>
    </i>
    <i>
      <x v="93"/>
    </i>
    <i>
      <x v="94"/>
    </i>
    <i>
      <x v="95"/>
    </i>
    <i>
      <x v="96"/>
    </i>
    <i>
      <x v="97"/>
    </i>
    <i>
      <x v="98"/>
    </i>
    <i>
      <x v="99"/>
    </i>
    <i>
      <x v="100"/>
    </i>
    <i>
      <x v="101"/>
    </i>
    <i>
      <x v="102"/>
    </i>
    <i>
      <x v="103"/>
    </i>
    <i>
      <x v="104"/>
    </i>
    <i>
      <x v="105"/>
    </i>
    <i>
      <x v="106"/>
    </i>
    <i>
      <x v="107"/>
    </i>
    <i>
      <x v="109"/>
    </i>
    <i>
      <x v="110"/>
    </i>
    <i>
      <x v="111"/>
    </i>
    <i>
      <x v="112"/>
    </i>
    <i>
      <x v="113"/>
    </i>
    <i>
      <x v="114"/>
    </i>
    <i>
      <x v="115"/>
    </i>
    <i>
      <x v="117"/>
    </i>
    <i>
      <x v="118"/>
    </i>
    <i>
      <x v="119"/>
    </i>
    <i>
      <x v="120"/>
    </i>
    <i>
      <x v="121"/>
    </i>
    <i>
      <x v="122"/>
    </i>
    <i>
      <x v="123"/>
    </i>
    <i>
      <x v="124"/>
    </i>
    <i>
      <x v="126"/>
    </i>
    <i>
      <x v="127"/>
    </i>
    <i>
      <x v="128"/>
    </i>
    <i>
      <x v="129"/>
    </i>
    <i>
      <x v="130"/>
    </i>
    <i>
      <x v="131"/>
    </i>
    <i>
      <x v="132"/>
    </i>
    <i>
      <x v="133"/>
    </i>
    <i>
      <x v="134"/>
    </i>
    <i>
      <x v="135"/>
    </i>
    <i>
      <x v="136"/>
    </i>
    <i>
      <x v="137"/>
    </i>
    <i>
      <x v="138"/>
    </i>
    <i>
      <x v="139"/>
    </i>
    <i>
      <x v="140"/>
    </i>
    <i>
      <x v="141"/>
    </i>
    <i>
      <x v="142"/>
    </i>
    <i>
      <x v="143"/>
    </i>
    <i>
      <x v="144"/>
    </i>
    <i>
      <x v="145"/>
    </i>
    <i>
      <x v="148"/>
    </i>
    <i>
      <x v="149"/>
    </i>
    <i>
      <x v="150"/>
    </i>
    <i>
      <x v="151"/>
    </i>
    <i>
      <x v="153"/>
    </i>
    <i>
      <x v="154"/>
    </i>
    <i>
      <x v="156"/>
    </i>
    <i>
      <x v="159"/>
    </i>
    <i>
      <x v="160"/>
    </i>
    <i>
      <x v="161"/>
    </i>
    <i>
      <x v="163"/>
    </i>
    <i>
      <x v="164"/>
    </i>
    <i>
      <x v="165"/>
    </i>
    <i>
      <x v="166"/>
    </i>
    <i>
      <x v="167"/>
    </i>
    <i>
      <x v="168"/>
    </i>
    <i t="grand">
      <x/>
    </i>
  </rowItems>
  <colItems count="1">
    <i/>
  </colItems>
  <dataFields count="1">
    <dataField name="最大值项:个人原始项目工时之和/h" fld="5" subtotal="max" baseField="0" baseItem="0"/>
  </dataFields>
  <pivotTableStyleInfo name="PivotStyleLight16" showRowHeaders="1" showColHeaders="1" showLastColumn="1"/>
</pivotTableDefinition>
</file>

<file path=xl/pivotTables/pivotTable2.xml><?xml version="1.0" encoding="utf-8"?>
<pivotTableDefinition xmlns="http://schemas.openxmlformats.org/spreadsheetml/2006/main" name="数据透视表3"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Q1:R153" firstHeaderRow="1" firstDataRow="1" firstDataCol="1"/>
  <pivotFields count="15">
    <pivotField compact="0" showAll="0">
      <items count="4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t="default"/>
      </items>
    </pivotField>
    <pivotField axis="axisRow" compact="0" showAll="0">
      <items count="152">
        <item x="9"/>
        <item x="1"/>
        <item x="76"/>
        <item x="102"/>
        <item x="50"/>
        <item x="68"/>
        <item x="37"/>
        <item x="140"/>
        <item x="45"/>
        <item x="40"/>
        <item x="115"/>
        <item x="138"/>
        <item x="11"/>
        <item x="42"/>
        <item x="141"/>
        <item x="132"/>
        <item x="34"/>
        <item x="119"/>
        <item x="134"/>
        <item x="48"/>
        <item x="145"/>
        <item x="108"/>
        <item x="24"/>
        <item x="71"/>
        <item x="49"/>
        <item x="17"/>
        <item x="113"/>
        <item x="107"/>
        <item x="15"/>
        <item x="84"/>
        <item x="23"/>
        <item x="13"/>
        <item x="110"/>
        <item x="95"/>
        <item x="87"/>
        <item x="83"/>
        <item x="72"/>
        <item x="28"/>
        <item x="69"/>
        <item x="73"/>
        <item x="142"/>
        <item x="112"/>
        <item x="63"/>
        <item x="22"/>
        <item x="150"/>
        <item x="122"/>
        <item x="88"/>
        <item x="32"/>
        <item x="19"/>
        <item x="55"/>
        <item x="105"/>
        <item x="66"/>
        <item x="59"/>
        <item x="60"/>
        <item x="90"/>
        <item x="70"/>
        <item x="36"/>
        <item x="44"/>
        <item x="98"/>
        <item x="31"/>
        <item x="121"/>
        <item x="127"/>
        <item x="99"/>
        <item x="7"/>
        <item x="21"/>
        <item x="41"/>
        <item x="77"/>
        <item x="97"/>
        <item x="116"/>
        <item x="5"/>
        <item x="104"/>
        <item x="38"/>
        <item x="14"/>
        <item x="143"/>
        <item x="103"/>
        <item x="51"/>
        <item x="100"/>
        <item x="61"/>
        <item x="64"/>
        <item x="53"/>
        <item x="111"/>
        <item x="130"/>
        <item x="94"/>
        <item x="29"/>
        <item x="67"/>
        <item x="126"/>
        <item x="92"/>
        <item x="85"/>
        <item x="128"/>
        <item x="30"/>
        <item x="74"/>
        <item x="3"/>
        <item x="27"/>
        <item x="139"/>
        <item x="65"/>
        <item x="118"/>
        <item x="78"/>
        <item x="135"/>
        <item x="131"/>
        <item x="144"/>
        <item x="75"/>
        <item x="20"/>
        <item x="149"/>
        <item x="120"/>
        <item x="146"/>
        <item x="79"/>
        <item x="12"/>
        <item x="57"/>
        <item x="62"/>
        <item x="52"/>
        <item x="8"/>
        <item x="117"/>
        <item x="129"/>
        <item x="18"/>
        <item x="123"/>
        <item x="26"/>
        <item x="33"/>
        <item x="91"/>
        <item x="80"/>
        <item x="93"/>
        <item x="96"/>
        <item x="133"/>
        <item x="147"/>
        <item x="47"/>
        <item x="137"/>
        <item x="81"/>
        <item x="58"/>
        <item x="4"/>
        <item x="148"/>
        <item x="106"/>
        <item x="39"/>
        <item x="43"/>
        <item x="136"/>
        <item x="46"/>
        <item x="109"/>
        <item x="125"/>
        <item x="124"/>
        <item x="86"/>
        <item x="82"/>
        <item x="54"/>
        <item x="0"/>
        <item x="10"/>
        <item x="56"/>
        <item x="89"/>
        <item x="2"/>
        <item x="114"/>
        <item x="101"/>
        <item x="16"/>
        <item x="35"/>
        <item x="6"/>
        <item x="25"/>
        <item t="default"/>
      </items>
    </pivotField>
    <pivotField compact="0" showAll="0"/>
    <pivotField compact="0" showAll="0"/>
    <pivotField compact="0" showAll="0"/>
    <pivotField dataField="1" compact="0" numFmtId="177" showAll="0">
      <items count="156">
        <item x="36"/>
        <item x="44"/>
        <item x="45"/>
        <item x="51"/>
        <item x="40"/>
        <item x="39"/>
        <item x="24"/>
        <item x="50"/>
        <item x="49"/>
        <item x="48"/>
        <item x="38"/>
        <item x="100"/>
        <item x="95"/>
        <item x="35"/>
        <item x="42"/>
        <item x="41"/>
        <item x="47"/>
        <item x="102"/>
        <item x="80"/>
        <item x="101"/>
        <item x="46"/>
        <item x="28"/>
        <item x="88"/>
        <item x="105"/>
        <item x="27"/>
        <item x="20"/>
        <item x="76"/>
        <item x="97"/>
        <item x="3"/>
        <item x="79"/>
        <item x="135"/>
        <item x="68"/>
        <item x="75"/>
        <item x="104"/>
        <item x="31"/>
        <item x="84"/>
        <item x="67"/>
        <item x="99"/>
        <item x="96"/>
        <item x="98"/>
        <item x="94"/>
        <item x="81"/>
        <item x="15"/>
        <item x="43"/>
        <item x="103"/>
        <item x="12"/>
        <item x="139"/>
        <item x="22"/>
        <item x="140"/>
        <item x="18"/>
        <item x="11"/>
        <item x="90"/>
        <item x="71"/>
        <item x="69"/>
        <item x="30"/>
        <item x="19"/>
        <item x="17"/>
        <item x="70"/>
        <item x="59"/>
        <item x="89"/>
        <item x="64"/>
        <item x="72"/>
        <item x="78"/>
        <item x="92"/>
        <item x="23"/>
        <item x="65"/>
        <item x="14"/>
        <item x="153"/>
        <item x="21"/>
        <item x="16"/>
        <item x="154"/>
        <item x="73"/>
        <item x="87"/>
        <item x="142"/>
        <item x="74"/>
        <item x="93"/>
        <item x="143"/>
        <item x="10"/>
        <item x="134"/>
        <item x="138"/>
        <item x="66"/>
        <item x="25"/>
        <item x="136"/>
        <item x="6"/>
        <item x="137"/>
        <item x="91"/>
        <item x="141"/>
        <item x="133"/>
        <item x="1"/>
        <item x="63"/>
        <item x="5"/>
        <item x="8"/>
        <item x="13"/>
        <item x="26"/>
        <item x="111"/>
        <item x="57"/>
        <item x="60"/>
        <item x="0"/>
        <item x="58"/>
        <item x="61"/>
        <item x="7"/>
        <item x="9"/>
        <item x="147"/>
        <item x="37"/>
        <item x="4"/>
        <item x="83"/>
        <item x="146"/>
        <item x="29"/>
        <item x="145"/>
        <item x="152"/>
        <item x="120"/>
        <item x="54"/>
        <item x="106"/>
        <item x="122"/>
        <item x="56"/>
        <item x="52"/>
        <item x="34"/>
        <item x="62"/>
        <item x="53"/>
        <item x="55"/>
        <item x="149"/>
        <item x="121"/>
        <item x="151"/>
        <item x="117"/>
        <item x="77"/>
        <item x="86"/>
        <item x="144"/>
        <item x="150"/>
        <item x="108"/>
        <item x="131"/>
        <item x="132"/>
        <item x="128"/>
        <item x="2"/>
        <item x="85"/>
        <item x="82"/>
        <item x="33"/>
        <item x="113"/>
        <item x="119"/>
        <item x="109"/>
        <item x="32"/>
        <item x="114"/>
        <item x="148"/>
        <item x="127"/>
        <item x="126"/>
        <item x="112"/>
        <item x="130"/>
        <item x="123"/>
        <item x="129"/>
        <item x="107"/>
        <item x="124"/>
        <item x="125"/>
        <item x="110"/>
        <item x="115"/>
        <item x="118"/>
        <item x="116"/>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1"/>
  </rowFields>
  <rowItems count="1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t="grand">
      <x/>
    </i>
  </rowItems>
  <colItems count="1">
    <i/>
  </colItems>
  <dataFields count="1">
    <dataField name="最大值项:个人原始项目工时之和/h" fld="5" subtotal="max"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D165"/>
  <sheetViews>
    <sheetView workbookViewId="0">
      <pane ySplit="1" topLeftCell="A140" activePane="bottomLeft" state="frozen"/>
      <selection/>
      <selection pane="bottomLeft" activeCell="K151" sqref="K151"/>
    </sheetView>
  </sheetViews>
  <sheetFormatPr defaultColWidth="9" defaultRowHeight="15" outlineLevelCol="3"/>
  <cols>
    <col min="2" max="2" width="13.5" style="131" customWidth="1"/>
    <col min="3" max="3" width="9.75" style="131" customWidth="1"/>
    <col min="4" max="4" width="11.625" style="131" customWidth="1"/>
  </cols>
  <sheetData>
    <row r="1" ht="13.5" spans="1:4">
      <c r="A1" s="132" t="s">
        <v>0</v>
      </c>
      <c r="B1" s="133" t="s">
        <v>1</v>
      </c>
      <c r="C1" s="133" t="s">
        <v>2</v>
      </c>
      <c r="D1" s="133" t="s">
        <v>3</v>
      </c>
    </row>
    <row r="2" spans="1:4">
      <c r="A2" s="134">
        <f t="shared" ref="A2:A65" si="0">ROW()-1</f>
        <v>1</v>
      </c>
      <c r="B2" s="135" t="s">
        <v>4</v>
      </c>
      <c r="C2" s="47">
        <v>51184</v>
      </c>
      <c r="D2" s="50" t="s">
        <v>5</v>
      </c>
    </row>
    <row r="3" spans="1:4">
      <c r="A3" s="134">
        <f t="shared" si="0"/>
        <v>2</v>
      </c>
      <c r="B3" s="136" t="s">
        <v>6</v>
      </c>
      <c r="C3" s="47">
        <v>17242</v>
      </c>
      <c r="D3" s="50" t="s">
        <v>5</v>
      </c>
    </row>
    <row r="4" spans="1:4">
      <c r="A4" s="134">
        <f t="shared" si="0"/>
        <v>3</v>
      </c>
      <c r="B4" s="137" t="s">
        <v>7</v>
      </c>
      <c r="C4" s="47">
        <v>22260</v>
      </c>
      <c r="D4" s="50" t="s">
        <v>5</v>
      </c>
    </row>
    <row r="5" spans="1:4">
      <c r="A5" s="134">
        <f t="shared" si="0"/>
        <v>4</v>
      </c>
      <c r="B5" s="137" t="s">
        <v>8</v>
      </c>
      <c r="C5" s="47">
        <v>17243</v>
      </c>
      <c r="D5" s="47" t="s">
        <v>9</v>
      </c>
    </row>
    <row r="6" spans="1:4">
      <c r="A6" s="134">
        <f t="shared" si="0"/>
        <v>5</v>
      </c>
      <c r="B6" s="137" t="s">
        <v>10</v>
      </c>
      <c r="C6" s="47">
        <v>50702</v>
      </c>
      <c r="D6" s="47" t="s">
        <v>9</v>
      </c>
    </row>
    <row r="7" spans="1:4">
      <c r="A7" s="134">
        <f t="shared" si="0"/>
        <v>6</v>
      </c>
      <c r="B7" s="137" t="s">
        <v>11</v>
      </c>
      <c r="C7" s="47">
        <v>52018</v>
      </c>
      <c r="D7" s="47" t="s">
        <v>9</v>
      </c>
    </row>
    <row r="8" spans="1:4">
      <c r="A8" s="134">
        <f t="shared" si="0"/>
        <v>7</v>
      </c>
      <c r="B8" s="137" t="s">
        <v>12</v>
      </c>
      <c r="C8" s="49">
        <v>50874</v>
      </c>
      <c r="D8" s="47" t="s">
        <v>9</v>
      </c>
    </row>
    <row r="9" spans="1:4">
      <c r="A9" s="134">
        <f t="shared" si="0"/>
        <v>8</v>
      </c>
      <c r="B9" s="137" t="s">
        <v>13</v>
      </c>
      <c r="C9" s="47">
        <v>51591</v>
      </c>
      <c r="D9" s="47" t="s">
        <v>9</v>
      </c>
    </row>
    <row r="10" spans="1:4">
      <c r="A10" s="134">
        <f t="shared" si="0"/>
        <v>9</v>
      </c>
      <c r="B10" s="137" t="s">
        <v>14</v>
      </c>
      <c r="C10" s="47">
        <v>18550</v>
      </c>
      <c r="D10" s="47" t="s">
        <v>9</v>
      </c>
    </row>
    <row r="11" spans="1:4">
      <c r="A11" s="134">
        <f t="shared" si="0"/>
        <v>10</v>
      </c>
      <c r="B11" s="137" t="s">
        <v>15</v>
      </c>
      <c r="C11" s="47">
        <v>50032</v>
      </c>
      <c r="D11" s="47" t="s">
        <v>9</v>
      </c>
    </row>
    <row r="12" spans="1:4">
      <c r="A12" s="134">
        <f t="shared" si="0"/>
        <v>11</v>
      </c>
      <c r="B12" s="137" t="s">
        <v>16</v>
      </c>
      <c r="C12" s="47">
        <v>17725</v>
      </c>
      <c r="D12" s="47" t="s">
        <v>9</v>
      </c>
    </row>
    <row r="13" spans="1:4">
      <c r="A13" s="134">
        <f t="shared" si="0"/>
        <v>12</v>
      </c>
      <c r="B13" s="137" t="s">
        <v>17</v>
      </c>
      <c r="C13" s="49">
        <v>51860</v>
      </c>
      <c r="D13" s="47" t="s">
        <v>9</v>
      </c>
    </row>
    <row r="14" spans="1:4">
      <c r="A14" s="134">
        <f t="shared" si="0"/>
        <v>13</v>
      </c>
      <c r="B14" s="136" t="s">
        <v>18</v>
      </c>
      <c r="C14" s="47">
        <v>50709</v>
      </c>
      <c r="D14" s="47" t="s">
        <v>19</v>
      </c>
    </row>
    <row r="15" spans="1:4">
      <c r="A15" s="134">
        <f t="shared" si="0"/>
        <v>14</v>
      </c>
      <c r="B15" s="136" t="s">
        <v>20</v>
      </c>
      <c r="C15" s="47">
        <v>51389</v>
      </c>
      <c r="D15" s="47" t="s">
        <v>19</v>
      </c>
    </row>
    <row r="16" spans="1:4">
      <c r="A16" s="134">
        <f t="shared" si="0"/>
        <v>15</v>
      </c>
      <c r="B16" s="136" t="s">
        <v>21</v>
      </c>
      <c r="C16" s="49">
        <v>51385</v>
      </c>
      <c r="D16" s="47" t="s">
        <v>19</v>
      </c>
    </row>
    <row r="17" spans="1:4">
      <c r="A17" s="134">
        <f t="shared" si="0"/>
        <v>16</v>
      </c>
      <c r="B17" s="136" t="s">
        <v>22</v>
      </c>
      <c r="C17" s="47">
        <v>50713</v>
      </c>
      <c r="D17" s="47" t="s">
        <v>19</v>
      </c>
    </row>
    <row r="18" spans="1:4">
      <c r="A18" s="134">
        <f t="shared" si="0"/>
        <v>17</v>
      </c>
      <c r="B18" s="136" t="s">
        <v>23</v>
      </c>
      <c r="C18" s="47">
        <v>51430</v>
      </c>
      <c r="D18" s="47" t="s">
        <v>19</v>
      </c>
    </row>
    <row r="19" spans="1:4">
      <c r="A19" s="134">
        <f t="shared" si="0"/>
        <v>18</v>
      </c>
      <c r="B19" s="136" t="s">
        <v>24</v>
      </c>
      <c r="C19" s="49">
        <v>51517</v>
      </c>
      <c r="D19" s="47" t="s">
        <v>19</v>
      </c>
    </row>
    <row r="20" spans="1:4">
      <c r="A20" s="134">
        <f t="shared" si="0"/>
        <v>19</v>
      </c>
      <c r="B20" s="136" t="s">
        <v>25</v>
      </c>
      <c r="C20" s="47">
        <v>50872</v>
      </c>
      <c r="D20" s="47" t="s">
        <v>19</v>
      </c>
    </row>
    <row r="21" spans="1:4">
      <c r="A21" s="134">
        <f t="shared" si="0"/>
        <v>20</v>
      </c>
      <c r="B21" s="136" t="s">
        <v>26</v>
      </c>
      <c r="C21" s="47">
        <v>51951</v>
      </c>
      <c r="D21" s="47" t="s">
        <v>19</v>
      </c>
    </row>
    <row r="22" spans="1:4">
      <c r="A22" s="134">
        <f t="shared" si="0"/>
        <v>21</v>
      </c>
      <c r="B22" s="136" t="s">
        <v>27</v>
      </c>
      <c r="C22" s="49">
        <v>51387</v>
      </c>
      <c r="D22" s="47" t="s">
        <v>19</v>
      </c>
    </row>
    <row r="23" spans="1:4">
      <c r="A23" s="134">
        <f t="shared" si="0"/>
        <v>22</v>
      </c>
      <c r="B23" s="136" t="s">
        <v>28</v>
      </c>
      <c r="C23" s="49">
        <v>51435</v>
      </c>
      <c r="D23" s="47" t="s">
        <v>19</v>
      </c>
    </row>
    <row r="24" spans="1:4">
      <c r="A24" s="134">
        <f t="shared" si="0"/>
        <v>23</v>
      </c>
      <c r="B24" s="136" t="s">
        <v>29</v>
      </c>
      <c r="C24" s="49">
        <v>52156</v>
      </c>
      <c r="D24" s="47" t="s">
        <v>19</v>
      </c>
    </row>
    <row r="25" spans="1:4">
      <c r="A25" s="134">
        <f t="shared" si="0"/>
        <v>24</v>
      </c>
      <c r="B25" s="138" t="s">
        <v>30</v>
      </c>
      <c r="C25" s="49">
        <v>52587</v>
      </c>
      <c r="D25" s="47" t="s">
        <v>19</v>
      </c>
    </row>
    <row r="26" spans="1:4">
      <c r="A26" s="134">
        <f t="shared" si="0"/>
        <v>25</v>
      </c>
      <c r="B26" s="138" t="s">
        <v>31</v>
      </c>
      <c r="C26" s="49">
        <v>52585</v>
      </c>
      <c r="D26" s="47" t="s">
        <v>19</v>
      </c>
    </row>
    <row r="27" spans="1:4">
      <c r="A27" s="134">
        <f t="shared" si="0"/>
        <v>26</v>
      </c>
      <c r="B27" s="135" t="s">
        <v>32</v>
      </c>
      <c r="C27" s="47">
        <v>22296</v>
      </c>
      <c r="D27" s="47" t="s">
        <v>33</v>
      </c>
    </row>
    <row r="28" spans="1:4">
      <c r="A28" s="134">
        <f t="shared" si="0"/>
        <v>27</v>
      </c>
      <c r="B28" s="135" t="s">
        <v>34</v>
      </c>
      <c r="C28" s="47">
        <v>23527</v>
      </c>
      <c r="D28" s="47" t="s">
        <v>33</v>
      </c>
    </row>
    <row r="29" spans="1:4">
      <c r="A29" s="134">
        <f t="shared" si="0"/>
        <v>28</v>
      </c>
      <c r="B29" s="135" t="s">
        <v>35</v>
      </c>
      <c r="C29" s="49">
        <v>51194</v>
      </c>
      <c r="D29" s="47" t="s">
        <v>33</v>
      </c>
    </row>
    <row r="30" spans="1:4">
      <c r="A30" s="134">
        <f t="shared" si="0"/>
        <v>29</v>
      </c>
      <c r="B30" s="135" t="s">
        <v>36</v>
      </c>
      <c r="C30" s="49">
        <v>50871</v>
      </c>
      <c r="D30" s="47" t="s">
        <v>33</v>
      </c>
    </row>
    <row r="31" spans="1:4">
      <c r="A31" s="134">
        <f t="shared" si="0"/>
        <v>30</v>
      </c>
      <c r="B31" s="135" t="s">
        <v>37</v>
      </c>
      <c r="C31" s="47">
        <v>50716</v>
      </c>
      <c r="D31" s="47" t="s">
        <v>33</v>
      </c>
    </row>
    <row r="32" spans="1:4">
      <c r="A32" s="134">
        <f t="shared" si="0"/>
        <v>31</v>
      </c>
      <c r="B32" s="135" t="s">
        <v>38</v>
      </c>
      <c r="C32" s="47">
        <v>51158</v>
      </c>
      <c r="D32" s="47" t="s">
        <v>33</v>
      </c>
    </row>
    <row r="33" spans="1:4">
      <c r="A33" s="134">
        <f t="shared" si="0"/>
        <v>32</v>
      </c>
      <c r="B33" s="135" t="s">
        <v>39</v>
      </c>
      <c r="C33" s="47">
        <v>51196</v>
      </c>
      <c r="D33" s="47" t="s">
        <v>33</v>
      </c>
    </row>
    <row r="34" spans="1:4">
      <c r="A34" s="134">
        <f t="shared" si="0"/>
        <v>33</v>
      </c>
      <c r="B34" s="135" t="s">
        <v>40</v>
      </c>
      <c r="C34" s="49">
        <v>51175</v>
      </c>
      <c r="D34" s="47" t="s">
        <v>33</v>
      </c>
    </row>
    <row r="35" spans="1:4">
      <c r="A35" s="134">
        <f t="shared" si="0"/>
        <v>34</v>
      </c>
      <c r="B35" s="135" t="s">
        <v>41</v>
      </c>
      <c r="C35" s="47">
        <v>22259</v>
      </c>
      <c r="D35" s="47" t="s">
        <v>33</v>
      </c>
    </row>
    <row r="36" spans="1:4">
      <c r="A36" s="134">
        <f t="shared" si="0"/>
        <v>35</v>
      </c>
      <c r="B36" s="135" t="s">
        <v>42</v>
      </c>
      <c r="C36" s="49">
        <v>26766</v>
      </c>
      <c r="D36" s="47" t="s">
        <v>33</v>
      </c>
    </row>
    <row r="37" spans="1:4">
      <c r="A37" s="134">
        <f t="shared" si="0"/>
        <v>36</v>
      </c>
      <c r="B37" s="135" t="s">
        <v>43</v>
      </c>
      <c r="C37" s="49">
        <v>51181</v>
      </c>
      <c r="D37" s="47" t="s">
        <v>33</v>
      </c>
    </row>
    <row r="38" spans="1:4">
      <c r="A38" s="134">
        <f t="shared" si="0"/>
        <v>37</v>
      </c>
      <c r="B38" s="135" t="s">
        <v>44</v>
      </c>
      <c r="C38" s="49">
        <v>51793</v>
      </c>
      <c r="D38" s="47" t="s">
        <v>33</v>
      </c>
    </row>
    <row r="39" spans="1:4">
      <c r="A39" s="134">
        <f t="shared" si="0"/>
        <v>38</v>
      </c>
      <c r="B39" s="135" t="s">
        <v>45</v>
      </c>
      <c r="C39" s="49">
        <v>26689</v>
      </c>
      <c r="D39" s="47" t="s">
        <v>33</v>
      </c>
    </row>
    <row r="40" spans="1:4">
      <c r="A40" s="134">
        <f t="shared" si="0"/>
        <v>39</v>
      </c>
      <c r="B40" s="135" t="s">
        <v>46</v>
      </c>
      <c r="C40" s="49">
        <v>50722</v>
      </c>
      <c r="D40" s="47" t="s">
        <v>33</v>
      </c>
    </row>
    <row r="41" spans="1:4">
      <c r="A41" s="134">
        <f t="shared" si="0"/>
        <v>40</v>
      </c>
      <c r="B41" s="135" t="s">
        <v>47</v>
      </c>
      <c r="C41" s="49">
        <v>51589</v>
      </c>
      <c r="D41" s="47" t="s">
        <v>33</v>
      </c>
    </row>
    <row r="42" spans="1:4">
      <c r="A42" s="134">
        <f t="shared" si="0"/>
        <v>41</v>
      </c>
      <c r="B42" s="135" t="s">
        <v>48</v>
      </c>
      <c r="C42" s="49">
        <v>52130</v>
      </c>
      <c r="D42" s="47" t="s">
        <v>33</v>
      </c>
    </row>
    <row r="43" spans="1:4">
      <c r="A43" s="134">
        <f t="shared" si="0"/>
        <v>42</v>
      </c>
      <c r="B43" s="135" t="s">
        <v>49</v>
      </c>
      <c r="C43" s="47">
        <v>28161</v>
      </c>
      <c r="D43" s="47" t="s">
        <v>33</v>
      </c>
    </row>
    <row r="44" spans="1:4">
      <c r="A44" s="134">
        <f t="shared" si="0"/>
        <v>43</v>
      </c>
      <c r="B44" s="135" t="s">
        <v>50</v>
      </c>
      <c r="C44" s="47">
        <v>52342</v>
      </c>
      <c r="D44" s="47" t="s">
        <v>33</v>
      </c>
    </row>
    <row r="45" spans="1:4">
      <c r="A45" s="134">
        <f t="shared" si="0"/>
        <v>44</v>
      </c>
      <c r="B45" s="135" t="s">
        <v>51</v>
      </c>
      <c r="C45" s="49">
        <v>50726</v>
      </c>
      <c r="D45" s="47" t="s">
        <v>33</v>
      </c>
    </row>
    <row r="46" spans="1:4">
      <c r="A46" s="134">
        <f t="shared" si="0"/>
        <v>45</v>
      </c>
      <c r="B46" s="135" t="s">
        <v>52</v>
      </c>
      <c r="C46" s="49">
        <v>23524</v>
      </c>
      <c r="D46" s="47" t="s">
        <v>33</v>
      </c>
    </row>
    <row r="47" spans="1:4">
      <c r="A47" s="134">
        <f t="shared" si="0"/>
        <v>46</v>
      </c>
      <c r="B47" s="135" t="s">
        <v>53</v>
      </c>
      <c r="C47" s="49">
        <v>51763</v>
      </c>
      <c r="D47" s="47" t="s">
        <v>33</v>
      </c>
    </row>
    <row r="48" spans="1:4">
      <c r="A48" s="134">
        <f t="shared" si="0"/>
        <v>47</v>
      </c>
      <c r="B48" s="135" t="s">
        <v>54</v>
      </c>
      <c r="C48" s="47">
        <v>51944</v>
      </c>
      <c r="D48" s="47" t="s">
        <v>33</v>
      </c>
    </row>
    <row r="49" spans="1:4">
      <c r="A49" s="134">
        <f t="shared" si="0"/>
        <v>48</v>
      </c>
      <c r="B49" s="135" t="s">
        <v>55</v>
      </c>
      <c r="C49" s="47">
        <v>52347</v>
      </c>
      <c r="D49" s="47" t="s">
        <v>33</v>
      </c>
    </row>
    <row r="50" spans="1:4">
      <c r="A50" s="134">
        <f t="shared" si="0"/>
        <v>49</v>
      </c>
      <c r="B50" s="136" t="s">
        <v>56</v>
      </c>
      <c r="C50" s="47">
        <v>52560</v>
      </c>
      <c r="D50" s="47" t="s">
        <v>33</v>
      </c>
    </row>
    <row r="51" spans="1:4">
      <c r="A51" s="134">
        <f t="shared" si="0"/>
        <v>50</v>
      </c>
      <c r="B51" s="138" t="s">
        <v>57</v>
      </c>
      <c r="C51" s="47">
        <v>52153</v>
      </c>
      <c r="D51" s="47" t="s">
        <v>33</v>
      </c>
    </row>
    <row r="52" spans="1:4">
      <c r="A52" s="134">
        <f t="shared" si="0"/>
        <v>51</v>
      </c>
      <c r="B52" s="138" t="s">
        <v>58</v>
      </c>
      <c r="C52" s="47">
        <v>53422</v>
      </c>
      <c r="D52" s="47" t="s">
        <v>33</v>
      </c>
    </row>
    <row r="53" spans="1:4">
      <c r="A53" s="134">
        <f t="shared" si="0"/>
        <v>52</v>
      </c>
      <c r="B53" s="138" t="s">
        <v>59</v>
      </c>
      <c r="C53" s="47">
        <v>52256</v>
      </c>
      <c r="D53" s="47" t="s">
        <v>33</v>
      </c>
    </row>
    <row r="54" spans="1:4">
      <c r="A54" s="134">
        <f t="shared" si="0"/>
        <v>53</v>
      </c>
      <c r="B54" s="137" t="s">
        <v>60</v>
      </c>
      <c r="C54" s="49">
        <v>50030</v>
      </c>
      <c r="D54" s="47" t="s">
        <v>33</v>
      </c>
    </row>
    <row r="55" spans="1:4">
      <c r="A55" s="134">
        <f t="shared" si="0"/>
        <v>54</v>
      </c>
      <c r="B55" s="137" t="s">
        <v>61</v>
      </c>
      <c r="C55" s="49">
        <v>52569</v>
      </c>
      <c r="D55" s="47" t="s">
        <v>33</v>
      </c>
    </row>
    <row r="56" spans="1:4">
      <c r="A56" s="134">
        <f t="shared" si="0"/>
        <v>55</v>
      </c>
      <c r="B56" s="137" t="s">
        <v>62</v>
      </c>
      <c r="C56" s="49">
        <v>52581</v>
      </c>
      <c r="D56" s="47" t="s">
        <v>33</v>
      </c>
    </row>
    <row r="57" spans="1:4">
      <c r="A57" s="134">
        <f t="shared" si="0"/>
        <v>56</v>
      </c>
      <c r="B57" s="135" t="s">
        <v>63</v>
      </c>
      <c r="C57" s="49">
        <v>52063</v>
      </c>
      <c r="D57" s="47" t="s">
        <v>64</v>
      </c>
    </row>
    <row r="58" spans="1:4">
      <c r="A58" s="134">
        <f t="shared" si="0"/>
        <v>57</v>
      </c>
      <c r="B58" s="135" t="s">
        <v>65</v>
      </c>
      <c r="C58" s="49">
        <v>52017</v>
      </c>
      <c r="D58" s="47" t="s">
        <v>64</v>
      </c>
    </row>
    <row r="59" spans="1:4">
      <c r="A59" s="134">
        <f t="shared" si="0"/>
        <v>58</v>
      </c>
      <c r="B59" s="135" t="s">
        <v>66</v>
      </c>
      <c r="C59" s="47">
        <v>50281</v>
      </c>
      <c r="D59" s="47" t="s">
        <v>64</v>
      </c>
    </row>
    <row r="60" spans="1:4">
      <c r="A60" s="134">
        <f t="shared" si="0"/>
        <v>59</v>
      </c>
      <c r="B60" s="135" t="s">
        <v>67</v>
      </c>
      <c r="C60" s="47">
        <v>51784</v>
      </c>
      <c r="D60" s="47" t="s">
        <v>64</v>
      </c>
    </row>
    <row r="61" spans="1:4">
      <c r="A61" s="134">
        <f t="shared" si="0"/>
        <v>60</v>
      </c>
      <c r="B61" s="135" t="s">
        <v>68</v>
      </c>
      <c r="C61" s="47">
        <v>51165</v>
      </c>
      <c r="D61" s="47" t="s">
        <v>64</v>
      </c>
    </row>
    <row r="62" spans="1:4">
      <c r="A62" s="134">
        <f t="shared" si="0"/>
        <v>61</v>
      </c>
      <c r="B62" s="135" t="s">
        <v>69</v>
      </c>
      <c r="C62" s="47">
        <v>51227</v>
      </c>
      <c r="D62" s="47" t="s">
        <v>64</v>
      </c>
    </row>
    <row r="63" spans="1:4">
      <c r="A63" s="134">
        <f t="shared" si="0"/>
        <v>62</v>
      </c>
      <c r="B63" s="135" t="s">
        <v>70</v>
      </c>
      <c r="C63" s="47">
        <v>51183</v>
      </c>
      <c r="D63" s="47" t="s">
        <v>64</v>
      </c>
    </row>
    <row r="64" spans="1:4">
      <c r="A64" s="134">
        <f t="shared" si="0"/>
        <v>63</v>
      </c>
      <c r="B64" s="135" t="s">
        <v>71</v>
      </c>
      <c r="C64" s="47">
        <v>52180</v>
      </c>
      <c r="D64" s="47" t="s">
        <v>64</v>
      </c>
    </row>
    <row r="65" spans="1:4">
      <c r="A65" s="134">
        <f t="shared" si="0"/>
        <v>64</v>
      </c>
      <c r="B65" s="135" t="s">
        <v>72</v>
      </c>
      <c r="C65" s="47">
        <v>50730</v>
      </c>
      <c r="D65" s="47" t="s">
        <v>64</v>
      </c>
    </row>
    <row r="66" spans="1:4">
      <c r="A66" s="134">
        <f t="shared" ref="A66:A129" si="1">ROW()-1</f>
        <v>65</v>
      </c>
      <c r="B66" s="135" t="s">
        <v>73</v>
      </c>
      <c r="C66" s="47">
        <v>50275</v>
      </c>
      <c r="D66" s="47" t="s">
        <v>64</v>
      </c>
    </row>
    <row r="67" spans="1:4">
      <c r="A67" s="134">
        <f t="shared" si="1"/>
        <v>66</v>
      </c>
      <c r="B67" s="135" t="s">
        <v>74</v>
      </c>
      <c r="C67" s="47">
        <v>51400</v>
      </c>
      <c r="D67" s="47" t="s">
        <v>64</v>
      </c>
    </row>
    <row r="68" spans="1:4">
      <c r="A68" s="134">
        <f t="shared" si="1"/>
        <v>67</v>
      </c>
      <c r="B68" s="135" t="s">
        <v>75</v>
      </c>
      <c r="C68" s="47">
        <v>51955</v>
      </c>
      <c r="D68" s="47" t="s">
        <v>64</v>
      </c>
    </row>
    <row r="69" spans="1:4">
      <c r="A69" s="134">
        <f t="shared" si="1"/>
        <v>68</v>
      </c>
      <c r="B69" s="135" t="s">
        <v>76</v>
      </c>
      <c r="C69" s="47">
        <v>51781</v>
      </c>
      <c r="D69" s="47" t="s">
        <v>64</v>
      </c>
    </row>
    <row r="70" spans="1:4">
      <c r="A70" s="134">
        <f t="shared" si="1"/>
        <v>69</v>
      </c>
      <c r="B70" s="135" t="s">
        <v>77</v>
      </c>
      <c r="C70" s="47">
        <v>25548</v>
      </c>
      <c r="D70" s="47" t="s">
        <v>64</v>
      </c>
    </row>
    <row r="71" spans="1:4">
      <c r="A71" s="134">
        <f t="shared" si="1"/>
        <v>70</v>
      </c>
      <c r="B71" s="135" t="s">
        <v>78</v>
      </c>
      <c r="C71" s="47">
        <v>22294</v>
      </c>
      <c r="D71" s="47" t="s">
        <v>64</v>
      </c>
    </row>
    <row r="72" spans="1:4">
      <c r="A72" s="134">
        <f t="shared" si="1"/>
        <v>71</v>
      </c>
      <c r="B72" s="135" t="s">
        <v>79</v>
      </c>
      <c r="C72" s="47">
        <v>51410</v>
      </c>
      <c r="D72" s="47" t="s">
        <v>64</v>
      </c>
    </row>
    <row r="73" spans="1:4">
      <c r="A73" s="134">
        <f t="shared" si="1"/>
        <v>72</v>
      </c>
      <c r="B73" s="135" t="s">
        <v>80</v>
      </c>
      <c r="C73" s="47">
        <v>51211</v>
      </c>
      <c r="D73" s="47" t="s">
        <v>64</v>
      </c>
    </row>
    <row r="74" spans="1:4">
      <c r="A74" s="134">
        <f t="shared" si="1"/>
        <v>73</v>
      </c>
      <c r="B74" s="135" t="s">
        <v>81</v>
      </c>
      <c r="C74" s="47">
        <v>25763</v>
      </c>
      <c r="D74" s="47" t="s">
        <v>64</v>
      </c>
    </row>
    <row r="75" spans="1:4">
      <c r="A75" s="134">
        <f t="shared" si="1"/>
        <v>74</v>
      </c>
      <c r="B75" s="135" t="s">
        <v>82</v>
      </c>
      <c r="C75" s="47">
        <v>51624</v>
      </c>
      <c r="D75" s="47" t="s">
        <v>64</v>
      </c>
    </row>
    <row r="76" spans="1:4">
      <c r="A76" s="134">
        <f t="shared" si="1"/>
        <v>75</v>
      </c>
      <c r="B76" s="135" t="s">
        <v>83</v>
      </c>
      <c r="C76" s="49">
        <v>51640</v>
      </c>
      <c r="D76" s="47" t="s">
        <v>64</v>
      </c>
    </row>
    <row r="77" spans="1:4">
      <c r="A77" s="134">
        <f t="shared" si="1"/>
        <v>76</v>
      </c>
      <c r="B77" s="135" t="s">
        <v>84</v>
      </c>
      <c r="C77" s="47">
        <v>25765</v>
      </c>
      <c r="D77" s="47" t="s">
        <v>64</v>
      </c>
    </row>
    <row r="78" spans="1:4">
      <c r="A78" s="134">
        <f t="shared" si="1"/>
        <v>77</v>
      </c>
      <c r="B78" s="135" t="s">
        <v>85</v>
      </c>
      <c r="C78" s="47">
        <v>25071</v>
      </c>
      <c r="D78" s="47" t="s">
        <v>64</v>
      </c>
    </row>
    <row r="79" spans="1:4">
      <c r="A79" s="134">
        <f t="shared" si="1"/>
        <v>78</v>
      </c>
      <c r="B79" s="135" t="s">
        <v>86</v>
      </c>
      <c r="C79" s="47">
        <v>51615</v>
      </c>
      <c r="D79" s="47" t="s">
        <v>64</v>
      </c>
    </row>
    <row r="80" spans="1:4">
      <c r="A80" s="134">
        <f t="shared" si="1"/>
        <v>79</v>
      </c>
      <c r="B80" s="135" t="s">
        <v>87</v>
      </c>
      <c r="C80" s="47">
        <v>52124</v>
      </c>
      <c r="D80" s="47" t="s">
        <v>64</v>
      </c>
    </row>
    <row r="81" spans="1:4">
      <c r="A81" s="134">
        <f t="shared" si="1"/>
        <v>80</v>
      </c>
      <c r="B81" s="135" t="s">
        <v>88</v>
      </c>
      <c r="C81" s="49">
        <v>52133</v>
      </c>
      <c r="D81" s="47" t="s">
        <v>64</v>
      </c>
    </row>
    <row r="82" spans="1:4">
      <c r="A82" s="134">
        <f t="shared" si="1"/>
        <v>81</v>
      </c>
      <c r="B82" s="135" t="s">
        <v>89</v>
      </c>
      <c r="C82" s="49">
        <v>52236</v>
      </c>
      <c r="D82" s="47" t="s">
        <v>64</v>
      </c>
    </row>
    <row r="83" spans="1:4">
      <c r="A83" s="134">
        <f t="shared" si="1"/>
        <v>82</v>
      </c>
      <c r="B83" s="135" t="s">
        <v>90</v>
      </c>
      <c r="C83" s="47">
        <v>51844</v>
      </c>
      <c r="D83" s="47" t="s">
        <v>64</v>
      </c>
    </row>
    <row r="84" spans="1:4">
      <c r="A84" s="134">
        <f t="shared" si="1"/>
        <v>83</v>
      </c>
      <c r="B84" s="135" t="s">
        <v>91</v>
      </c>
      <c r="C84" s="47">
        <v>52345</v>
      </c>
      <c r="D84" s="47" t="s">
        <v>64</v>
      </c>
    </row>
    <row r="85" spans="1:4">
      <c r="A85" s="134">
        <f t="shared" si="1"/>
        <v>84</v>
      </c>
      <c r="B85" s="135" t="s">
        <v>92</v>
      </c>
      <c r="C85" s="47">
        <v>51647</v>
      </c>
      <c r="D85" s="47" t="s">
        <v>64</v>
      </c>
    </row>
    <row r="86" spans="1:4">
      <c r="A86" s="134">
        <f t="shared" si="1"/>
        <v>85</v>
      </c>
      <c r="B86" s="135" t="s">
        <v>93</v>
      </c>
      <c r="C86" s="47">
        <v>25078</v>
      </c>
      <c r="D86" s="47" t="s">
        <v>64</v>
      </c>
    </row>
    <row r="87" spans="1:4">
      <c r="A87" s="134">
        <f t="shared" si="1"/>
        <v>86</v>
      </c>
      <c r="B87" s="135" t="s">
        <v>94</v>
      </c>
      <c r="C87" s="47">
        <v>50735</v>
      </c>
      <c r="D87" s="47" t="s">
        <v>64</v>
      </c>
    </row>
    <row r="88" spans="1:4">
      <c r="A88" s="134">
        <f t="shared" si="1"/>
        <v>87</v>
      </c>
      <c r="B88" s="135" t="s">
        <v>95</v>
      </c>
      <c r="C88" s="47">
        <v>52579</v>
      </c>
      <c r="D88" s="47" t="s">
        <v>64</v>
      </c>
    </row>
    <row r="89" spans="1:4">
      <c r="A89" s="134">
        <f t="shared" si="1"/>
        <v>88</v>
      </c>
      <c r="B89" s="135" t="s">
        <v>96</v>
      </c>
      <c r="C89" s="47">
        <v>51188</v>
      </c>
      <c r="D89" s="47" t="s">
        <v>97</v>
      </c>
    </row>
    <row r="90" spans="1:4">
      <c r="A90" s="134">
        <f t="shared" si="1"/>
        <v>89</v>
      </c>
      <c r="B90" s="135" t="s">
        <v>98</v>
      </c>
      <c r="C90" s="47">
        <v>18548</v>
      </c>
      <c r="D90" s="47" t="s">
        <v>97</v>
      </c>
    </row>
    <row r="91" spans="1:4">
      <c r="A91" s="134">
        <f t="shared" si="1"/>
        <v>90</v>
      </c>
      <c r="B91" s="135" t="s">
        <v>99</v>
      </c>
      <c r="C91" s="47">
        <v>50278</v>
      </c>
      <c r="D91" s="47" t="s">
        <v>97</v>
      </c>
    </row>
    <row r="92" spans="1:4">
      <c r="A92" s="134">
        <f t="shared" si="1"/>
        <v>91</v>
      </c>
      <c r="B92" s="135" t="s">
        <v>100</v>
      </c>
      <c r="C92" s="49">
        <v>50710</v>
      </c>
      <c r="D92" s="47" t="s">
        <v>97</v>
      </c>
    </row>
    <row r="93" spans="1:4">
      <c r="A93" s="134">
        <f t="shared" si="1"/>
        <v>92</v>
      </c>
      <c r="B93" s="135" t="s">
        <v>101</v>
      </c>
      <c r="C93" s="47">
        <v>50022</v>
      </c>
      <c r="D93" s="47" t="s">
        <v>97</v>
      </c>
    </row>
    <row r="94" spans="1:4">
      <c r="A94" s="134">
        <f t="shared" si="1"/>
        <v>93</v>
      </c>
      <c r="B94" s="135" t="s">
        <v>102</v>
      </c>
      <c r="C94" s="47">
        <v>51186</v>
      </c>
      <c r="D94" s="47" t="s">
        <v>97</v>
      </c>
    </row>
    <row r="95" spans="1:4">
      <c r="A95" s="134">
        <f t="shared" si="1"/>
        <v>94</v>
      </c>
      <c r="B95" s="135" t="s">
        <v>103</v>
      </c>
      <c r="C95" s="47">
        <v>51407</v>
      </c>
      <c r="D95" s="47" t="s">
        <v>97</v>
      </c>
    </row>
    <row r="96" spans="1:4">
      <c r="A96" s="134">
        <f t="shared" si="1"/>
        <v>95</v>
      </c>
      <c r="B96" s="135" t="s">
        <v>104</v>
      </c>
      <c r="C96" s="49">
        <v>22298</v>
      </c>
      <c r="D96" s="47" t="s">
        <v>97</v>
      </c>
    </row>
    <row r="97" spans="1:4">
      <c r="A97" s="134">
        <f t="shared" si="1"/>
        <v>96</v>
      </c>
      <c r="B97" s="135" t="s">
        <v>105</v>
      </c>
      <c r="C97" s="49">
        <v>51397</v>
      </c>
      <c r="D97" s="47" t="s">
        <v>97</v>
      </c>
    </row>
    <row r="98" spans="1:4">
      <c r="A98" s="134">
        <f t="shared" si="1"/>
        <v>97</v>
      </c>
      <c r="B98" s="135" t="s">
        <v>106</v>
      </c>
      <c r="C98" s="47">
        <v>51234</v>
      </c>
      <c r="D98" s="47" t="s">
        <v>97</v>
      </c>
    </row>
    <row r="99" spans="1:4">
      <c r="A99" s="134">
        <f t="shared" si="1"/>
        <v>98</v>
      </c>
      <c r="B99" s="135" t="s">
        <v>107</v>
      </c>
      <c r="C99" s="47">
        <v>50065</v>
      </c>
      <c r="D99" s="47" t="s">
        <v>97</v>
      </c>
    </row>
    <row r="100" spans="1:4">
      <c r="A100" s="134">
        <f t="shared" si="1"/>
        <v>99</v>
      </c>
      <c r="B100" s="135" t="s">
        <v>108</v>
      </c>
      <c r="C100" s="49">
        <v>17238</v>
      </c>
      <c r="D100" s="47" t="s">
        <v>97</v>
      </c>
    </row>
    <row r="101" spans="1:4">
      <c r="A101" s="134">
        <f t="shared" si="1"/>
        <v>100</v>
      </c>
      <c r="B101" s="135" t="s">
        <v>109</v>
      </c>
      <c r="C101" s="47">
        <v>51170</v>
      </c>
      <c r="D101" s="47" t="s">
        <v>97</v>
      </c>
    </row>
    <row r="102" spans="1:4">
      <c r="A102" s="134">
        <f t="shared" si="1"/>
        <v>101</v>
      </c>
      <c r="B102" s="135" t="s">
        <v>110</v>
      </c>
      <c r="C102" s="49">
        <v>51641</v>
      </c>
      <c r="D102" s="47" t="s">
        <v>97</v>
      </c>
    </row>
    <row r="103" spans="1:4">
      <c r="A103" s="134">
        <f t="shared" si="1"/>
        <v>102</v>
      </c>
      <c r="B103" s="135" t="s">
        <v>111</v>
      </c>
      <c r="C103" s="47">
        <v>25600</v>
      </c>
      <c r="D103" s="47" t="s">
        <v>97</v>
      </c>
    </row>
    <row r="104" spans="1:4">
      <c r="A104" s="134">
        <f t="shared" si="1"/>
        <v>103</v>
      </c>
      <c r="B104" s="135" t="s">
        <v>112</v>
      </c>
      <c r="C104" s="49">
        <v>51642</v>
      </c>
      <c r="D104" s="47" t="s">
        <v>97</v>
      </c>
    </row>
    <row r="105" spans="1:4">
      <c r="A105" s="134">
        <f t="shared" si="1"/>
        <v>104</v>
      </c>
      <c r="B105" s="135" t="s">
        <v>113</v>
      </c>
      <c r="C105" s="49">
        <v>52132</v>
      </c>
      <c r="D105" s="47" t="s">
        <v>97</v>
      </c>
    </row>
    <row r="106" spans="1:4">
      <c r="A106" s="134">
        <f t="shared" si="1"/>
        <v>105</v>
      </c>
      <c r="B106" s="135" t="s">
        <v>114</v>
      </c>
      <c r="C106" s="47">
        <v>52131</v>
      </c>
      <c r="D106" s="47" t="s">
        <v>97</v>
      </c>
    </row>
    <row r="107" spans="1:4">
      <c r="A107" s="134">
        <f t="shared" si="1"/>
        <v>106</v>
      </c>
      <c r="B107" s="135" t="s">
        <v>115</v>
      </c>
      <c r="C107" s="49">
        <v>52232</v>
      </c>
      <c r="D107" s="47" t="s">
        <v>97</v>
      </c>
    </row>
    <row r="108" spans="1:4">
      <c r="A108" s="134">
        <f t="shared" si="1"/>
        <v>107</v>
      </c>
      <c r="B108" s="135" t="s">
        <v>116</v>
      </c>
      <c r="C108" s="49">
        <v>52123</v>
      </c>
      <c r="D108" s="47" t="s">
        <v>97</v>
      </c>
    </row>
    <row r="109" spans="1:4">
      <c r="A109" s="134">
        <f t="shared" si="1"/>
        <v>108</v>
      </c>
      <c r="B109" s="135" t="s">
        <v>117</v>
      </c>
      <c r="C109" s="47">
        <v>51190</v>
      </c>
      <c r="D109" s="47" t="s">
        <v>97</v>
      </c>
    </row>
    <row r="110" spans="1:4">
      <c r="A110" s="134">
        <f t="shared" si="1"/>
        <v>109</v>
      </c>
      <c r="B110" s="135" t="s">
        <v>118</v>
      </c>
      <c r="C110" s="49">
        <v>25762</v>
      </c>
      <c r="D110" s="47" t="s">
        <v>97</v>
      </c>
    </row>
    <row r="111" spans="1:4">
      <c r="A111" s="134">
        <f t="shared" si="1"/>
        <v>110</v>
      </c>
      <c r="B111" s="135" t="s">
        <v>119</v>
      </c>
      <c r="C111" s="49">
        <v>52341</v>
      </c>
      <c r="D111" s="47" t="s">
        <v>97</v>
      </c>
    </row>
    <row r="112" spans="1:4">
      <c r="A112" s="134">
        <f t="shared" si="1"/>
        <v>111</v>
      </c>
      <c r="B112" s="136" t="s">
        <v>120</v>
      </c>
      <c r="C112" s="47">
        <v>51162</v>
      </c>
      <c r="D112" s="50" t="s">
        <v>121</v>
      </c>
    </row>
    <row r="113" spans="1:4">
      <c r="A113" s="134">
        <f t="shared" si="1"/>
        <v>112</v>
      </c>
      <c r="B113" s="136" t="s">
        <v>122</v>
      </c>
      <c r="C113" s="49">
        <v>51166</v>
      </c>
      <c r="D113" s="50" t="s">
        <v>121</v>
      </c>
    </row>
    <row r="114" spans="1:4">
      <c r="A114" s="134">
        <f t="shared" si="1"/>
        <v>113</v>
      </c>
      <c r="B114" s="135" t="s">
        <v>123</v>
      </c>
      <c r="C114" s="47">
        <v>51405</v>
      </c>
      <c r="D114" s="50" t="s">
        <v>121</v>
      </c>
    </row>
    <row r="115" spans="1:4">
      <c r="A115" s="134">
        <f t="shared" si="1"/>
        <v>114</v>
      </c>
      <c r="B115" s="135" t="s">
        <v>124</v>
      </c>
      <c r="C115" s="47">
        <v>50876</v>
      </c>
      <c r="D115" s="50" t="s">
        <v>121</v>
      </c>
    </row>
    <row r="116" spans="1:4">
      <c r="A116" s="134">
        <f t="shared" si="1"/>
        <v>115</v>
      </c>
      <c r="B116" s="135" t="s">
        <v>125</v>
      </c>
      <c r="C116" s="47">
        <v>50079</v>
      </c>
      <c r="D116" s="50" t="s">
        <v>121</v>
      </c>
    </row>
    <row r="117" spans="1:4">
      <c r="A117" s="134">
        <f t="shared" si="1"/>
        <v>116</v>
      </c>
      <c r="B117" s="135" t="s">
        <v>126</v>
      </c>
      <c r="C117" s="47">
        <v>52570</v>
      </c>
      <c r="D117" s="50" t="s">
        <v>121</v>
      </c>
    </row>
    <row r="118" spans="1:4">
      <c r="A118" s="134">
        <f t="shared" si="1"/>
        <v>117</v>
      </c>
      <c r="B118" s="135" t="s">
        <v>127</v>
      </c>
      <c r="C118" s="47">
        <v>51202</v>
      </c>
      <c r="D118" s="47" t="s">
        <v>128</v>
      </c>
    </row>
    <row r="119" spans="1:4">
      <c r="A119" s="134">
        <f t="shared" si="1"/>
        <v>118</v>
      </c>
      <c r="B119" s="136" t="s">
        <v>129</v>
      </c>
      <c r="C119" s="139" t="s">
        <v>130</v>
      </c>
      <c r="D119" s="47" t="s">
        <v>128</v>
      </c>
    </row>
    <row r="120" spans="1:4">
      <c r="A120" s="134">
        <f t="shared" si="1"/>
        <v>119</v>
      </c>
      <c r="B120" s="136" t="s">
        <v>131</v>
      </c>
      <c r="C120" s="47">
        <v>17787</v>
      </c>
      <c r="D120" s="47" t="s">
        <v>128</v>
      </c>
    </row>
    <row r="121" spans="1:4">
      <c r="A121" s="134">
        <f t="shared" si="1"/>
        <v>120</v>
      </c>
      <c r="B121" s="135" t="s">
        <v>132</v>
      </c>
      <c r="C121" s="49">
        <v>22291</v>
      </c>
      <c r="D121" s="47" t="s">
        <v>128</v>
      </c>
    </row>
    <row r="122" spans="1:4">
      <c r="A122" s="134">
        <f t="shared" si="1"/>
        <v>121</v>
      </c>
      <c r="B122" s="135" t="s">
        <v>133</v>
      </c>
      <c r="C122" s="47">
        <v>51226</v>
      </c>
      <c r="D122" s="47" t="s">
        <v>128</v>
      </c>
    </row>
    <row r="123" spans="1:4">
      <c r="A123" s="134">
        <f t="shared" si="1"/>
        <v>122</v>
      </c>
      <c r="B123" s="135" t="s">
        <v>134</v>
      </c>
      <c r="C123" s="47">
        <v>50864</v>
      </c>
      <c r="D123" s="47" t="s">
        <v>128</v>
      </c>
    </row>
    <row r="124" spans="1:4">
      <c r="A124" s="134">
        <f t="shared" si="1"/>
        <v>123</v>
      </c>
      <c r="B124" s="135" t="s">
        <v>135</v>
      </c>
      <c r="C124" s="47">
        <v>26828</v>
      </c>
      <c r="D124" s="47" t="s">
        <v>128</v>
      </c>
    </row>
    <row r="125" spans="1:4">
      <c r="A125" s="134">
        <f t="shared" si="1"/>
        <v>124</v>
      </c>
      <c r="B125" s="135" t="s">
        <v>136</v>
      </c>
      <c r="C125" s="47">
        <v>27100</v>
      </c>
      <c r="D125" s="47" t="s">
        <v>128</v>
      </c>
    </row>
    <row r="126" spans="1:4">
      <c r="A126" s="134">
        <f t="shared" si="1"/>
        <v>125</v>
      </c>
      <c r="B126" s="135" t="s">
        <v>137</v>
      </c>
      <c r="C126" s="47">
        <v>50686</v>
      </c>
      <c r="D126" s="47" t="s">
        <v>128</v>
      </c>
    </row>
    <row r="127" spans="1:4">
      <c r="A127" s="134">
        <f t="shared" si="1"/>
        <v>126</v>
      </c>
      <c r="B127" s="135" t="s">
        <v>138</v>
      </c>
      <c r="C127" s="47">
        <v>51160</v>
      </c>
      <c r="D127" s="47" t="s">
        <v>128</v>
      </c>
    </row>
    <row r="128" spans="1:4">
      <c r="A128" s="134">
        <f t="shared" si="1"/>
        <v>127</v>
      </c>
      <c r="B128" s="135" t="s">
        <v>139</v>
      </c>
      <c r="C128" s="47">
        <v>51151</v>
      </c>
      <c r="D128" s="47" t="s">
        <v>128</v>
      </c>
    </row>
    <row r="129" spans="1:4">
      <c r="A129" s="134">
        <f t="shared" si="1"/>
        <v>128</v>
      </c>
      <c r="B129" s="135" t="s">
        <v>140</v>
      </c>
      <c r="C129" s="47">
        <v>51429</v>
      </c>
      <c r="D129" s="47" t="s">
        <v>128</v>
      </c>
    </row>
    <row r="130" spans="1:4">
      <c r="A130" s="134">
        <f t="shared" ref="A130:A159" si="2">ROW()-1</f>
        <v>129</v>
      </c>
      <c r="B130" s="136" t="s">
        <v>141</v>
      </c>
      <c r="C130" s="49">
        <v>26621</v>
      </c>
      <c r="D130" s="47" t="s">
        <v>142</v>
      </c>
    </row>
    <row r="131" spans="1:4">
      <c r="A131" s="134">
        <f t="shared" si="2"/>
        <v>130</v>
      </c>
      <c r="B131" s="136" t="s">
        <v>143</v>
      </c>
      <c r="C131" s="47">
        <v>14901</v>
      </c>
      <c r="D131" s="47" t="s">
        <v>142</v>
      </c>
    </row>
    <row r="132" spans="1:4">
      <c r="A132" s="134">
        <f t="shared" si="2"/>
        <v>131</v>
      </c>
      <c r="B132" s="136" t="s">
        <v>144</v>
      </c>
      <c r="C132" s="47">
        <v>50245</v>
      </c>
      <c r="D132" s="47" t="s">
        <v>142</v>
      </c>
    </row>
    <row r="133" spans="1:4">
      <c r="A133" s="134">
        <f t="shared" si="2"/>
        <v>132</v>
      </c>
      <c r="B133" s="136" t="s">
        <v>145</v>
      </c>
      <c r="C133" s="47">
        <v>17732</v>
      </c>
      <c r="D133" s="47" t="s">
        <v>142</v>
      </c>
    </row>
    <row r="134" spans="1:4">
      <c r="A134" s="134">
        <f t="shared" si="2"/>
        <v>133</v>
      </c>
      <c r="B134" s="136" t="s">
        <v>146</v>
      </c>
      <c r="C134" s="47">
        <v>18672</v>
      </c>
      <c r="D134" s="47" t="s">
        <v>142</v>
      </c>
    </row>
    <row r="135" spans="1:4">
      <c r="A135" s="134">
        <f t="shared" si="2"/>
        <v>134</v>
      </c>
      <c r="B135" s="136" t="s">
        <v>147</v>
      </c>
      <c r="C135" s="47">
        <v>50019</v>
      </c>
      <c r="D135" s="47" t="s">
        <v>142</v>
      </c>
    </row>
    <row r="136" spans="1:4">
      <c r="A136" s="134">
        <f t="shared" si="2"/>
        <v>135</v>
      </c>
      <c r="B136" s="136" t="s">
        <v>148</v>
      </c>
      <c r="C136" s="47">
        <v>50027</v>
      </c>
      <c r="D136" s="47" t="s">
        <v>142</v>
      </c>
    </row>
    <row r="137" spans="1:4">
      <c r="A137" s="134">
        <f t="shared" si="2"/>
        <v>136</v>
      </c>
      <c r="B137" s="136" t="s">
        <v>149</v>
      </c>
      <c r="C137" s="47">
        <v>50316</v>
      </c>
      <c r="D137" s="47" t="s">
        <v>142</v>
      </c>
    </row>
    <row r="138" spans="1:4">
      <c r="A138" s="134">
        <f t="shared" si="2"/>
        <v>137</v>
      </c>
      <c r="B138" s="136" t="s">
        <v>150</v>
      </c>
      <c r="C138" s="47">
        <v>50323</v>
      </c>
      <c r="D138" s="47" t="s">
        <v>142</v>
      </c>
    </row>
    <row r="139" spans="1:4">
      <c r="A139" s="134">
        <f t="shared" si="2"/>
        <v>138</v>
      </c>
      <c r="B139" s="136" t="s">
        <v>151</v>
      </c>
      <c r="C139" s="47">
        <v>50832</v>
      </c>
      <c r="D139" s="47" t="s">
        <v>142</v>
      </c>
    </row>
    <row r="140" spans="1:4">
      <c r="A140" s="134">
        <f t="shared" si="2"/>
        <v>139</v>
      </c>
      <c r="B140" s="136" t="s">
        <v>152</v>
      </c>
      <c r="C140" s="47">
        <v>51395</v>
      </c>
      <c r="D140" s="47" t="s">
        <v>142</v>
      </c>
    </row>
    <row r="141" spans="1:4">
      <c r="A141" s="134">
        <f t="shared" si="2"/>
        <v>140</v>
      </c>
      <c r="B141" s="136" t="s">
        <v>153</v>
      </c>
      <c r="C141" s="47">
        <v>51396</v>
      </c>
      <c r="D141" s="47" t="s">
        <v>154</v>
      </c>
    </row>
    <row r="142" spans="1:4">
      <c r="A142" s="134">
        <f t="shared" si="2"/>
        <v>141</v>
      </c>
      <c r="B142" s="136" t="s">
        <v>155</v>
      </c>
      <c r="C142" s="47">
        <v>51555</v>
      </c>
      <c r="D142" s="47" t="s">
        <v>142</v>
      </c>
    </row>
    <row r="143" spans="1:4">
      <c r="A143" s="134">
        <f t="shared" si="2"/>
        <v>142</v>
      </c>
      <c r="B143" s="136" t="s">
        <v>156</v>
      </c>
      <c r="C143" s="47">
        <v>51941</v>
      </c>
      <c r="D143" s="47" t="s">
        <v>142</v>
      </c>
    </row>
    <row r="144" spans="1:4">
      <c r="A144" s="134">
        <f t="shared" si="2"/>
        <v>143</v>
      </c>
      <c r="B144" s="136" t="s">
        <v>157</v>
      </c>
      <c r="C144" s="47">
        <v>50853</v>
      </c>
      <c r="D144" s="47" t="s">
        <v>142</v>
      </c>
    </row>
    <row r="145" spans="1:4">
      <c r="A145" s="134">
        <f t="shared" si="2"/>
        <v>144</v>
      </c>
      <c r="B145" s="136" t="s">
        <v>158</v>
      </c>
      <c r="C145" s="47">
        <v>51428</v>
      </c>
      <c r="D145" s="47" t="s">
        <v>142</v>
      </c>
    </row>
    <row r="146" spans="1:4">
      <c r="A146" s="134">
        <f t="shared" si="2"/>
        <v>145</v>
      </c>
      <c r="B146" s="136" t="s">
        <v>159</v>
      </c>
      <c r="C146" s="47">
        <v>50317</v>
      </c>
      <c r="D146" s="47" t="s">
        <v>142</v>
      </c>
    </row>
    <row r="147" spans="1:4">
      <c r="A147" s="134">
        <f t="shared" si="2"/>
        <v>146</v>
      </c>
      <c r="B147" s="136" t="s">
        <v>160</v>
      </c>
      <c r="C147" s="47">
        <v>51665</v>
      </c>
      <c r="D147" s="47" t="s">
        <v>142</v>
      </c>
    </row>
    <row r="148" spans="1:4">
      <c r="A148" s="134">
        <f t="shared" si="2"/>
        <v>147</v>
      </c>
      <c r="B148" s="136" t="s">
        <v>161</v>
      </c>
      <c r="C148" s="47">
        <v>51570</v>
      </c>
      <c r="D148" s="47" t="s">
        <v>142</v>
      </c>
    </row>
    <row r="149" spans="1:4">
      <c r="A149" s="134">
        <f t="shared" si="2"/>
        <v>148</v>
      </c>
      <c r="B149" s="136" t="s">
        <v>162</v>
      </c>
      <c r="C149" s="47">
        <v>51576</v>
      </c>
      <c r="D149" s="47" t="s">
        <v>142</v>
      </c>
    </row>
    <row r="150" spans="1:4">
      <c r="A150" s="134">
        <f t="shared" si="2"/>
        <v>149</v>
      </c>
      <c r="B150" s="136" t="s">
        <v>163</v>
      </c>
      <c r="C150" s="49">
        <v>25599</v>
      </c>
      <c r="D150" s="47" t="s">
        <v>142</v>
      </c>
    </row>
    <row r="151" spans="1:4">
      <c r="A151" s="134">
        <f t="shared" si="2"/>
        <v>150</v>
      </c>
      <c r="B151" s="136" t="s">
        <v>164</v>
      </c>
      <c r="C151" s="49">
        <v>25549</v>
      </c>
      <c r="D151" s="47" t="s">
        <v>142</v>
      </c>
    </row>
    <row r="152" spans="1:4">
      <c r="A152" s="134">
        <f t="shared" si="2"/>
        <v>151</v>
      </c>
      <c r="B152" s="136" t="s">
        <v>165</v>
      </c>
      <c r="C152" s="47">
        <v>22250</v>
      </c>
      <c r="D152" s="47" t="s">
        <v>142</v>
      </c>
    </row>
    <row r="153" spans="1:4">
      <c r="A153" s="134">
        <f t="shared" si="2"/>
        <v>152</v>
      </c>
      <c r="B153" s="136" t="s">
        <v>166</v>
      </c>
      <c r="C153" s="47">
        <v>22253</v>
      </c>
      <c r="D153" s="47" t="s">
        <v>142</v>
      </c>
    </row>
    <row r="154" spans="1:4">
      <c r="A154" s="134">
        <f t="shared" si="2"/>
        <v>153</v>
      </c>
      <c r="B154" s="136" t="s">
        <v>167</v>
      </c>
      <c r="C154" s="49">
        <v>26688</v>
      </c>
      <c r="D154" s="47" t="s">
        <v>142</v>
      </c>
    </row>
    <row r="155" spans="1:4">
      <c r="A155" s="134">
        <f t="shared" si="2"/>
        <v>154</v>
      </c>
      <c r="B155" s="136" t="s">
        <v>168</v>
      </c>
      <c r="C155" s="49">
        <v>27106</v>
      </c>
      <c r="D155" s="47" t="s">
        <v>142</v>
      </c>
    </row>
    <row r="156" spans="1:4">
      <c r="A156" s="134">
        <f t="shared" si="2"/>
        <v>155</v>
      </c>
      <c r="B156" s="136" t="s">
        <v>169</v>
      </c>
      <c r="C156" s="47">
        <v>25603</v>
      </c>
      <c r="D156" s="47" t="s">
        <v>142</v>
      </c>
    </row>
    <row r="157" spans="1:4">
      <c r="A157" s="134">
        <f t="shared" si="2"/>
        <v>156</v>
      </c>
      <c r="B157" s="136" t="s">
        <v>170</v>
      </c>
      <c r="C157" s="47">
        <v>17090</v>
      </c>
      <c r="D157" s="47" t="s">
        <v>142</v>
      </c>
    </row>
    <row r="158" spans="1:4">
      <c r="A158" s="134">
        <f t="shared" si="2"/>
        <v>157</v>
      </c>
      <c r="B158" s="136" t="s">
        <v>171</v>
      </c>
      <c r="C158" s="47">
        <v>25601</v>
      </c>
      <c r="D158" s="47" t="s">
        <v>142</v>
      </c>
    </row>
    <row r="159" spans="1:4">
      <c r="A159" s="134">
        <f t="shared" si="2"/>
        <v>158</v>
      </c>
      <c r="B159" s="136" t="s">
        <v>172</v>
      </c>
      <c r="C159" s="47">
        <v>26654</v>
      </c>
      <c r="D159" s="47" t="s">
        <v>142</v>
      </c>
    </row>
    <row r="160" spans="1:4">
      <c r="A160" s="134">
        <f t="shared" ref="A154:A165" si="3">ROW()-1</f>
        <v>159</v>
      </c>
      <c r="B160" s="136" t="s">
        <v>167</v>
      </c>
      <c r="C160" s="49">
        <v>26688</v>
      </c>
      <c r="D160" s="47" t="s">
        <v>142</v>
      </c>
    </row>
    <row r="161" spans="1:4">
      <c r="A161" s="134">
        <f t="shared" si="3"/>
        <v>160</v>
      </c>
      <c r="B161" s="136" t="s">
        <v>168</v>
      </c>
      <c r="C161" s="49">
        <v>27106</v>
      </c>
      <c r="D161" s="47" t="s">
        <v>142</v>
      </c>
    </row>
    <row r="162" spans="1:4">
      <c r="A162" s="134">
        <f t="shared" si="3"/>
        <v>161</v>
      </c>
      <c r="B162" s="136" t="s">
        <v>169</v>
      </c>
      <c r="C162" s="47">
        <v>25603</v>
      </c>
      <c r="D162" s="47" t="s">
        <v>142</v>
      </c>
    </row>
    <row r="163" spans="1:4">
      <c r="A163" s="134">
        <f t="shared" si="3"/>
        <v>162</v>
      </c>
      <c r="B163" s="136" t="s">
        <v>170</v>
      </c>
      <c r="C163" s="47">
        <v>17090</v>
      </c>
      <c r="D163" s="47" t="s">
        <v>142</v>
      </c>
    </row>
    <row r="164" spans="1:4">
      <c r="A164" s="134">
        <f t="shared" si="3"/>
        <v>163</v>
      </c>
      <c r="B164" s="136" t="s">
        <v>171</v>
      </c>
      <c r="C164" s="47">
        <v>25601</v>
      </c>
      <c r="D164" s="47" t="s">
        <v>142</v>
      </c>
    </row>
    <row r="165" spans="1:4">
      <c r="A165" s="134">
        <f t="shared" si="3"/>
        <v>164</v>
      </c>
      <c r="B165" s="136" t="s">
        <v>172</v>
      </c>
      <c r="C165" s="47">
        <v>26654</v>
      </c>
      <c r="D165" s="47" t="s">
        <v>142</v>
      </c>
    </row>
  </sheetData>
  <pageMargins left="0.7" right="0.7" top="0.75" bottom="0.75" header="0.3" footer="0.3"/>
  <pageSetup paperSize="9" orientation="portrait" horizontalDpi="2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A23"/>
  <sheetViews>
    <sheetView workbookViewId="0">
      <selection activeCell="A1" sqref="A1"/>
    </sheetView>
  </sheetViews>
  <sheetFormatPr defaultColWidth="9" defaultRowHeight="13.5"/>
  <cols>
    <col min="1" max="1" width="33.875" customWidth="1"/>
  </cols>
  <sheetData>
    <row r="1" spans="1:1">
      <c r="A1" s="129" t="s">
        <v>173</v>
      </c>
    </row>
    <row r="2" spans="1:1">
      <c r="A2" s="129" t="s">
        <v>174</v>
      </c>
    </row>
    <row r="3" spans="1:1">
      <c r="A3" s="129" t="s">
        <v>175</v>
      </c>
    </row>
    <row r="4" spans="1:1">
      <c r="A4" s="129" t="s">
        <v>176</v>
      </c>
    </row>
    <row r="5" spans="1:1">
      <c r="A5" s="129" t="s">
        <v>177</v>
      </c>
    </row>
    <row r="6" spans="1:1">
      <c r="A6" s="129" t="s">
        <v>178</v>
      </c>
    </row>
    <row r="7" spans="1:1">
      <c r="A7" s="129" t="s">
        <v>179</v>
      </c>
    </row>
    <row r="8" spans="1:1">
      <c r="A8" s="129" t="s">
        <v>180</v>
      </c>
    </row>
    <row r="9" spans="1:1">
      <c r="A9" s="129" t="s">
        <v>181</v>
      </c>
    </row>
    <row r="10" spans="1:1">
      <c r="A10" s="129" t="s">
        <v>182</v>
      </c>
    </row>
    <row r="11" spans="1:1">
      <c r="A11" s="129" t="s">
        <v>183</v>
      </c>
    </row>
    <row r="12" spans="1:1">
      <c r="A12" s="129" t="s">
        <v>184</v>
      </c>
    </row>
    <row r="13" spans="1:1">
      <c r="A13" s="130" t="s">
        <v>185</v>
      </c>
    </row>
    <row r="14" spans="1:1">
      <c r="A14" s="130" t="s">
        <v>186</v>
      </c>
    </row>
    <row r="15" spans="1:1">
      <c r="A15" s="129" t="s">
        <v>187</v>
      </c>
    </row>
    <row r="16" spans="1:1">
      <c r="A16" s="129" t="s">
        <v>188</v>
      </c>
    </row>
    <row r="17" spans="1:1">
      <c r="A17" s="129" t="s">
        <v>189</v>
      </c>
    </row>
    <row r="18" spans="1:1">
      <c r="A18" s="129" t="s">
        <v>190</v>
      </c>
    </row>
    <row r="19" spans="1:1">
      <c r="A19" s="129" t="s">
        <v>191</v>
      </c>
    </row>
    <row r="20" spans="1:1">
      <c r="A20" s="129" t="s">
        <v>192</v>
      </c>
    </row>
    <row r="21" spans="1:1">
      <c r="A21" s="130" t="s">
        <v>193</v>
      </c>
    </row>
    <row r="22" spans="1:1">
      <c r="A22" s="130" t="s">
        <v>194</v>
      </c>
    </row>
    <row r="23" spans="1:1">
      <c r="A23" s="129" t="s">
        <v>195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V498"/>
  <sheetViews>
    <sheetView workbookViewId="0">
      <pane ySplit="1" topLeftCell="A302" activePane="bottomLeft" state="frozen"/>
      <selection/>
      <selection pane="bottomLeft" activeCell="C334" sqref="C334:D334"/>
    </sheetView>
  </sheetViews>
  <sheetFormatPr defaultColWidth="9" defaultRowHeight="15" customHeight="1"/>
  <cols>
    <col min="1" max="1" width="8.125" style="36" customWidth="1"/>
    <col min="2" max="2" width="12.625" style="37" customWidth="1"/>
    <col min="3" max="3" width="13.625" style="38" customWidth="1"/>
    <col min="4" max="4" width="17" style="36" customWidth="1"/>
    <col min="5" max="5" width="28" style="39" customWidth="1"/>
    <col min="6" max="6" width="17.375" style="40" customWidth="1"/>
    <col min="7" max="7" width="15.5" style="41" hidden="1" customWidth="1"/>
    <col min="8" max="8" width="14.625" style="41" hidden="1" customWidth="1"/>
    <col min="9" max="10" width="10.75" style="41" hidden="1" customWidth="1"/>
    <col min="11" max="11" width="10.5" style="37" hidden="1" customWidth="1"/>
    <col min="12" max="12" width="14.125" style="37" hidden="1" customWidth="1"/>
    <col min="13" max="13" width="57.25" hidden="1" customWidth="1"/>
    <col min="14" max="14" width="13" customWidth="1"/>
    <col min="17" max="17" width="9.375"/>
    <col min="18" max="18" width="35.25"/>
    <col min="20" max="20" width="11" customWidth="1"/>
    <col min="22" max="22" width="9.5" customWidth="1"/>
  </cols>
  <sheetData>
    <row r="1" customHeight="1" spans="1:22">
      <c r="A1" s="112" t="s">
        <v>196</v>
      </c>
      <c r="B1" s="45" t="s">
        <v>197</v>
      </c>
      <c r="C1" s="44" t="s">
        <v>198</v>
      </c>
      <c r="D1" s="45" t="s">
        <v>199</v>
      </c>
      <c r="E1" s="45" t="s">
        <v>200</v>
      </c>
      <c r="F1" s="46" t="s">
        <v>201</v>
      </c>
      <c r="G1" s="46" t="s">
        <v>202</v>
      </c>
      <c r="H1" s="46" t="s">
        <v>203</v>
      </c>
      <c r="I1" s="113" t="s">
        <v>204</v>
      </c>
      <c r="J1" s="46" t="s">
        <v>205</v>
      </c>
      <c r="K1" s="45" t="s">
        <v>206</v>
      </c>
      <c r="L1" s="45" t="s">
        <v>207</v>
      </c>
      <c r="M1" s="56" t="s">
        <v>208</v>
      </c>
      <c r="N1" t="s">
        <v>209</v>
      </c>
      <c r="O1" t="s">
        <v>210</v>
      </c>
      <c r="Q1" t="s">
        <v>211</v>
      </c>
      <c r="R1" t="s">
        <v>212</v>
      </c>
      <c r="S1" t="s">
        <v>198</v>
      </c>
      <c r="T1" t="s">
        <v>199</v>
      </c>
      <c r="U1" t="s">
        <v>200</v>
      </c>
      <c r="V1" t="s">
        <v>209</v>
      </c>
    </row>
    <row r="2" s="35" customFormat="1" customHeight="1" spans="1:22">
      <c r="A2" s="47">
        <f t="shared" ref="A2:A65" si="0">ROW()-1</f>
        <v>1</v>
      </c>
      <c r="B2" s="48" t="s">
        <v>125</v>
      </c>
      <c r="C2" s="49">
        <f>IFERROR(VLOOKUP(B2,[66]工程研发事业部人员名单!B:D,2,0),"")</f>
        <v>50079</v>
      </c>
      <c r="D2" s="50" t="str">
        <f>IFERROR(VLOOKUP(B2,[66]工程研发事业部人员名单!B:D,3,0),"")</f>
        <v>工程项目室 /适航工程室</v>
      </c>
      <c r="E2" s="57" t="s">
        <v>213</v>
      </c>
      <c r="F2" s="52">
        <f t="shared" ref="F2:F65" si="1">G2+H2+I2+J2</f>
        <v>70</v>
      </c>
      <c r="G2" s="53"/>
      <c r="H2" s="53"/>
      <c r="I2" s="72">
        <v>70</v>
      </c>
      <c r="J2" s="53"/>
      <c r="K2" s="57" t="s">
        <v>214</v>
      </c>
      <c r="L2" s="57" t="s">
        <v>215</v>
      </c>
      <c r="M2" s="114" t="s">
        <v>216</v>
      </c>
      <c r="N2" s="58" t="e">
        <f>VLOOKUP(E2,订单号!B:C,2,0)</f>
        <v>#N/A</v>
      </c>
      <c r="O2" s="35" t="e">
        <f>VLOOKUP(C2,领导干部!B:B,1,0)</f>
        <v>#N/A</v>
      </c>
      <c r="Q2" s="118" t="s">
        <v>217</v>
      </c>
      <c r="R2">
        <v>210</v>
      </c>
      <c r="S2">
        <f t="array" ref="S2">VLOOKUP(Q2&amp;R2,IF({1,0},$B$2:$B$330&amp;$F$2:$F$330,$C$2:$C$330),2,)</f>
        <v>51944</v>
      </c>
      <c r="T2" t="str">
        <f t="array" ref="T2">VLOOKUP(Q2&amp;R2,IF({1,0},$B$2:$B$330&amp;$F$2:$F$330,$D$2:$D$330),2,)</f>
        <v>强度室</v>
      </c>
      <c r="U2" s="35" t="str">
        <f t="array" ref="U2">VLOOKUP(Q2&amp;R2,IF({1,0},$B$2:$B$330&amp;$F$2:$F$330,$E$2:$E$330),2,)</f>
        <v>C929设计（2025年上飞院）</v>
      </c>
      <c r="V2" s="35" t="str">
        <f t="array" ref="V2">VLOOKUP(Q2&amp;R2,IF({1,0},$B$2:$B$330&amp;$F$2:$F$330,$N$2:$N$330),2,)</f>
        <v>YZ40000415</v>
      </c>
    </row>
    <row r="3" s="35" customFormat="1" customHeight="1" spans="1:22">
      <c r="A3" s="47">
        <f t="shared" si="0"/>
        <v>2</v>
      </c>
      <c r="B3" s="48" t="s">
        <v>125</v>
      </c>
      <c r="C3" s="49">
        <f>IFERROR(VLOOKUP(B3,[66]工程研发事业部人员名单!B:D,2,0),"")</f>
        <v>50079</v>
      </c>
      <c r="D3" s="50" t="str">
        <f>IFERROR(VLOOKUP(B3,[66]工程研发事业部人员名单!B:D,3,0),"")</f>
        <v>工程项目室 /适航工程室</v>
      </c>
      <c r="E3" s="57" t="s">
        <v>213</v>
      </c>
      <c r="F3" s="52">
        <f t="shared" si="1"/>
        <v>50</v>
      </c>
      <c r="G3" s="53"/>
      <c r="H3" s="53"/>
      <c r="I3" s="72">
        <v>50</v>
      </c>
      <c r="J3" s="53"/>
      <c r="K3" s="57" t="s">
        <v>214</v>
      </c>
      <c r="L3" s="57" t="s">
        <v>215</v>
      </c>
      <c r="M3" s="114" t="s">
        <v>218</v>
      </c>
      <c r="N3" s="58" t="e">
        <f>VLOOKUP(E3,订单号!B:C,2,0)</f>
        <v>#N/A</v>
      </c>
      <c r="O3" s="35" t="e">
        <f>VLOOKUP(C3,领导干部!B:B,1,0)</f>
        <v>#N/A</v>
      </c>
      <c r="Q3" s="118" t="s">
        <v>219</v>
      </c>
      <c r="R3">
        <v>155</v>
      </c>
      <c r="S3">
        <f t="array" ref="S3">VLOOKUP(Q3&amp;R3,IF({1,0},$B$2:$B$330&amp;$F$2:$F$330,$C$2:$C$330),2,)</f>
        <v>25600</v>
      </c>
      <c r="T3" t="str">
        <f t="array" ref="T3">VLOOKUP(Q3&amp;R3,IF({1,0},$B$2:$B$330&amp;$F$2:$F$330,$D$2:$D$330),2,)</f>
        <v>结构二室</v>
      </c>
      <c r="U3" s="35" t="str">
        <f t="array" ref="U3">VLOOKUP(Q3&amp;R3,IF({1,0},$B$2:$B$330&amp;$F$2:$F$330,$E$2:$E$330),2,)</f>
        <v>WH1项目结构强度综合</v>
      </c>
      <c r="V3" s="35" t="str">
        <f t="array" ref="V3">VLOOKUP(Q3&amp;R3,IF({1,0},$B$2:$B$330&amp;$F$2:$F$330,$N$2:$N$330),2,)</f>
        <v>YZ-RD202428</v>
      </c>
    </row>
    <row r="4" s="35" customFormat="1" customHeight="1" spans="1:22">
      <c r="A4" s="47">
        <f t="shared" si="0"/>
        <v>3</v>
      </c>
      <c r="B4" s="48" t="s">
        <v>220</v>
      </c>
      <c r="C4" s="49">
        <f>IFERROR(VLOOKUP(B4,[66]工程研发事业部人员名单!B:D,2,0),"")</f>
        <v>51405</v>
      </c>
      <c r="D4" s="50" t="str">
        <f>IFERROR(VLOOKUP(B4,[66]工程研发事业部人员名单!B:D,3,0),"")</f>
        <v>工程项目室 /适航工程室</v>
      </c>
      <c r="E4" s="57" t="s">
        <v>213</v>
      </c>
      <c r="F4" s="52">
        <f t="shared" si="1"/>
        <v>115</v>
      </c>
      <c r="G4" s="53"/>
      <c r="H4" s="53"/>
      <c r="I4" s="72">
        <v>115</v>
      </c>
      <c r="J4" s="53"/>
      <c r="K4" s="57" t="s">
        <v>214</v>
      </c>
      <c r="L4" s="57" t="s">
        <v>215</v>
      </c>
      <c r="M4" s="65" t="s">
        <v>221</v>
      </c>
      <c r="N4" s="58" t="e">
        <f>VLOOKUP(E4,订单号!B:C,2,0)</f>
        <v>#N/A</v>
      </c>
      <c r="O4" s="35" t="e">
        <f>VLOOKUP(C4,领导干部!B:B,1,0)</f>
        <v>#N/A</v>
      </c>
      <c r="Q4" s="118" t="s">
        <v>222</v>
      </c>
      <c r="R4">
        <v>140</v>
      </c>
      <c r="S4">
        <f t="array" ref="S4">VLOOKUP(Q4&amp;R4,IF({1,0},$B$2:$B$330&amp;$F$2:$F$330,$C$2:$C$330),2,)</f>
        <v>51576</v>
      </c>
      <c r="T4" t="str">
        <f t="array" ref="T4">VLOOKUP(Q4&amp;R4,IF({1,0},$B$2:$B$330&amp;$F$2:$F$330,$D$2:$D$330),2,)</f>
        <v>联络工程室</v>
      </c>
      <c r="U4" s="35" t="str">
        <f t="array" ref="U4">VLOOKUP(Q4&amp;R4,IF({1,0},$B$2:$B$330&amp;$F$2:$F$330,$E$2:$E$330),2,)</f>
        <v>工程支持</v>
      </c>
      <c r="V4" s="35">
        <f t="array" ref="V4">VLOOKUP(Q4&amp;R4,IF({1,0},$B$2:$B$330&amp;$F$2:$F$330,$N$2:$N$330),2,)</f>
        <v>10502</v>
      </c>
    </row>
    <row r="5" s="35" customFormat="1" customHeight="1" spans="1:22">
      <c r="A5" s="47">
        <f t="shared" si="0"/>
        <v>4</v>
      </c>
      <c r="B5" s="48" t="s">
        <v>223</v>
      </c>
      <c r="C5" s="49">
        <f>IFERROR(VLOOKUP(B5,[66]工程研发事业部人员名单!B:D,2,0),"")</f>
        <v>51166</v>
      </c>
      <c r="D5" s="50" t="str">
        <f>IFERROR(VLOOKUP(B5,[66]工程研发事业部人员名单!B:D,3,0),"")</f>
        <v>工程项目室 /适航工程室</v>
      </c>
      <c r="E5" s="57" t="s">
        <v>213</v>
      </c>
      <c r="F5" s="52">
        <f t="shared" si="1"/>
        <v>150</v>
      </c>
      <c r="G5" s="53"/>
      <c r="H5" s="53"/>
      <c r="I5" s="115">
        <v>150</v>
      </c>
      <c r="J5" s="53"/>
      <c r="K5" s="57" t="s">
        <v>214</v>
      </c>
      <c r="L5" s="57" t="s">
        <v>215</v>
      </c>
      <c r="M5" s="116" t="s">
        <v>224</v>
      </c>
      <c r="N5" s="58" t="e">
        <f>VLOOKUP(E5,订单号!B:C,2,0)</f>
        <v>#N/A</v>
      </c>
      <c r="O5" s="35" t="e">
        <f>VLOOKUP(C5,领导干部!B:B,1,0)</f>
        <v>#N/A</v>
      </c>
      <c r="Q5" s="118" t="s">
        <v>225</v>
      </c>
      <c r="R5">
        <v>170</v>
      </c>
      <c r="S5">
        <f t="array" ref="S5">VLOOKUP(Q5&amp;R5,IF({1,0},$B$2:$B$330&amp;$F$2:$F$330,$C$2:$C$330),2,)</f>
        <v>52180</v>
      </c>
      <c r="T5" t="str">
        <f t="array" ref="T5">VLOOKUP(Q5&amp;R5,IF({1,0},$B$2:$B$330&amp;$F$2:$F$330,$D$2:$D$330),2,)</f>
        <v>结构一室</v>
      </c>
      <c r="U5" s="35" t="str">
        <f t="array" ref="U5">VLOOKUP(Q5&amp;R5,IF({1,0},$B$2:$B$330&amp;$F$2:$F$330,$E$2:$E$330),2,)</f>
        <v>C929设计（2025年上飞院）</v>
      </c>
      <c r="V5" s="35" t="str">
        <f t="array" ref="V5">VLOOKUP(Q5&amp;R5,IF({1,0},$B$2:$B$330&amp;$F$2:$F$330,$N$2:$N$330),2,)</f>
        <v>YZ40000415</v>
      </c>
    </row>
    <row r="6" s="35" customFormat="1" customHeight="1" spans="1:22">
      <c r="A6" s="47">
        <f t="shared" si="0"/>
        <v>5</v>
      </c>
      <c r="B6" s="48" t="s">
        <v>226</v>
      </c>
      <c r="C6" s="49">
        <f>IFERROR(VLOOKUP(B6,[66]工程研发事业部人员名单!B:D,2,0),"")</f>
        <v>50876</v>
      </c>
      <c r="D6" s="50" t="str">
        <f>IFERROR(VLOOKUP(B6,[66]工程研发事业部人员名单!B:D,3,0),"")</f>
        <v>工程项目室 /适航工程室</v>
      </c>
      <c r="E6" s="57" t="s">
        <v>213</v>
      </c>
      <c r="F6" s="52">
        <f t="shared" si="1"/>
        <v>58</v>
      </c>
      <c r="G6" s="53"/>
      <c r="H6" s="53"/>
      <c r="I6" s="72">
        <v>58</v>
      </c>
      <c r="J6" s="53"/>
      <c r="K6" s="57" t="s">
        <v>214</v>
      </c>
      <c r="L6" s="57" t="s">
        <v>215</v>
      </c>
      <c r="M6" s="59" t="s">
        <v>227</v>
      </c>
      <c r="N6" s="58" t="e">
        <f>VLOOKUP(E6,订单号!B:C,2,0)</f>
        <v>#N/A</v>
      </c>
      <c r="O6" s="35" t="e">
        <f>VLOOKUP(C6,领导干部!B:B,1,0)</f>
        <v>#N/A</v>
      </c>
      <c r="Q6" s="118" t="s">
        <v>228</v>
      </c>
      <c r="R6">
        <v>220</v>
      </c>
      <c r="S6">
        <f t="array" ref="S6">VLOOKUP(Q6&amp;R6,IF({1,0},$B$2:$B$330&amp;$F$2:$F$330,$C$2:$C$330),2,)</f>
        <v>51181</v>
      </c>
      <c r="T6" t="str">
        <f t="array" ref="T6">VLOOKUP(Q6&amp;R6,IF({1,0},$B$2:$B$330&amp;$F$2:$F$330,$D$2:$D$330),2,)</f>
        <v>强度室</v>
      </c>
      <c r="U6" s="35" t="str">
        <f t="array" ref="U6">VLOOKUP(Q6&amp;R6,IF({1,0},$B$2:$B$330&amp;$F$2:$F$330,$E$2:$E$330),2,)</f>
        <v>C929设计（2025年上飞院）</v>
      </c>
      <c r="V6" s="35" t="str">
        <f t="array" ref="V6">VLOOKUP(Q6&amp;R6,IF({1,0},$B$2:$B$330&amp;$F$2:$F$330,$N$2:$N$330),2,)</f>
        <v>YZ40000415</v>
      </c>
    </row>
    <row r="7" s="35" customFormat="1" customHeight="1" spans="1:22">
      <c r="A7" s="47">
        <f t="shared" si="0"/>
        <v>6</v>
      </c>
      <c r="B7" s="48" t="s">
        <v>226</v>
      </c>
      <c r="C7" s="49">
        <f>IFERROR(VLOOKUP(B7,[66]工程研发事业部人员名单!B:D,2,0),"")</f>
        <v>50876</v>
      </c>
      <c r="D7" s="50" t="str">
        <f>IFERROR(VLOOKUP(B7,[66]工程研发事业部人员名单!B:D,3,0),"")</f>
        <v>工程项目室 /适航工程室</v>
      </c>
      <c r="E7" s="57" t="s">
        <v>213</v>
      </c>
      <c r="F7" s="52">
        <f t="shared" si="1"/>
        <v>60</v>
      </c>
      <c r="G7" s="53"/>
      <c r="H7" s="53"/>
      <c r="I7" s="72">
        <v>60</v>
      </c>
      <c r="J7" s="53"/>
      <c r="K7" s="57" t="s">
        <v>214</v>
      </c>
      <c r="L7" s="57" t="s">
        <v>215</v>
      </c>
      <c r="M7" s="59" t="s">
        <v>229</v>
      </c>
      <c r="N7" s="58" t="e">
        <f>VLOOKUP(E7,订单号!B:C,2,0)</f>
        <v>#N/A</v>
      </c>
      <c r="O7" s="35" t="e">
        <f>VLOOKUP(C7,领导干部!B:B,1,0)</f>
        <v>#N/A</v>
      </c>
      <c r="Q7" s="118" t="s">
        <v>230</v>
      </c>
      <c r="R7">
        <v>98</v>
      </c>
      <c r="S7">
        <f t="array" ref="S7">VLOOKUP(Q7&amp;R7,IF({1,0},$B$2:$B$330&amp;$F$2:$F$330,$C$2:$C$330),2,)</f>
        <v>50030</v>
      </c>
      <c r="T7" t="str">
        <f t="array" ref="T7">VLOOKUP(Q7&amp;R7,IF({1,0},$B$2:$B$330&amp;$F$2:$F$330,$D$2:$D$330),2,)</f>
        <v>强度室</v>
      </c>
      <c r="U7" s="35" t="str">
        <f t="array" ref="U7">VLOOKUP(Q7&amp;R7,IF({1,0},$B$2:$B$330&amp;$F$2:$F$330,$E$2:$E$330),2,)</f>
        <v>C919基本型设计（2025年上飞院）</v>
      </c>
      <c r="V7" s="35" t="str">
        <f t="array" ref="V7">VLOOKUP(Q7&amp;R7,IF({1,0},$B$2:$B$330&amp;$F$2:$F$330,$N$2:$N$330),2,)</f>
        <v>YZ40000419</v>
      </c>
    </row>
    <row r="8" s="35" customFormat="1" customHeight="1" spans="1:22">
      <c r="A8" s="47">
        <f t="shared" si="0"/>
        <v>7</v>
      </c>
      <c r="B8" s="48" t="s">
        <v>226</v>
      </c>
      <c r="C8" s="49">
        <f>IFERROR(VLOOKUP(B8,[66]工程研发事业部人员名单!B:D,2,0),"")</f>
        <v>50876</v>
      </c>
      <c r="D8" s="50" t="str">
        <f>IFERROR(VLOOKUP(B8,[66]工程研发事业部人员名单!B:D,3,0),"")</f>
        <v>工程项目室 /适航工程室</v>
      </c>
      <c r="E8" s="57" t="s">
        <v>213</v>
      </c>
      <c r="F8" s="52">
        <f t="shared" si="1"/>
        <v>10</v>
      </c>
      <c r="G8" s="53"/>
      <c r="H8" s="53"/>
      <c r="I8" s="72">
        <v>10</v>
      </c>
      <c r="J8" s="53"/>
      <c r="K8" s="57" t="s">
        <v>214</v>
      </c>
      <c r="L8" s="57" t="s">
        <v>215</v>
      </c>
      <c r="M8" s="59" t="s">
        <v>231</v>
      </c>
      <c r="N8" s="58" t="e">
        <f>VLOOKUP(E8,订单号!B:C,2,0)</f>
        <v>#N/A</v>
      </c>
      <c r="O8" s="35" t="e">
        <f>VLOOKUP(C8,领导干部!B:B,1,0)</f>
        <v>#N/A</v>
      </c>
      <c r="Q8" s="118" t="s">
        <v>232</v>
      </c>
      <c r="R8">
        <v>189</v>
      </c>
      <c r="S8">
        <f t="array" ref="S8">VLOOKUP(Q8&amp;R8,IF({1,0},$B$2:$B$330&amp;$F$2:$F$330,$C$2:$C$330),2,)</f>
        <v>22253</v>
      </c>
      <c r="T8" t="str">
        <f t="array" ref="T8">VLOOKUP(Q8&amp;R8,IF({1,0},$B$2:$B$330&amp;$F$2:$F$330,$D$2:$D$330),2,)</f>
        <v>联络工程室</v>
      </c>
      <c r="U8" s="35" t="str">
        <f t="array" ref="U8">VLOOKUP(Q8&amp;R8,IF({1,0},$B$2:$B$330&amp;$F$2:$F$330,$E$2:$E$330),2,)</f>
        <v>工程支持</v>
      </c>
      <c r="V8" s="35">
        <f t="array" ref="V8">VLOOKUP(Q8&amp;R8,IF({1,0},$B$2:$B$330&amp;$F$2:$F$330,$N$2:$N$330),2,)</f>
        <v>10502</v>
      </c>
    </row>
    <row r="9" s="35" customFormat="1" customHeight="1" spans="1:22">
      <c r="A9" s="47">
        <f t="shared" si="0"/>
        <v>8</v>
      </c>
      <c r="B9" s="48" t="s">
        <v>126</v>
      </c>
      <c r="C9" s="49">
        <f>IFERROR(VLOOKUP(B9,[66]工程研发事业部人员名单!B:D,2,0),"")</f>
        <v>52570</v>
      </c>
      <c r="D9" s="50" t="str">
        <f>IFERROR(VLOOKUP(B9,[66]工程研发事业部人员名单!B:D,3,0),"")</f>
        <v>工程项目室 /适航工程室</v>
      </c>
      <c r="E9" s="57" t="s">
        <v>213</v>
      </c>
      <c r="F9" s="52">
        <f t="shared" si="1"/>
        <v>30</v>
      </c>
      <c r="G9" s="53"/>
      <c r="H9" s="53"/>
      <c r="I9" s="72">
        <v>30</v>
      </c>
      <c r="J9" s="53"/>
      <c r="K9" s="57" t="s">
        <v>214</v>
      </c>
      <c r="L9" s="57" t="s">
        <v>215</v>
      </c>
      <c r="M9" s="59" t="s">
        <v>233</v>
      </c>
      <c r="N9" s="58" t="e">
        <f>VLOOKUP(E9,订单号!B:C,2,0)</f>
        <v>#N/A</v>
      </c>
      <c r="O9" s="35" t="e">
        <f>VLOOKUP(C9,领导干部!B:B,1,0)</f>
        <v>#N/A</v>
      </c>
      <c r="Q9" s="118" t="s">
        <v>234</v>
      </c>
      <c r="R9">
        <v>235</v>
      </c>
      <c r="S9">
        <f t="array" ref="S9">VLOOKUP(Q9&amp;R9,IF({1,0},$B$2:$B$330&amp;$F$2:$F$330,$C$2:$C$330),2,)</f>
        <v>50281</v>
      </c>
      <c r="T9" t="str">
        <f t="array" ref="T9">VLOOKUP(Q9&amp;R9,IF({1,0},$B$2:$B$330&amp;$F$2:$F$330,$D$2:$D$330),2,)</f>
        <v>结构一室</v>
      </c>
      <c r="U9" s="35" t="str">
        <f t="array" ref="U9">VLOOKUP(Q9&amp;R9,IF({1,0},$B$2:$B$330&amp;$F$2:$F$330,$E$2:$E$330),2,)</f>
        <v>C929设计（2025年上飞院）</v>
      </c>
      <c r="V9" s="35" t="str">
        <f t="array" ref="V9">VLOOKUP(Q9&amp;R9,IF({1,0},$B$2:$B$330&amp;$F$2:$F$330,$N$2:$N$330),2,)</f>
        <v>YZ40000415</v>
      </c>
    </row>
    <row r="10" s="35" customFormat="1" customHeight="1" spans="1:22">
      <c r="A10" s="47">
        <f t="shared" si="0"/>
        <v>9</v>
      </c>
      <c r="B10" s="48" t="s">
        <v>126</v>
      </c>
      <c r="C10" s="49">
        <f>IFERROR(VLOOKUP(B10,[66]工程研发事业部人员名单!B:D,2,0),"")</f>
        <v>52570</v>
      </c>
      <c r="D10" s="50" t="str">
        <f>IFERROR(VLOOKUP(B10,[66]工程研发事业部人员名单!B:D,3,0),"")</f>
        <v>工程项目室 /适航工程室</v>
      </c>
      <c r="E10" s="57" t="s">
        <v>213</v>
      </c>
      <c r="F10" s="52">
        <f t="shared" si="1"/>
        <v>10</v>
      </c>
      <c r="G10" s="53"/>
      <c r="H10" s="53"/>
      <c r="I10" s="72">
        <v>10</v>
      </c>
      <c r="J10" s="53"/>
      <c r="K10" s="57" t="s">
        <v>214</v>
      </c>
      <c r="L10" s="57" t="s">
        <v>215</v>
      </c>
      <c r="M10" s="59" t="s">
        <v>235</v>
      </c>
      <c r="N10" s="58" t="e">
        <f>VLOOKUP(E10,订单号!B:C,2,0)</f>
        <v>#N/A</v>
      </c>
      <c r="O10" s="35" t="e">
        <f>VLOOKUP(C10,领导干部!B:B,1,0)</f>
        <v>#N/A</v>
      </c>
      <c r="Q10" s="118" t="s">
        <v>236</v>
      </c>
      <c r="R10">
        <v>155</v>
      </c>
      <c r="S10">
        <f t="array" ref="S10">VLOOKUP(Q10&amp;R10,IF({1,0},$B$2:$B$330&amp;$F$2:$F$330,$C$2:$C$330),2,)</f>
        <v>51211</v>
      </c>
      <c r="T10" t="str">
        <f t="array" ref="T10">VLOOKUP(Q10&amp;R10,IF({1,0},$B$2:$B$330&amp;$F$2:$F$330,$D$2:$D$330),2,)</f>
        <v>结构一室</v>
      </c>
      <c r="U10" s="35" t="str">
        <f t="array" ref="U10">VLOOKUP(Q10&amp;R10,IF({1,0},$B$2:$B$330&amp;$F$2:$F$330,$E$2:$E$330),2,)</f>
        <v>WH1项目结构强度综合</v>
      </c>
      <c r="V10" s="35" t="str">
        <f t="array" ref="V10">VLOOKUP(Q10&amp;R10,IF({1,0},$B$2:$B$330&amp;$F$2:$F$330,$N$2:$N$330),2,)</f>
        <v>YZ-RD202428</v>
      </c>
    </row>
    <row r="11" s="35" customFormat="1" customHeight="1" spans="1:22">
      <c r="A11" s="47">
        <f t="shared" si="0"/>
        <v>10</v>
      </c>
      <c r="B11" s="48" t="s">
        <v>125</v>
      </c>
      <c r="C11" s="49">
        <f>IFERROR(VLOOKUP(B11,[66]工程研发事业部人员名单!B:D,2,0),"")</f>
        <v>50079</v>
      </c>
      <c r="D11" s="50" t="str">
        <f>IFERROR(VLOOKUP(B11,[66]工程研发事业部人员名单!B:D,3,0),"")</f>
        <v>工程项目室 /适航工程室</v>
      </c>
      <c r="E11" s="51" t="s">
        <v>237</v>
      </c>
      <c r="F11" s="52">
        <f t="shared" si="1"/>
        <v>30</v>
      </c>
      <c r="G11" s="53"/>
      <c r="H11" s="53"/>
      <c r="I11" s="72">
        <v>30</v>
      </c>
      <c r="J11" s="53"/>
      <c r="K11" s="57" t="s">
        <v>238</v>
      </c>
      <c r="L11" s="57"/>
      <c r="M11" s="59" t="s">
        <v>239</v>
      </c>
      <c r="N11" s="58" t="str">
        <f>VLOOKUP(E11,订单号!B:C,2,0)</f>
        <v>YZ-RD202428</v>
      </c>
      <c r="O11" s="35" t="e">
        <f>VLOOKUP(C11,领导干部!B:B,1,0)</f>
        <v>#N/A</v>
      </c>
      <c r="Q11" s="118" t="s">
        <v>240</v>
      </c>
      <c r="R11">
        <v>220</v>
      </c>
      <c r="S11">
        <f t="array" ref="S11">VLOOKUP(Q11&amp;R11,IF({1,0},$B$2:$B$330&amp;$F$2:$F$330,$C$2:$C$330),2,)</f>
        <v>51170</v>
      </c>
      <c r="T11" t="str">
        <f t="array" ref="T11">VLOOKUP(Q11&amp;R11,IF({1,0},$B$2:$B$330&amp;$F$2:$F$330,$D$2:$D$330),2,)</f>
        <v>结构二室</v>
      </c>
      <c r="U11" s="35" t="str">
        <f t="array" ref="U11">VLOOKUP(Q11&amp;R11,IF({1,0},$B$2:$B$330&amp;$F$2:$F$330,$E$2:$E$330),2,)</f>
        <v>C929设计（2025年上飞院）</v>
      </c>
      <c r="V11" s="35" t="str">
        <f t="array" ref="V11">VLOOKUP(Q11&amp;R11,IF({1,0},$B$2:$B$330&amp;$F$2:$F$330,$N$2:$N$330),2,)</f>
        <v>YZ40000415</v>
      </c>
    </row>
    <row r="12" s="35" customFormat="1" customHeight="1" spans="1:22">
      <c r="A12" s="47">
        <f t="shared" si="0"/>
        <v>11</v>
      </c>
      <c r="B12" s="48" t="s">
        <v>226</v>
      </c>
      <c r="C12" s="49">
        <f>IFERROR(VLOOKUP(B12,[66]工程研发事业部人员名单!B:D,2,0),"")</f>
        <v>50876</v>
      </c>
      <c r="D12" s="50" t="str">
        <f>IFERROR(VLOOKUP(B12,[66]工程研发事业部人员名单!B:D,3,0),"")</f>
        <v>工程项目室 /适航工程室</v>
      </c>
      <c r="E12" s="51" t="s">
        <v>237</v>
      </c>
      <c r="F12" s="52">
        <f t="shared" si="1"/>
        <v>32</v>
      </c>
      <c r="G12" s="53"/>
      <c r="H12" s="53"/>
      <c r="I12" s="72">
        <v>32</v>
      </c>
      <c r="J12" s="53"/>
      <c r="K12" s="57" t="s">
        <v>238</v>
      </c>
      <c r="L12" s="57"/>
      <c r="M12" s="59" t="s">
        <v>241</v>
      </c>
      <c r="N12" s="58" t="str">
        <f>VLOOKUP(E12,订单号!B:C,2,0)</f>
        <v>YZ-RD202428</v>
      </c>
      <c r="O12" s="35" t="e">
        <f>VLOOKUP(C12,领导干部!B:B,1,0)</f>
        <v>#N/A</v>
      </c>
      <c r="Q12" s="118" t="s">
        <v>242</v>
      </c>
      <c r="R12">
        <v>164.88</v>
      </c>
      <c r="S12">
        <f t="array" ref="S12">VLOOKUP(Q12&amp;R12,IF({1,0},$B$2:$B$330&amp;$F$2:$F$330,$C$2:$C$330),2,)</f>
        <v>25549</v>
      </c>
      <c r="T12" t="str">
        <f t="array" ref="T12">VLOOKUP(Q12&amp;R12,IF({1,0},$B$2:$B$330&amp;$F$2:$F$330,$D$2:$D$330),2,)</f>
        <v>联络工程室</v>
      </c>
      <c r="U12" s="35" t="str">
        <f t="array" ref="U12">VLOOKUP(Q12&amp;R12,IF({1,0},$B$2:$B$330&amp;$F$2:$F$330,$E$2:$E$330),2,)</f>
        <v>工程支持</v>
      </c>
      <c r="V12" s="35">
        <f t="array" ref="V12">VLOOKUP(Q12&amp;R12,IF({1,0},$B$2:$B$330&amp;$F$2:$F$330,$N$2:$N$330),2,)</f>
        <v>10502</v>
      </c>
    </row>
    <row r="13" s="35" customFormat="1" customHeight="1" spans="1:22">
      <c r="A13" s="47">
        <f t="shared" si="0"/>
        <v>12</v>
      </c>
      <c r="B13" s="48" t="s">
        <v>223</v>
      </c>
      <c r="C13" s="49">
        <f>IFERROR(VLOOKUP(B13,[66]工程研发事业部人员名单!B:D,2,0),"")</f>
        <v>51166</v>
      </c>
      <c r="D13" s="50" t="str">
        <f>IFERROR(VLOOKUP(B13,[66]工程研发事业部人员名单!B:D,3,0),"")</f>
        <v>工程项目室 /适航工程室</v>
      </c>
      <c r="E13" s="51" t="s">
        <v>237</v>
      </c>
      <c r="F13" s="52">
        <f t="shared" si="1"/>
        <v>57</v>
      </c>
      <c r="G13" s="53"/>
      <c r="H13" s="53"/>
      <c r="I13" s="115">
        <v>57</v>
      </c>
      <c r="J13" s="53"/>
      <c r="K13" s="57" t="s">
        <v>238</v>
      </c>
      <c r="L13" s="57"/>
      <c r="M13" s="116" t="s">
        <v>243</v>
      </c>
      <c r="N13" s="58" t="str">
        <f>VLOOKUP(E13,订单号!B:C,2,0)</f>
        <v>YZ-RD202428</v>
      </c>
      <c r="O13" s="35" t="e">
        <f>VLOOKUP(C13,领导干部!B:B,1,0)</f>
        <v>#N/A</v>
      </c>
      <c r="Q13" s="118" t="s">
        <v>244</v>
      </c>
      <c r="R13">
        <v>200</v>
      </c>
      <c r="S13">
        <f t="array" ref="S13">VLOOKUP(Q13&amp;R13,IF({1,0},$B$2:$B$330&amp;$F$2:$F$330,$C$2:$C$330),2,)</f>
        <v>51555</v>
      </c>
      <c r="T13" t="str">
        <f t="array" ref="T13">VLOOKUP(Q13&amp;R13,IF({1,0},$B$2:$B$330&amp;$F$2:$F$330,$D$2:$D$330),2,)</f>
        <v>联络工程室</v>
      </c>
      <c r="U13" s="35" t="str">
        <f t="array" ref="U13">VLOOKUP(Q13&amp;R13,IF({1,0},$B$2:$B$330&amp;$F$2:$F$330,$E$2:$E$330),2,)</f>
        <v>SIA无人机设计-2</v>
      </c>
      <c r="V13" s="35" t="str">
        <f t="array" ref="V13">VLOOKUP(Q13&amp;R13,IF({1,0},$B$2:$B$330&amp;$F$2:$F$330,$N$2:$N$330),2,)</f>
        <v>YZ40000422</v>
      </c>
    </row>
    <row r="14" s="35" customFormat="1" customHeight="1" spans="1:22">
      <c r="A14" s="47">
        <f t="shared" si="0"/>
        <v>13</v>
      </c>
      <c r="B14" s="48" t="s">
        <v>126</v>
      </c>
      <c r="C14" s="49">
        <f>IFERROR(VLOOKUP(B14,[66]工程研发事业部人员名单!B:D,2,0),"")</f>
        <v>52570</v>
      </c>
      <c r="D14" s="50" t="str">
        <f>IFERROR(VLOOKUP(B14,[66]工程研发事业部人员名单!B:D,3,0),"")</f>
        <v>工程项目室 /适航工程室</v>
      </c>
      <c r="E14" s="51" t="s">
        <v>237</v>
      </c>
      <c r="F14" s="52">
        <f t="shared" si="1"/>
        <v>60</v>
      </c>
      <c r="G14" s="53"/>
      <c r="H14" s="53"/>
      <c r="I14" s="72">
        <v>60</v>
      </c>
      <c r="J14" s="53"/>
      <c r="K14" s="57" t="s">
        <v>238</v>
      </c>
      <c r="L14" s="57"/>
      <c r="M14" s="59" t="s">
        <v>245</v>
      </c>
      <c r="N14" s="58" t="str">
        <f>VLOOKUP(E14,订单号!B:C,2,0)</f>
        <v>YZ-RD202428</v>
      </c>
      <c r="O14" s="35" t="e">
        <f>VLOOKUP(C14,领导干部!B:B,1,0)</f>
        <v>#N/A</v>
      </c>
      <c r="Q14" s="118" t="s">
        <v>246</v>
      </c>
      <c r="R14">
        <v>190</v>
      </c>
      <c r="S14">
        <f t="array" ref="S14">VLOOKUP(Q14&amp;R14,IF({1,0},$B$2:$B$330&amp;$F$2:$F$330,$C$2:$C$330),2,)</f>
        <v>51183</v>
      </c>
      <c r="T14" t="str">
        <f t="array" ref="T14">VLOOKUP(Q14&amp;R14,IF({1,0},$B$2:$B$330&amp;$F$2:$F$330,$D$2:$D$330),2,)</f>
        <v>结构一室</v>
      </c>
      <c r="U14" s="35" t="str">
        <f t="array" ref="U14">VLOOKUP(Q14&amp;R14,IF({1,0},$B$2:$B$330&amp;$F$2:$F$330,$E$2:$E$330),2,)</f>
        <v>C929设计（2025年上飞院）</v>
      </c>
      <c r="V14" s="35" t="str">
        <f t="array" ref="V14">VLOOKUP(Q14&amp;R14,IF({1,0},$B$2:$B$330&amp;$F$2:$F$330,$N$2:$N$330),2,)</f>
        <v>YZ40000415</v>
      </c>
    </row>
    <row r="15" s="35" customFormat="1" customHeight="1" spans="1:22">
      <c r="A15" s="47">
        <f t="shared" si="0"/>
        <v>14</v>
      </c>
      <c r="B15" s="48" t="s">
        <v>220</v>
      </c>
      <c r="C15" s="49">
        <f>IFERROR(VLOOKUP(B15,[66]工程研发事业部人员名单!B:D,2,0),"")</f>
        <v>51405</v>
      </c>
      <c r="D15" s="50" t="str">
        <f>IFERROR(VLOOKUP(B15,[66]工程研发事业部人员名单!B:D,3,0),"")</f>
        <v>工程项目室 /适航工程室</v>
      </c>
      <c r="E15" s="51" t="s">
        <v>237</v>
      </c>
      <c r="F15" s="52">
        <f t="shared" si="1"/>
        <v>30</v>
      </c>
      <c r="G15" s="53"/>
      <c r="H15" s="53"/>
      <c r="I15" s="72">
        <v>30</v>
      </c>
      <c r="J15" s="53"/>
      <c r="K15" s="57" t="s">
        <v>238</v>
      </c>
      <c r="L15" s="57"/>
      <c r="M15" s="65" t="s">
        <v>247</v>
      </c>
      <c r="N15" s="58" t="str">
        <f>VLOOKUP(E15,订单号!B:C,2,0)</f>
        <v>YZ-RD202428</v>
      </c>
      <c r="O15" s="35" t="e">
        <f>VLOOKUP(C15,领导干部!B:B,1,0)</f>
        <v>#N/A</v>
      </c>
      <c r="Q15" s="118" t="s">
        <v>248</v>
      </c>
      <c r="R15">
        <v>166.68</v>
      </c>
      <c r="S15">
        <f t="array" ref="S15">VLOOKUP(Q15&amp;R15,IF({1,0},$B$2:$B$330&amp;$F$2:$F$330,$C$2:$C$330),2,)</f>
        <v>26688</v>
      </c>
      <c r="T15" t="str">
        <f t="array" ref="T15">VLOOKUP(Q15&amp;R15,IF({1,0},$B$2:$B$330&amp;$F$2:$F$330,$D$2:$D$330),2,)</f>
        <v>联络工程室</v>
      </c>
      <c r="U15" s="35" t="str">
        <f t="array" ref="U15">VLOOKUP(Q15&amp;R15,IF({1,0},$B$2:$B$330&amp;$F$2:$F$330,$E$2:$E$330),2,)</f>
        <v>工程支持</v>
      </c>
      <c r="V15" s="35">
        <f t="array" ref="V15">VLOOKUP(Q15&amp;R15,IF({1,0},$B$2:$B$330&amp;$F$2:$F$330,$N$2:$N$330),2,)</f>
        <v>10502</v>
      </c>
    </row>
    <row r="16" s="35" customFormat="1" customHeight="1" spans="1:22">
      <c r="A16" s="47">
        <f t="shared" si="0"/>
        <v>15</v>
      </c>
      <c r="B16" s="48" t="s">
        <v>249</v>
      </c>
      <c r="C16" s="49">
        <f>IFERROR(VLOOKUP(B16,[66]工程研发事业部人员名单!B:D,2,0),"")</f>
        <v>51160</v>
      </c>
      <c r="D16" s="50" t="str">
        <f>IFERROR(VLOOKUP(B16,[66]工程研发事业部人员名单!B:D,3,0),"")</f>
        <v>综合技术室</v>
      </c>
      <c r="E16" s="51" t="s">
        <v>194</v>
      </c>
      <c r="F16" s="52">
        <f t="shared" si="1"/>
        <v>15</v>
      </c>
      <c r="G16" s="53"/>
      <c r="H16" s="53"/>
      <c r="I16" s="72">
        <v>15</v>
      </c>
      <c r="J16" s="53"/>
      <c r="K16" s="57" t="s">
        <v>250</v>
      </c>
      <c r="L16" s="57" t="s">
        <v>251</v>
      </c>
      <c r="M16" s="59" t="s">
        <v>252</v>
      </c>
      <c r="N16" s="58">
        <f>VLOOKUP(E16,订单号!B:C,2,0)</f>
        <v>0</v>
      </c>
      <c r="O16" s="35" t="e">
        <f>VLOOKUP(C16,领导干部!B:B,1,0)</f>
        <v>#N/A</v>
      </c>
      <c r="Q16" s="118" t="s">
        <v>253</v>
      </c>
      <c r="R16">
        <v>157</v>
      </c>
      <c r="S16">
        <f t="array" ref="S16">VLOOKUP(Q16&amp;R16,IF({1,0},$B$2:$B$330&amp;$F$2:$F$330,$C$2:$C$330),2,)</f>
        <v>17732</v>
      </c>
      <c r="T16" t="str">
        <f t="array" ref="T16">VLOOKUP(Q16&amp;R16,IF({1,0},$B$2:$B$330&amp;$F$2:$F$330,$D$2:$D$330),2,)</f>
        <v>联络工程室</v>
      </c>
      <c r="U16" s="35" t="str">
        <f t="array" ref="U16">VLOOKUP(Q16&amp;R16,IF({1,0},$B$2:$B$330&amp;$F$2:$F$330,$E$2:$E$330),2,)</f>
        <v>工程支持</v>
      </c>
      <c r="V16" s="35">
        <f t="array" ref="V16">VLOOKUP(Q16&amp;R16,IF({1,0},$B$2:$B$330&amp;$F$2:$F$330,$N$2:$N$330),2,)</f>
        <v>10502</v>
      </c>
    </row>
    <row r="17" s="35" customFormat="1" customHeight="1" spans="1:22">
      <c r="A17" s="47">
        <f t="shared" si="0"/>
        <v>16</v>
      </c>
      <c r="B17" s="48" t="s">
        <v>254</v>
      </c>
      <c r="C17" s="49">
        <f>IFERROR(VLOOKUP(B17,[66]工程研发事业部人员名单!B:D,2,0),"")</f>
        <v>52232</v>
      </c>
      <c r="D17" s="50" t="str">
        <f>IFERROR(VLOOKUP(B17,[66]工程研发事业部人员名单!B:D,3,0),"")</f>
        <v>结构二室</v>
      </c>
      <c r="E17" s="51" t="s">
        <v>194</v>
      </c>
      <c r="F17" s="52">
        <f t="shared" si="1"/>
        <v>48</v>
      </c>
      <c r="G17" s="53"/>
      <c r="H17" s="53"/>
      <c r="I17" s="72">
        <v>48</v>
      </c>
      <c r="J17" s="53"/>
      <c r="K17" s="57" t="s">
        <v>255</v>
      </c>
      <c r="L17" s="57" t="s">
        <v>251</v>
      </c>
      <c r="M17" s="59" t="s">
        <v>256</v>
      </c>
      <c r="N17" s="58">
        <f>VLOOKUP(E17,订单号!B:C,2,0)</f>
        <v>0</v>
      </c>
      <c r="O17" s="35" t="e">
        <f>VLOOKUP(C17,领导干部!B:B,1,0)</f>
        <v>#N/A</v>
      </c>
      <c r="Q17" s="118" t="s">
        <v>257</v>
      </c>
      <c r="R17">
        <v>120</v>
      </c>
      <c r="S17">
        <f t="array" ref="S17">VLOOKUP(Q17&amp;R17,IF({1,0},$B$2:$B$330&amp;$F$2:$F$330,$C$2:$C$330),2,)</f>
        <v>51410</v>
      </c>
      <c r="T17" t="str">
        <f t="array" ref="T17">VLOOKUP(Q17&amp;R17,IF({1,0},$B$2:$B$330&amp;$F$2:$F$330,$D$2:$D$330),2,)</f>
        <v>结构一室</v>
      </c>
      <c r="U17" s="35" t="str">
        <f t="array" ref="U17">VLOOKUP(Q17&amp;R17,IF({1,0},$B$2:$B$330&amp;$F$2:$F$330,$E$2:$E$330),2,)</f>
        <v>WH1项目结构强度综合</v>
      </c>
      <c r="V17" s="35" t="str">
        <f t="array" ref="V17">VLOOKUP(Q17&amp;R17,IF({1,0},$B$2:$B$330&amp;$F$2:$F$330,$N$2:$N$330),2,)</f>
        <v>YZ-RD202428</v>
      </c>
    </row>
    <row r="18" s="35" customFormat="1" customHeight="1" spans="1:22">
      <c r="A18" s="47">
        <f t="shared" si="0"/>
        <v>17</v>
      </c>
      <c r="B18" s="48" t="s">
        <v>258</v>
      </c>
      <c r="C18" s="49">
        <f>IFERROR(VLOOKUP(B18,[66]工程研发事业部人员名单!B:D,2,0),"")</f>
        <v>25601</v>
      </c>
      <c r="D18" s="50" t="str">
        <f>IFERROR(VLOOKUP(B18,[66]工程研发事业部人员名单!B:D,3,0),"")</f>
        <v>联络工程室</v>
      </c>
      <c r="E18" s="51" t="s">
        <v>194</v>
      </c>
      <c r="F18" s="52">
        <f t="shared" si="1"/>
        <v>48</v>
      </c>
      <c r="G18" s="53"/>
      <c r="H18" s="53"/>
      <c r="I18" s="72">
        <v>48</v>
      </c>
      <c r="J18" s="53"/>
      <c r="K18" s="57" t="s">
        <v>255</v>
      </c>
      <c r="L18" s="57" t="s">
        <v>251</v>
      </c>
      <c r="M18" s="59" t="s">
        <v>256</v>
      </c>
      <c r="N18" s="58">
        <f>VLOOKUP(E18,订单号!B:C,2,0)</f>
        <v>0</v>
      </c>
      <c r="O18" s="35" t="e">
        <f>VLOOKUP(C18,领导干部!B:B,1,0)</f>
        <v>#N/A</v>
      </c>
      <c r="Q18" s="118" t="s">
        <v>220</v>
      </c>
      <c r="R18">
        <v>115</v>
      </c>
      <c r="S18">
        <f t="array" ref="S18">VLOOKUP(Q18&amp;R18,IF({1,0},$B$2:$B$330&amp;$F$2:$F$330,$C$2:$C$330),2,)</f>
        <v>51405</v>
      </c>
      <c r="T18" t="str">
        <f t="array" ref="T18">VLOOKUP(Q18&amp;R18,IF({1,0},$B$2:$B$330&amp;$F$2:$F$330,$D$2:$D$330),2,)</f>
        <v>工程项目室 /适航工程室</v>
      </c>
      <c r="U18" s="35" t="str">
        <f t="array" ref="U18">VLOOKUP(Q18&amp;R18,IF({1,0},$B$2:$B$330&amp;$F$2:$F$330,$E$2:$E$330),2,)</f>
        <v>项目开发与管控</v>
      </c>
      <c r="V18" s="35" t="e">
        <f t="array" ref="V18">VLOOKUP(Q18&amp;R18,IF({1,0},$B$2:$B$330&amp;$F$2:$F$330,$N$2:$N$330),2,)</f>
        <v>#N/A</v>
      </c>
    </row>
    <row r="19" s="35" customFormat="1" customHeight="1" spans="1:22">
      <c r="A19" s="47">
        <f t="shared" si="0"/>
        <v>18</v>
      </c>
      <c r="B19" s="48" t="s">
        <v>259</v>
      </c>
      <c r="C19" s="49">
        <f>IFERROR(VLOOKUP(B19,[66]工程研发事业部人员名单!B:D,2,0),"")</f>
        <v>51784</v>
      </c>
      <c r="D19" s="50" t="str">
        <f>IFERROR(VLOOKUP(B19,[66]工程研发事业部人员名单!B:D,3,0),"")</f>
        <v>结构一室</v>
      </c>
      <c r="E19" s="51" t="s">
        <v>194</v>
      </c>
      <c r="F19" s="52">
        <f t="shared" si="1"/>
        <v>7.5</v>
      </c>
      <c r="G19" s="53"/>
      <c r="H19" s="53"/>
      <c r="I19" s="72">
        <v>7.5</v>
      </c>
      <c r="J19" s="53"/>
      <c r="K19" s="57" t="s">
        <v>255</v>
      </c>
      <c r="L19" s="57" t="s">
        <v>251</v>
      </c>
      <c r="M19" s="59" t="s">
        <v>260</v>
      </c>
      <c r="N19" s="58">
        <f>VLOOKUP(E19,订单号!B:C,2,0)</f>
        <v>0</v>
      </c>
      <c r="O19" s="35" t="e">
        <f>VLOOKUP(C19,领导干部!B:B,1,0)</f>
        <v>#N/A</v>
      </c>
      <c r="Q19" s="118" t="s">
        <v>261</v>
      </c>
      <c r="R19">
        <v>150.2</v>
      </c>
      <c r="S19">
        <f t="array" ref="S19">VLOOKUP(Q19&amp;R19,IF({1,0},$B$2:$B$330&amp;$F$2:$F$330,$C$2:$C$330),2,)</f>
        <v>50027</v>
      </c>
      <c r="T19" t="str">
        <f t="array" ref="T19">VLOOKUP(Q19&amp;R19,IF({1,0},$B$2:$B$330&amp;$F$2:$F$330,$D$2:$D$330),2,)</f>
        <v>联络工程室</v>
      </c>
      <c r="U19" s="35" t="str">
        <f t="array" ref="U19">VLOOKUP(Q19&amp;R19,IF({1,0},$B$2:$B$330&amp;$F$2:$F$330,$E$2:$E$330),2,)</f>
        <v>工程支持</v>
      </c>
      <c r="V19" s="35">
        <f t="array" ref="V19">VLOOKUP(Q19&amp;R19,IF({1,0},$B$2:$B$330&amp;$F$2:$F$330,$N$2:$N$330),2,)</f>
        <v>10502</v>
      </c>
    </row>
    <row r="20" s="35" customFormat="1" customHeight="1" spans="1:22">
      <c r="A20" s="47">
        <f t="shared" si="0"/>
        <v>19</v>
      </c>
      <c r="B20" s="48" t="s">
        <v>262</v>
      </c>
      <c r="C20" s="49">
        <f>IFERROR(VLOOKUP(B20,[66]工程研发事业部人员名单!B:D,2,0),"")</f>
        <v>22294</v>
      </c>
      <c r="D20" s="50" t="str">
        <f>IFERROR(VLOOKUP(B20,[66]工程研发事业部人员名单!B:D,3,0),"")</f>
        <v>结构一室</v>
      </c>
      <c r="E20" s="51" t="s">
        <v>263</v>
      </c>
      <c r="F20" s="52">
        <f t="shared" si="1"/>
        <v>10</v>
      </c>
      <c r="G20" s="53"/>
      <c r="H20" s="53"/>
      <c r="I20" s="72">
        <v>10</v>
      </c>
      <c r="J20" s="53"/>
      <c r="K20" s="57" t="s">
        <v>255</v>
      </c>
      <c r="L20" s="57" t="s">
        <v>264</v>
      </c>
      <c r="M20" s="58" t="s">
        <v>265</v>
      </c>
      <c r="N20" s="58" t="str">
        <f>VLOOKUP(E20,订单号!B:C,2,0)</f>
        <v>YZ40000414</v>
      </c>
      <c r="O20" s="35" t="e">
        <f>VLOOKUP(C20,领导干部!B:B,1,0)</f>
        <v>#N/A</v>
      </c>
      <c r="Q20" s="118" t="s">
        <v>266</v>
      </c>
      <c r="R20">
        <v>220</v>
      </c>
      <c r="S20">
        <f t="array" ref="S20">VLOOKUP(Q20&amp;R20,IF({1,0},$B$2:$B$330&amp;$F$2:$F$330,$C$2:$C$330),2,)</f>
        <v>50275</v>
      </c>
      <c r="T20" t="str">
        <f t="array" ref="T20">VLOOKUP(Q20&amp;R20,IF({1,0},$B$2:$B$330&amp;$F$2:$F$330,$D$2:$D$330),2,)</f>
        <v>结构一室</v>
      </c>
      <c r="U20" s="35" t="str">
        <f t="array" ref="U20">VLOOKUP(Q20&amp;R20,IF({1,0},$B$2:$B$330&amp;$F$2:$F$330,$E$2:$E$330),2,)</f>
        <v>C929设计（2025年上飞院）</v>
      </c>
      <c r="V20" s="35" t="str">
        <f t="array" ref="V20">VLOOKUP(Q20&amp;R20,IF({1,0},$B$2:$B$330&amp;$F$2:$F$330,$N$2:$N$330),2,)</f>
        <v>YZ40000415</v>
      </c>
    </row>
    <row r="21" s="35" customFormat="1" customHeight="1" spans="1:22">
      <c r="A21" s="47">
        <f t="shared" si="0"/>
        <v>20</v>
      </c>
      <c r="B21" s="48" t="s">
        <v>267</v>
      </c>
      <c r="C21" s="49">
        <f>IFERROR(VLOOKUP(B21,[66]工程研发事业部人员名单!B:D,2,0),"")</f>
        <v>51624</v>
      </c>
      <c r="D21" s="50" t="str">
        <f>IFERROR(VLOOKUP(B21,[66]工程研发事业部人员名单!B:D,3,0),"")</f>
        <v>结构一室</v>
      </c>
      <c r="E21" s="51" t="s">
        <v>263</v>
      </c>
      <c r="F21" s="52">
        <f t="shared" si="1"/>
        <v>2</v>
      </c>
      <c r="G21" s="53"/>
      <c r="H21" s="53"/>
      <c r="I21" s="72">
        <v>2</v>
      </c>
      <c r="J21" s="53"/>
      <c r="K21" s="57" t="s">
        <v>255</v>
      </c>
      <c r="L21" s="57" t="s">
        <v>264</v>
      </c>
      <c r="M21" s="59" t="s">
        <v>268</v>
      </c>
      <c r="N21" s="58" t="str">
        <f>VLOOKUP(E21,订单号!B:C,2,0)</f>
        <v>YZ40000414</v>
      </c>
      <c r="O21" s="35" t="e">
        <f>VLOOKUP(C21,领导干部!B:B,1,0)</f>
        <v>#N/A</v>
      </c>
      <c r="Q21" s="118" t="s">
        <v>269</v>
      </c>
      <c r="R21">
        <v>190</v>
      </c>
      <c r="S21">
        <f t="array" ref="S21">VLOOKUP(Q21&amp;R21,IF({1,0},$B$2:$B$330&amp;$F$2:$F$330,$C$2:$C$330),2,)</f>
        <v>50871</v>
      </c>
      <c r="T21" t="str">
        <f t="array" ref="T21">VLOOKUP(Q21&amp;R21,IF({1,0},$B$2:$B$330&amp;$F$2:$F$330,$D$2:$D$330),2,)</f>
        <v>强度室</v>
      </c>
      <c r="U21" s="35" t="str">
        <f t="array" ref="U21">VLOOKUP(Q21&amp;R21,IF({1,0},$B$2:$B$330&amp;$F$2:$F$330,$E$2:$E$330),2,)</f>
        <v>WH1项目结构强度综合</v>
      </c>
      <c r="V21" s="35" t="str">
        <f t="array" ref="V21">VLOOKUP(Q21&amp;R21,IF({1,0},$B$2:$B$330&amp;$F$2:$F$330,$N$2:$N$330),2,)</f>
        <v>YZ-RD202428</v>
      </c>
    </row>
    <row r="22" s="35" customFormat="1" customHeight="1" spans="1:22">
      <c r="A22" s="47">
        <f t="shared" si="0"/>
        <v>21</v>
      </c>
      <c r="B22" s="48" t="s">
        <v>270</v>
      </c>
      <c r="C22" s="49">
        <f>IFERROR(VLOOKUP(B22,[66]工程研发事业部人员名单!B:D,2,0),"")</f>
        <v>51615</v>
      </c>
      <c r="D22" s="50" t="str">
        <f>IFERROR(VLOOKUP(B22,[66]工程研发事业部人员名单!B:D,3,0),"")</f>
        <v>结构一室</v>
      </c>
      <c r="E22" s="51" t="s">
        <v>263</v>
      </c>
      <c r="F22" s="52">
        <f t="shared" si="1"/>
        <v>2</v>
      </c>
      <c r="G22" s="53"/>
      <c r="H22" s="53"/>
      <c r="I22" s="72">
        <v>2</v>
      </c>
      <c r="J22" s="53"/>
      <c r="K22" s="57" t="s">
        <v>255</v>
      </c>
      <c r="L22" s="57" t="s">
        <v>264</v>
      </c>
      <c r="M22" s="59" t="s">
        <v>268</v>
      </c>
      <c r="N22" s="58" t="str">
        <f>VLOOKUP(E22,订单号!B:C,2,0)</f>
        <v>YZ40000414</v>
      </c>
      <c r="O22" s="35" t="e">
        <f>VLOOKUP(C22,领导干部!B:B,1,0)</f>
        <v>#N/A</v>
      </c>
      <c r="Q22" s="118" t="s">
        <v>271</v>
      </c>
      <c r="R22">
        <v>180</v>
      </c>
      <c r="S22">
        <f t="array" ref="S22">VLOOKUP(Q22&amp;R22,IF({1,0},$B$2:$B$330&amp;$F$2:$F$330,$C$2:$C$330),2,)</f>
        <v>51941</v>
      </c>
      <c r="T22" t="str">
        <f t="array" ref="T22">VLOOKUP(Q22&amp;R22,IF({1,0},$B$2:$B$330&amp;$F$2:$F$330,$D$2:$D$330),2,)</f>
        <v>联络工程室</v>
      </c>
      <c r="U22" s="35" t="str">
        <f t="array" ref="U22">VLOOKUP(Q22&amp;R22,IF({1,0},$B$2:$B$330&amp;$F$2:$F$330,$E$2:$E$330),2,)</f>
        <v>C919高原型设计（2025年上飞院）</v>
      </c>
      <c r="V22" s="35" t="str">
        <f t="array" ref="V22">VLOOKUP(Q22&amp;R22,IF({1,0},$B$2:$B$330&amp;$F$2:$F$330,$N$2:$N$330),2,)</f>
        <v>YZ40000417</v>
      </c>
    </row>
    <row r="23" s="35" customFormat="1" customHeight="1" spans="1:22">
      <c r="A23" s="47">
        <f t="shared" si="0"/>
        <v>22</v>
      </c>
      <c r="B23" s="48" t="s">
        <v>272</v>
      </c>
      <c r="C23" s="49">
        <f>IFERROR(VLOOKUP(B23,[66]工程研发事业部人员名单!B:D,2,0),"")</f>
        <v>50730</v>
      </c>
      <c r="D23" s="50" t="str">
        <f>IFERROR(VLOOKUP(B23,[66]工程研发事业部人员名单!B:D,3,0),"")</f>
        <v>结构一室</v>
      </c>
      <c r="E23" s="51" t="s">
        <v>263</v>
      </c>
      <c r="F23" s="52">
        <f t="shared" si="1"/>
        <v>25</v>
      </c>
      <c r="G23" s="53"/>
      <c r="H23" s="53"/>
      <c r="I23" s="72"/>
      <c r="J23" s="53">
        <v>25</v>
      </c>
      <c r="K23" s="57" t="s">
        <v>255</v>
      </c>
      <c r="L23" s="57" t="s">
        <v>264</v>
      </c>
      <c r="M23" s="59" t="s">
        <v>273</v>
      </c>
      <c r="N23" s="58" t="str">
        <f>VLOOKUP(E23,订单号!B:C,2,0)</f>
        <v>YZ40000414</v>
      </c>
      <c r="O23" s="35" t="e">
        <f>VLOOKUP(C23,领导干部!B:B,1,0)</f>
        <v>#N/A</v>
      </c>
      <c r="Q23" s="118" t="s">
        <v>274</v>
      </c>
      <c r="R23">
        <v>190</v>
      </c>
      <c r="S23">
        <f t="array" ref="S23">VLOOKUP(Q23&amp;R23,IF({1,0},$B$2:$B$330&amp;$F$2:$F$330,$C$2:$C$330),2,)</f>
        <v>26689</v>
      </c>
      <c r="T23" t="str">
        <f t="array" ref="T23">VLOOKUP(Q23&amp;R23,IF({1,0},$B$2:$B$330&amp;$F$2:$F$330,$D$2:$D$330),2,)</f>
        <v>强度室</v>
      </c>
      <c r="U23" s="35" t="str">
        <f t="array" ref="U23">VLOOKUP(Q23&amp;R23,IF({1,0},$B$2:$B$330&amp;$F$2:$F$330,$E$2:$E$330),2,)</f>
        <v>C929设计（2025年上飞院）</v>
      </c>
      <c r="V23" s="35" t="str">
        <f t="array" ref="V23">VLOOKUP(Q23&amp;R23,IF({1,0},$B$2:$B$330&amp;$F$2:$F$330,$N$2:$N$330),2,)</f>
        <v>YZ40000415</v>
      </c>
    </row>
    <row r="24" s="35" customFormat="1" customHeight="1" spans="1:22">
      <c r="A24" s="47">
        <f t="shared" si="0"/>
        <v>23</v>
      </c>
      <c r="B24" s="48" t="s">
        <v>275</v>
      </c>
      <c r="C24" s="49">
        <f>IFERROR(VLOOKUP(B24,[66]工程研发事业部人员名单!B:D,2,0),"")</f>
        <v>26766</v>
      </c>
      <c r="D24" s="50" t="str">
        <f>IFERROR(VLOOKUP(B24,[66]工程研发事业部人员名单!B:D,3,0),"")</f>
        <v>强度室</v>
      </c>
      <c r="E24" s="51" t="s">
        <v>276</v>
      </c>
      <c r="F24" s="52">
        <f t="shared" si="1"/>
        <v>60</v>
      </c>
      <c r="G24" s="53"/>
      <c r="H24" s="53"/>
      <c r="I24" s="72">
        <v>60</v>
      </c>
      <c r="J24" s="53"/>
      <c r="K24" s="57" t="s">
        <v>277</v>
      </c>
      <c r="L24" s="48" t="s">
        <v>278</v>
      </c>
      <c r="M24" s="59" t="s">
        <v>279</v>
      </c>
      <c r="N24" s="58" t="str">
        <f>VLOOKUP(E24,订单号!B:C,2,0)</f>
        <v>YZ40000410</v>
      </c>
      <c r="O24" s="35" t="e">
        <f>VLOOKUP(C24,领导干部!B:B,1,0)</f>
        <v>#N/A</v>
      </c>
      <c r="Q24" s="118" t="s">
        <v>280</v>
      </c>
      <c r="R24">
        <v>180</v>
      </c>
      <c r="S24">
        <f t="array" ref="S24">VLOOKUP(Q24&amp;R24,IF({1,0},$B$2:$B$330&amp;$F$2:$F$330,$C$2:$C$330),2,)</f>
        <v>52131</v>
      </c>
      <c r="T24" t="str">
        <f t="array" ref="T24">VLOOKUP(Q24&amp;R24,IF({1,0},$B$2:$B$330&amp;$F$2:$F$330,$D$2:$D$330),2,)</f>
        <v>结构二室</v>
      </c>
      <c r="U24" s="35" t="str">
        <f t="array" ref="U24">VLOOKUP(Q24&amp;R24,IF({1,0},$B$2:$B$330&amp;$F$2:$F$330,$E$2:$E$330),2,)</f>
        <v>C929设计（2025年上飞院）</v>
      </c>
      <c r="V24" s="35" t="str">
        <f t="array" ref="V24">VLOOKUP(Q24&amp;R24,IF({1,0},$B$2:$B$330&amp;$F$2:$F$330,$N$2:$N$330),2,)</f>
        <v>YZ40000415</v>
      </c>
    </row>
    <row r="25" s="35" customFormat="1" customHeight="1" spans="1:22">
      <c r="A25" s="47">
        <f t="shared" si="0"/>
        <v>24</v>
      </c>
      <c r="B25" s="48" t="s">
        <v>230</v>
      </c>
      <c r="C25" s="49">
        <f>IFERROR(VLOOKUP(B25,[66]工程研发事业部人员名单!B:D,2,0),"")</f>
        <v>50030</v>
      </c>
      <c r="D25" s="50" t="str">
        <f>IFERROR(VLOOKUP(B25,[66]工程研发事业部人员名单!B:D,3,0),"")</f>
        <v>强度室</v>
      </c>
      <c r="E25" s="51" t="s">
        <v>276</v>
      </c>
      <c r="F25" s="52">
        <f t="shared" si="1"/>
        <v>92</v>
      </c>
      <c r="G25" s="53"/>
      <c r="H25" s="53"/>
      <c r="I25" s="72">
        <v>92</v>
      </c>
      <c r="J25" s="53"/>
      <c r="K25" s="57" t="s">
        <v>277</v>
      </c>
      <c r="L25" s="48" t="s">
        <v>278</v>
      </c>
      <c r="M25" s="59" t="s">
        <v>281</v>
      </c>
      <c r="N25" s="58" t="str">
        <f>VLOOKUP(E25,订单号!B:C,2,0)</f>
        <v>YZ40000410</v>
      </c>
      <c r="O25" s="35" t="e">
        <f>VLOOKUP(C25,领导干部!B:B,1,0)</f>
        <v>#N/A</v>
      </c>
      <c r="Q25" s="118" t="s">
        <v>282</v>
      </c>
      <c r="R25">
        <v>170</v>
      </c>
      <c r="S25">
        <f t="array" ref="S25">VLOOKUP(Q25&amp;R25,IF({1,0},$B$2:$B$330&amp;$F$2:$F$330,$C$2:$C$330),2,)</f>
        <v>52342</v>
      </c>
      <c r="T25" t="str">
        <f t="array" ref="T25">VLOOKUP(Q25&amp;R25,IF({1,0},$B$2:$B$330&amp;$F$2:$F$330,$D$2:$D$330),2,)</f>
        <v>强度室</v>
      </c>
      <c r="U25" s="35" t="str">
        <f t="array" ref="U25">VLOOKUP(Q25&amp;R25,IF({1,0},$B$2:$B$330&amp;$F$2:$F$330,$E$2:$E$330),2,)</f>
        <v>WH1项目结构强度综合</v>
      </c>
      <c r="V25" s="35" t="str">
        <f t="array" ref="V25">VLOOKUP(Q25&amp;R25,IF({1,0},$B$2:$B$330&amp;$F$2:$F$330,$N$2:$N$330),2,)</f>
        <v>YZ-RD202428</v>
      </c>
    </row>
    <row r="26" s="35" customFormat="1" customHeight="1" spans="1:22">
      <c r="A26" s="47">
        <f t="shared" si="0"/>
        <v>25</v>
      </c>
      <c r="B26" s="48" t="s">
        <v>275</v>
      </c>
      <c r="C26" s="49">
        <f>IFERROR(VLOOKUP(B26,[66]工程研发事业部人员名单!B:D,2,0),"")</f>
        <v>26766</v>
      </c>
      <c r="D26" s="50" t="str">
        <f>IFERROR(VLOOKUP(B26,[66]工程研发事业部人员名单!B:D,3,0),"")</f>
        <v>强度室</v>
      </c>
      <c r="E26" s="51" t="s">
        <v>283</v>
      </c>
      <c r="F26" s="52">
        <f t="shared" si="1"/>
        <v>20</v>
      </c>
      <c r="G26" s="53"/>
      <c r="H26" s="53"/>
      <c r="I26" s="72">
        <v>20</v>
      </c>
      <c r="J26" s="53"/>
      <c r="K26" s="57" t="s">
        <v>277</v>
      </c>
      <c r="L26" s="48" t="s">
        <v>284</v>
      </c>
      <c r="M26" s="59" t="s">
        <v>285</v>
      </c>
      <c r="N26" s="58" t="str">
        <f>VLOOKUP(E26,订单号!B:C,2,0)</f>
        <v>YZ40000410</v>
      </c>
      <c r="O26" s="35" t="e">
        <f>VLOOKUP(C26,领导干部!B:B,1,0)</f>
        <v>#N/A</v>
      </c>
      <c r="Q26" s="118" t="s">
        <v>286</v>
      </c>
      <c r="R26">
        <v>200</v>
      </c>
      <c r="S26">
        <f t="array" ref="S26">VLOOKUP(Q26&amp;R26,IF({1,0},$B$2:$B$330&amp;$F$2:$F$330,$C$2:$C$330),2,)</f>
        <v>51158</v>
      </c>
      <c r="T26" t="str">
        <f t="array" ref="T26">VLOOKUP(Q26&amp;R26,IF({1,0},$B$2:$B$330&amp;$F$2:$F$330,$D$2:$D$330),2,)</f>
        <v>强度室</v>
      </c>
      <c r="U26" s="35" t="str">
        <f t="array" ref="U26">VLOOKUP(Q26&amp;R26,IF({1,0},$B$2:$B$330&amp;$F$2:$F$330,$E$2:$E$330),2,)</f>
        <v>C929设计（2025年上飞院）</v>
      </c>
      <c r="V26" s="35" t="str">
        <f t="array" ref="V26">VLOOKUP(Q26&amp;R26,IF({1,0},$B$2:$B$330&amp;$F$2:$F$330,$N$2:$N$330),2,)</f>
        <v>YZ40000415</v>
      </c>
    </row>
    <row r="27" s="35" customFormat="1" customHeight="1" spans="1:22">
      <c r="A27" s="47">
        <f t="shared" si="0"/>
        <v>26</v>
      </c>
      <c r="B27" s="48" t="s">
        <v>59</v>
      </c>
      <c r="C27" s="49">
        <f>IFERROR(VLOOKUP(B27,[66]工程研发事业部人员名单!B:D,2,0),"")</f>
        <v>52256</v>
      </c>
      <c r="D27" s="50" t="str">
        <f>IFERROR(VLOOKUP(B27,[66]工程研发事业部人员名单!B:D,3,0),"")</f>
        <v>强度室</v>
      </c>
      <c r="E27" s="51" t="s">
        <v>276</v>
      </c>
      <c r="F27" s="52">
        <f t="shared" si="1"/>
        <v>10</v>
      </c>
      <c r="G27" s="53"/>
      <c r="H27" s="53"/>
      <c r="I27" s="72">
        <v>10</v>
      </c>
      <c r="J27" s="53"/>
      <c r="K27" s="57" t="s">
        <v>277</v>
      </c>
      <c r="L27" s="48" t="s">
        <v>284</v>
      </c>
      <c r="M27" s="59" t="s">
        <v>287</v>
      </c>
      <c r="N27" s="58" t="str">
        <f>VLOOKUP(E27,订单号!B:C,2,0)</f>
        <v>YZ40000410</v>
      </c>
      <c r="O27" s="35" t="e">
        <f>VLOOKUP(C27,领导干部!B:B,1,0)</f>
        <v>#N/A</v>
      </c>
      <c r="Q27" s="118" t="s">
        <v>288</v>
      </c>
      <c r="R27">
        <v>125</v>
      </c>
      <c r="S27">
        <f t="array" ref="S27">VLOOKUP(Q27&amp;R27,IF({1,0},$B$2:$B$330&amp;$F$2:$F$330,$C$2:$C$330),2,)</f>
        <v>52132</v>
      </c>
      <c r="T27" t="str">
        <f t="array" ref="T27">VLOOKUP(Q27&amp;R27,IF({1,0},$B$2:$B$330&amp;$F$2:$F$330,$D$2:$D$330),2,)</f>
        <v>结构二室</v>
      </c>
      <c r="U27" s="35" t="str">
        <f t="array" ref="U27">VLOOKUP(Q27&amp;R27,IF({1,0},$B$2:$B$330&amp;$F$2:$F$330,$E$2:$E$330),2,)</f>
        <v>SIA无人机设计-2</v>
      </c>
      <c r="V27" s="35" t="str">
        <f t="array" ref="V27">VLOOKUP(Q27&amp;R27,IF({1,0},$B$2:$B$330&amp;$F$2:$F$330,$N$2:$N$330),2,)</f>
        <v>YZ40000422</v>
      </c>
    </row>
    <row r="28" s="35" customFormat="1" customHeight="1" spans="1:22">
      <c r="A28" s="47">
        <f t="shared" si="0"/>
        <v>27</v>
      </c>
      <c r="B28" s="48" t="s">
        <v>289</v>
      </c>
      <c r="C28" s="49">
        <f>IFERROR(VLOOKUP(B28,[66]工程研发事业部人员名单!B:D,2,0),"")</f>
        <v>22259</v>
      </c>
      <c r="D28" s="50" t="str">
        <f>IFERROR(VLOOKUP(B28,[66]工程研发事业部人员名单!B:D,3,0),"")</f>
        <v>强度室</v>
      </c>
      <c r="E28" s="51" t="s">
        <v>276</v>
      </c>
      <c r="F28" s="52">
        <f t="shared" si="1"/>
        <v>15</v>
      </c>
      <c r="G28" s="60"/>
      <c r="H28" s="53"/>
      <c r="I28" s="72">
        <v>15</v>
      </c>
      <c r="J28" s="53"/>
      <c r="K28" s="57" t="s">
        <v>277</v>
      </c>
      <c r="L28" s="48" t="s">
        <v>284</v>
      </c>
      <c r="M28" s="59" t="s">
        <v>290</v>
      </c>
      <c r="N28" s="58" t="str">
        <f>VLOOKUP(E28,订单号!B:C,2,0)</f>
        <v>YZ40000410</v>
      </c>
      <c r="O28" s="35" t="e">
        <f>VLOOKUP(C28,领导干部!B:B,1,0)</f>
        <v>#N/A</v>
      </c>
      <c r="Q28" s="118" t="s">
        <v>291</v>
      </c>
      <c r="R28">
        <v>190</v>
      </c>
      <c r="S28">
        <f t="array" ref="S28">VLOOKUP(Q28&amp;R28,IF({1,0},$B$2:$B$330&amp;$F$2:$F$330,$C$2:$C$330),2,)</f>
        <v>25765</v>
      </c>
      <c r="T28" t="str">
        <f t="array" ref="T28">VLOOKUP(Q28&amp;R28,IF({1,0},$B$2:$B$330&amp;$F$2:$F$330,$D$2:$D$330),2,)</f>
        <v>结构一室</v>
      </c>
      <c r="U28" s="35" t="str">
        <f t="array" ref="U28">VLOOKUP(Q28&amp;R28,IF({1,0},$B$2:$B$330&amp;$F$2:$F$330,$E$2:$E$330),2,)</f>
        <v>C929设计（2025年上飞院）</v>
      </c>
      <c r="V28" s="35" t="str">
        <f t="array" ref="V28">VLOOKUP(Q28&amp;R28,IF({1,0},$B$2:$B$330&amp;$F$2:$F$330,$N$2:$N$330),2,)</f>
        <v>YZ40000415</v>
      </c>
    </row>
    <row r="29" s="35" customFormat="1" customHeight="1" spans="1:22">
      <c r="A29" s="47">
        <f t="shared" si="0"/>
        <v>28</v>
      </c>
      <c r="B29" s="48" t="s">
        <v>292</v>
      </c>
      <c r="C29" s="49">
        <f>IFERROR(VLOOKUP(B29,[66]工程研发事业部人员名单!B:D,2,0),"")</f>
        <v>51385</v>
      </c>
      <c r="D29" s="50" t="str">
        <f>IFERROR(VLOOKUP(B29,[66]工程研发事业部人员名单!B:D,3,0),"")</f>
        <v>系统室</v>
      </c>
      <c r="E29" s="51" t="s">
        <v>276</v>
      </c>
      <c r="F29" s="52">
        <f t="shared" si="1"/>
        <v>17.5</v>
      </c>
      <c r="G29" s="53"/>
      <c r="H29" s="53"/>
      <c r="I29" s="72">
        <v>17.5</v>
      </c>
      <c r="J29" s="53"/>
      <c r="K29" s="57" t="s">
        <v>277</v>
      </c>
      <c r="L29" s="48" t="s">
        <v>284</v>
      </c>
      <c r="M29" s="59" t="s">
        <v>293</v>
      </c>
      <c r="N29" s="58" t="str">
        <f>VLOOKUP(E29,订单号!B:C,2,0)</f>
        <v>YZ40000410</v>
      </c>
      <c r="O29" s="35" t="e">
        <f>VLOOKUP(C29,领导干部!B:B,1,0)</f>
        <v>#N/A</v>
      </c>
      <c r="Q29" s="118" t="s">
        <v>294</v>
      </c>
      <c r="R29">
        <v>200</v>
      </c>
      <c r="S29">
        <f t="array" ref="S29">VLOOKUP(Q29&amp;R29,IF({1,0},$B$2:$B$330&amp;$F$2:$F$330,$C$2:$C$330),2,)</f>
        <v>50726</v>
      </c>
      <c r="T29" t="str">
        <f t="array" ref="T29">VLOOKUP(Q29&amp;R29,IF({1,0},$B$2:$B$330&amp;$F$2:$F$330,$D$2:$D$330),2,)</f>
        <v>强度室</v>
      </c>
      <c r="U29" s="35" t="str">
        <f t="array" ref="U29">VLOOKUP(Q29&amp;R29,IF({1,0},$B$2:$B$330&amp;$F$2:$F$330,$E$2:$E$330),2,)</f>
        <v>C929设计（2025年上飞院）</v>
      </c>
      <c r="V29" s="35" t="str">
        <f t="array" ref="V29">VLOOKUP(Q29&amp;R29,IF({1,0},$B$2:$B$330&amp;$F$2:$F$330,$N$2:$N$330),2,)</f>
        <v>YZ40000415</v>
      </c>
    </row>
    <row r="30" s="35" customFormat="1" customHeight="1" spans="1:22">
      <c r="A30" s="47">
        <f t="shared" si="0"/>
        <v>29</v>
      </c>
      <c r="B30" s="48" t="s">
        <v>295</v>
      </c>
      <c r="C30" s="49">
        <f>IFERROR(VLOOKUP(B30,[66]工程研发事业部人员名单!B:D,2,0),"")</f>
        <v>51951</v>
      </c>
      <c r="D30" s="50" t="str">
        <f>IFERROR(VLOOKUP(B30,[66]工程研发事业部人员名单!B:D,3,0),"")</f>
        <v>系统室</v>
      </c>
      <c r="E30" s="51" t="s">
        <v>276</v>
      </c>
      <c r="F30" s="52">
        <f t="shared" si="1"/>
        <v>20</v>
      </c>
      <c r="G30" s="53"/>
      <c r="H30" s="53"/>
      <c r="I30" s="72">
        <v>20</v>
      </c>
      <c r="J30" s="53"/>
      <c r="K30" s="57" t="s">
        <v>277</v>
      </c>
      <c r="L30" s="48" t="s">
        <v>284</v>
      </c>
      <c r="M30" s="59" t="s">
        <v>296</v>
      </c>
      <c r="N30" s="58" t="str">
        <f>VLOOKUP(E30,订单号!B:C,2,0)</f>
        <v>YZ40000410</v>
      </c>
      <c r="O30" s="35" t="e">
        <f>VLOOKUP(C30,领导干部!B:B,1,0)</f>
        <v>#N/A</v>
      </c>
      <c r="Q30" s="118" t="s">
        <v>297</v>
      </c>
      <c r="R30">
        <v>180</v>
      </c>
      <c r="S30">
        <f t="array" ref="S30">VLOOKUP(Q30&amp;R30,IF({1,0},$B$2:$B$330&amp;$F$2:$F$330,$C$2:$C$330),2,)</f>
        <v>51227</v>
      </c>
      <c r="T30" t="str">
        <f t="array" ref="T30">VLOOKUP(Q30&amp;R30,IF({1,0},$B$2:$B$330&amp;$F$2:$F$330,$D$2:$D$330),2,)</f>
        <v>结构一室</v>
      </c>
      <c r="U30" s="35" t="str">
        <f t="array" ref="U30">VLOOKUP(Q30&amp;R30,IF({1,0},$B$2:$B$330&amp;$F$2:$F$330,$E$2:$E$330),2,)</f>
        <v>C929设计（2025年上飞院）</v>
      </c>
      <c r="V30" s="35" t="str">
        <f t="array" ref="V30">VLOOKUP(Q30&amp;R30,IF({1,0},$B$2:$B$330&amp;$F$2:$F$330,$N$2:$N$330),2,)</f>
        <v>YZ40000415</v>
      </c>
    </row>
    <row r="31" s="35" customFormat="1" customHeight="1" spans="1:22">
      <c r="A31" s="47">
        <f t="shared" si="0"/>
        <v>30</v>
      </c>
      <c r="B31" s="48" t="s">
        <v>298</v>
      </c>
      <c r="C31" s="49">
        <f>IFERROR(VLOOKUP(B31,[66]工程研发事业部人员名单!B:D,2,0),"")</f>
        <v>51517</v>
      </c>
      <c r="D31" s="50" t="str">
        <f>IFERROR(VLOOKUP(B31,[66]工程研发事业部人员名单!B:D,3,0),"")</f>
        <v>系统室</v>
      </c>
      <c r="E31" s="51" t="s">
        <v>276</v>
      </c>
      <c r="F31" s="52">
        <f t="shared" si="1"/>
        <v>6</v>
      </c>
      <c r="G31" s="53"/>
      <c r="H31" s="53"/>
      <c r="I31" s="72">
        <v>6</v>
      </c>
      <c r="J31" s="53"/>
      <c r="K31" s="57" t="s">
        <v>277</v>
      </c>
      <c r="L31" s="48" t="s">
        <v>284</v>
      </c>
      <c r="M31" s="59" t="s">
        <v>299</v>
      </c>
      <c r="N31" s="58" t="str">
        <f>VLOOKUP(E31,订单号!B:C,2,0)</f>
        <v>YZ40000410</v>
      </c>
      <c r="O31" s="35" t="e">
        <f>VLOOKUP(C31,领导干部!B:B,1,0)</f>
        <v>#N/A</v>
      </c>
      <c r="Q31" s="118" t="s">
        <v>300</v>
      </c>
      <c r="R31">
        <v>70</v>
      </c>
      <c r="S31">
        <f t="array" ref="S31">VLOOKUP(Q31&amp;R31,IF({1,0},$B$2:$B$330&amp;$F$2:$F$330,$C$2:$C$330),2,)</f>
        <v>51429</v>
      </c>
      <c r="T31" t="str">
        <f t="array" ref="T31">VLOOKUP(Q31&amp;R31,IF({1,0},$B$2:$B$330&amp;$F$2:$F$330,$D$2:$D$330),2,)</f>
        <v>综合技术室</v>
      </c>
      <c r="U31" s="35" t="str">
        <f t="array" ref="U31">VLOOKUP(Q31&amp;R31,IF({1,0},$B$2:$B$330&amp;$F$2:$F$330,$E$2:$E$330),2,)</f>
        <v>WH1项目结构强度综合</v>
      </c>
      <c r="V31" s="35" t="str">
        <f t="array" ref="V31">VLOOKUP(Q31&amp;R31,IF({1,0},$B$2:$B$330&amp;$F$2:$F$330,$N$2:$N$330),2,)</f>
        <v>YZ-RD202428</v>
      </c>
    </row>
    <row r="32" s="35" customFormat="1" customHeight="1" spans="1:22">
      <c r="A32" s="47">
        <f t="shared" si="0"/>
        <v>31</v>
      </c>
      <c r="B32" s="48" t="s">
        <v>30</v>
      </c>
      <c r="C32" s="49">
        <f>IFERROR(VLOOKUP(B32,[66]工程研发事业部人员名单!B:D,2,0),"")</f>
        <v>52587</v>
      </c>
      <c r="D32" s="50" t="str">
        <f>IFERROR(VLOOKUP(B32,[66]工程研发事业部人员名单!B:D,3,0),"")</f>
        <v>系统室</v>
      </c>
      <c r="E32" s="51" t="s">
        <v>276</v>
      </c>
      <c r="F32" s="52">
        <f t="shared" si="1"/>
        <v>20</v>
      </c>
      <c r="G32" s="53"/>
      <c r="H32" s="53"/>
      <c r="I32" s="72">
        <v>20</v>
      </c>
      <c r="J32" s="53"/>
      <c r="K32" s="57" t="s">
        <v>277</v>
      </c>
      <c r="L32" s="48" t="s">
        <v>284</v>
      </c>
      <c r="M32" s="59" t="s">
        <v>301</v>
      </c>
      <c r="N32" s="58" t="str">
        <f>VLOOKUP(E32,订单号!B:C,2,0)</f>
        <v>YZ40000410</v>
      </c>
      <c r="O32" s="35" t="e">
        <f>VLOOKUP(C32,领导干部!B:B,1,0)</f>
        <v>#N/A</v>
      </c>
      <c r="Q32" s="118" t="s">
        <v>302</v>
      </c>
      <c r="R32">
        <v>135</v>
      </c>
      <c r="S32">
        <f t="array" ref="S32">VLOOKUP(Q32&amp;R32,IF({1,0},$B$2:$B$330&amp;$F$2:$F$330,$C$2:$C$330),2,)</f>
        <v>17238</v>
      </c>
      <c r="T32" t="str">
        <f t="array" ref="T32">VLOOKUP(Q32&amp;R32,IF({1,0},$B$2:$B$330&amp;$F$2:$F$330,$D$2:$D$330),2,)</f>
        <v>结构二室</v>
      </c>
      <c r="U32" s="35" t="str">
        <f t="array" ref="U32">VLOOKUP(Q32&amp;R32,IF({1,0},$B$2:$B$330&amp;$F$2:$F$330,$E$2:$E$330),2,)</f>
        <v>WH1项目结构强度综合</v>
      </c>
      <c r="V32" s="35" t="str">
        <f t="array" ref="V32">VLOOKUP(Q32&amp;R32,IF({1,0},$B$2:$B$330&amp;$F$2:$F$330,$N$2:$N$330),2,)</f>
        <v>YZ-RD202428</v>
      </c>
    </row>
    <row r="33" s="35" customFormat="1" customHeight="1" spans="1:22">
      <c r="A33" s="47">
        <f t="shared" si="0"/>
        <v>32</v>
      </c>
      <c r="B33" s="48" t="s">
        <v>31</v>
      </c>
      <c r="C33" s="49">
        <f>IFERROR(VLOOKUP(B33,[66]工程研发事业部人员名单!B:D,2,0),"")</f>
        <v>52585</v>
      </c>
      <c r="D33" s="50" t="str">
        <f>IFERROR(VLOOKUP(B33,[66]工程研发事业部人员名单!B:D,3,0),"")</f>
        <v>系统室</v>
      </c>
      <c r="E33" s="51" t="s">
        <v>276</v>
      </c>
      <c r="F33" s="52">
        <f t="shared" si="1"/>
        <v>5.5</v>
      </c>
      <c r="G33" s="53"/>
      <c r="H33" s="53"/>
      <c r="I33" s="72">
        <v>5.5</v>
      </c>
      <c r="J33" s="53"/>
      <c r="K33" s="57" t="s">
        <v>277</v>
      </c>
      <c r="L33" s="48" t="s">
        <v>284</v>
      </c>
      <c r="M33" s="59" t="s">
        <v>303</v>
      </c>
      <c r="N33" s="58" t="str">
        <f>VLOOKUP(E33,订单号!B:C,2,0)</f>
        <v>YZ40000410</v>
      </c>
      <c r="O33" s="35" t="e">
        <f>VLOOKUP(C33,领导干部!B:B,1,0)</f>
        <v>#N/A</v>
      </c>
      <c r="Q33" s="118" t="s">
        <v>304</v>
      </c>
      <c r="R33">
        <v>210</v>
      </c>
      <c r="S33">
        <f t="array" ref="S33">VLOOKUP(Q33&amp;R33,IF({1,0},$B$2:$B$330&amp;$F$2:$F$330,$C$2:$C$330),2,)</f>
        <v>25763</v>
      </c>
      <c r="T33" t="str">
        <f t="array" ref="T33">VLOOKUP(Q33&amp;R33,IF({1,0},$B$2:$B$330&amp;$F$2:$F$330,$D$2:$D$330),2,)</f>
        <v>结构一室</v>
      </c>
      <c r="U33" s="35" t="str">
        <f t="array" ref="U33">VLOOKUP(Q33&amp;R33,IF({1,0},$B$2:$B$330&amp;$F$2:$F$330,$E$2:$E$330),2,)</f>
        <v>SIA无人机设计-2</v>
      </c>
      <c r="V33" s="35" t="str">
        <f t="array" ref="V33">VLOOKUP(Q33&amp;R33,IF({1,0},$B$2:$B$330&amp;$F$2:$F$330,$N$2:$N$330),2,)</f>
        <v>YZ40000422</v>
      </c>
    </row>
    <row r="34" s="35" customFormat="1" customHeight="1" spans="1:22">
      <c r="A34" s="47">
        <f t="shared" si="0"/>
        <v>33</v>
      </c>
      <c r="B34" s="48" t="s">
        <v>305</v>
      </c>
      <c r="C34" s="49">
        <f>IFERROR(VLOOKUP(B34,[66]工程研发事业部人员名单!B:D,2,0),"")</f>
        <v>51389</v>
      </c>
      <c r="D34" s="50" t="str">
        <f>IFERROR(VLOOKUP(B34,[66]工程研发事业部人员名单!B:D,3,0),"")</f>
        <v>系统室</v>
      </c>
      <c r="E34" s="51" t="s">
        <v>276</v>
      </c>
      <c r="F34" s="52">
        <f t="shared" si="1"/>
        <v>5.5</v>
      </c>
      <c r="G34" s="53"/>
      <c r="H34" s="53"/>
      <c r="I34" s="72">
        <v>5.5</v>
      </c>
      <c r="J34" s="53"/>
      <c r="K34" s="57" t="s">
        <v>277</v>
      </c>
      <c r="L34" s="48" t="s">
        <v>284</v>
      </c>
      <c r="M34" s="59" t="s">
        <v>306</v>
      </c>
      <c r="N34" s="58" t="str">
        <f>VLOOKUP(E34,订单号!B:C,2,0)</f>
        <v>YZ40000410</v>
      </c>
      <c r="O34" s="35" t="e">
        <f>VLOOKUP(C34,领导干部!B:B,1,0)</f>
        <v>#N/A</v>
      </c>
      <c r="Q34" s="118" t="s">
        <v>307</v>
      </c>
      <c r="R34">
        <v>168.05</v>
      </c>
      <c r="S34">
        <f t="array" ref="S34">VLOOKUP(Q34&amp;R34,IF({1,0},$B$2:$B$330&amp;$F$2:$F$330,$C$2:$C$330),2,)</f>
        <v>50019</v>
      </c>
      <c r="T34" t="str">
        <f t="array" ref="T34">VLOOKUP(Q34&amp;R34,IF({1,0},$B$2:$B$330&amp;$F$2:$F$330,$D$2:$D$330),2,)</f>
        <v>联络工程室</v>
      </c>
      <c r="U34" s="35" t="str">
        <f t="array" ref="U34">VLOOKUP(Q34&amp;R34,IF({1,0},$B$2:$B$330&amp;$F$2:$F$330,$E$2:$E$330),2,)</f>
        <v>工程支持</v>
      </c>
      <c r="V34" s="35">
        <f t="array" ref="V34">VLOOKUP(Q34&amp;R34,IF({1,0},$B$2:$B$330&amp;$F$2:$F$330,$N$2:$N$330),2,)</f>
        <v>10502</v>
      </c>
    </row>
    <row r="35" s="35" customFormat="1" customHeight="1" spans="1:22">
      <c r="A35" s="47">
        <f t="shared" si="0"/>
        <v>34</v>
      </c>
      <c r="B35" s="48" t="s">
        <v>308</v>
      </c>
      <c r="C35" s="49">
        <f>IFERROR(VLOOKUP(B35,[66]工程研发事业部人员名单!B:D,2,0),"")</f>
        <v>50022</v>
      </c>
      <c r="D35" s="50" t="str">
        <f>IFERROR(VLOOKUP(B35,[66]工程研发事业部人员名单!B:D,3,0),"")</f>
        <v>结构二室</v>
      </c>
      <c r="E35" s="51" t="s">
        <v>276</v>
      </c>
      <c r="F35" s="52">
        <f t="shared" si="1"/>
        <v>210</v>
      </c>
      <c r="G35" s="53"/>
      <c r="H35" s="53"/>
      <c r="I35" s="72">
        <v>210</v>
      </c>
      <c r="J35" s="53"/>
      <c r="K35" s="57" t="s">
        <v>255</v>
      </c>
      <c r="L35" s="48" t="s">
        <v>309</v>
      </c>
      <c r="M35" s="59" t="s">
        <v>310</v>
      </c>
      <c r="N35" s="58" t="str">
        <f>VLOOKUP(E35,订单号!B:C,2,0)</f>
        <v>YZ40000410</v>
      </c>
      <c r="O35" s="35" t="e">
        <f>VLOOKUP(C35,领导干部!B:B,1,0)</f>
        <v>#N/A</v>
      </c>
      <c r="Q35" s="118" t="s">
        <v>311</v>
      </c>
      <c r="R35">
        <v>120</v>
      </c>
      <c r="S35">
        <f t="array" ref="S35">VLOOKUP(Q35&amp;R35,IF({1,0},$B$2:$B$330&amp;$F$2:$F$330,$C$2:$C$330),2,)</f>
        <v>51435</v>
      </c>
      <c r="T35" t="str">
        <f t="array" ref="T35">VLOOKUP(Q35&amp;R35,IF({1,0},$B$2:$B$330&amp;$F$2:$F$330,$D$2:$D$330),2,)</f>
        <v>系统室</v>
      </c>
      <c r="U35" s="35" t="str">
        <f t="array" ref="U35">VLOOKUP(Q35&amp;R35,IF({1,0},$B$2:$B$330&amp;$F$2:$F$330,$E$2:$E$330),2,)</f>
        <v>C919基本型设计（2025年上飞院）</v>
      </c>
      <c r="V35" s="35" t="str">
        <f t="array" ref="V35">VLOOKUP(Q35&amp;R35,IF({1,0},$B$2:$B$330&amp;$F$2:$F$330,$N$2:$N$330),2,)</f>
        <v>YZ40000419</v>
      </c>
    </row>
    <row r="36" s="35" customFormat="1" customHeight="1" spans="1:22">
      <c r="A36" s="47">
        <f t="shared" si="0"/>
        <v>35</v>
      </c>
      <c r="B36" s="54" t="s">
        <v>280</v>
      </c>
      <c r="C36" s="49">
        <f>IFERROR(VLOOKUP(B36,[66]工程研发事业部人员名单!B:D,2,0),"")</f>
        <v>52131</v>
      </c>
      <c r="D36" s="50" t="str">
        <f>IFERROR(VLOOKUP(B36,[66]工程研发事业部人员名单!B:D,3,0),"")</f>
        <v>结构二室</v>
      </c>
      <c r="E36" s="51" t="s">
        <v>276</v>
      </c>
      <c r="F36" s="52">
        <f t="shared" si="1"/>
        <v>50</v>
      </c>
      <c r="G36" s="53"/>
      <c r="H36" s="53"/>
      <c r="I36" s="75">
        <v>50</v>
      </c>
      <c r="J36" s="60"/>
      <c r="K36" s="57" t="s">
        <v>255</v>
      </c>
      <c r="L36" s="48" t="s">
        <v>309</v>
      </c>
      <c r="M36" s="59" t="s">
        <v>312</v>
      </c>
      <c r="N36" s="58" t="str">
        <f>VLOOKUP(E36,订单号!B:C,2,0)</f>
        <v>YZ40000410</v>
      </c>
      <c r="O36" s="35" t="e">
        <f>VLOOKUP(C36,领导干部!B:B,1,0)</f>
        <v>#N/A</v>
      </c>
      <c r="Q36" s="118" t="s">
        <v>313</v>
      </c>
      <c r="R36">
        <v>100</v>
      </c>
      <c r="S36">
        <f t="array" ref="S36">VLOOKUP(Q36&amp;R36,IF({1,0},$B$2:$B$330&amp;$F$2:$F$330,$C$2:$C$330),2,)</f>
        <v>23524</v>
      </c>
      <c r="T36" t="str">
        <f t="array" ref="T36">VLOOKUP(Q36&amp;R36,IF({1,0},$B$2:$B$330&amp;$F$2:$F$330,$D$2:$D$330),2,)</f>
        <v>强度室</v>
      </c>
      <c r="U36" s="35" t="str">
        <f t="array" ref="U36">VLOOKUP(Q36&amp;R36,IF({1,0},$B$2:$B$330&amp;$F$2:$F$330,$E$2:$E$330),2,)</f>
        <v>C919基本型设计（2025年上飞院）</v>
      </c>
      <c r="V36" s="35" t="str">
        <f t="array" ref="V36">VLOOKUP(Q36&amp;R36,IF({1,0},$B$2:$B$330&amp;$F$2:$F$330,$N$2:$N$330),2,)</f>
        <v>YZ40000419</v>
      </c>
    </row>
    <row r="37" s="35" customFormat="1" customHeight="1" spans="1:22">
      <c r="A37" s="47">
        <f t="shared" si="0"/>
        <v>36</v>
      </c>
      <c r="B37" s="48" t="s">
        <v>314</v>
      </c>
      <c r="C37" s="49">
        <f>IFERROR(VLOOKUP(B37,[66]工程研发事业部人员名单!B:D,2,0),"")</f>
        <v>51407</v>
      </c>
      <c r="D37" s="50" t="str">
        <f>IFERROR(VLOOKUP(B37,[66]工程研发事业部人员名单!B:D,3,0),"")</f>
        <v>结构二室</v>
      </c>
      <c r="E37" s="51" t="s">
        <v>276</v>
      </c>
      <c r="F37" s="52">
        <f t="shared" si="1"/>
        <v>20</v>
      </c>
      <c r="G37" s="53"/>
      <c r="H37" s="53"/>
      <c r="I37" s="75">
        <v>20</v>
      </c>
      <c r="J37" s="60"/>
      <c r="K37" s="57" t="s">
        <v>255</v>
      </c>
      <c r="L37" s="48" t="s">
        <v>284</v>
      </c>
      <c r="M37" s="59" t="s">
        <v>315</v>
      </c>
      <c r="N37" s="58" t="str">
        <f>VLOOKUP(E37,订单号!B:C,2,0)</f>
        <v>YZ40000410</v>
      </c>
      <c r="O37" s="35" t="e">
        <f>VLOOKUP(C37,领导干部!B:B,1,0)</f>
        <v>#N/A</v>
      </c>
      <c r="Q37" s="118" t="s">
        <v>316</v>
      </c>
      <c r="R37">
        <v>150</v>
      </c>
      <c r="S37">
        <f t="array" ref="S37">VLOOKUP(Q37&amp;R37,IF({1,0},$B$2:$B$330&amp;$F$2:$F$330,$C$2:$C$330),2,)</f>
        <v>50316</v>
      </c>
      <c r="T37" t="str">
        <f t="array" ref="T37">VLOOKUP(Q37&amp;R37,IF({1,0},$B$2:$B$330&amp;$F$2:$F$330,$D$2:$D$330),2,)</f>
        <v>联络工程室</v>
      </c>
      <c r="U37" s="35" t="str">
        <f t="array" ref="U37">VLOOKUP(Q37&amp;R37,IF({1,0},$B$2:$B$330&amp;$F$2:$F$330,$E$2:$E$330),2,)</f>
        <v>工程支持</v>
      </c>
      <c r="V37" s="35">
        <f t="array" ref="V37">VLOOKUP(Q37&amp;R37,IF({1,0},$B$2:$B$330&amp;$F$2:$F$330,$N$2:$N$330),2,)</f>
        <v>10502</v>
      </c>
    </row>
    <row r="38" s="35" customFormat="1" customHeight="1" spans="1:22">
      <c r="A38" s="47">
        <f t="shared" si="0"/>
        <v>37</v>
      </c>
      <c r="B38" s="48" t="s">
        <v>258</v>
      </c>
      <c r="C38" s="49">
        <f>IFERROR(VLOOKUP(B38,[66]工程研发事业部人员名单!B:D,2,0),"")</f>
        <v>25601</v>
      </c>
      <c r="D38" s="50" t="str">
        <f>IFERROR(VLOOKUP(B38,[66]工程研发事业部人员名单!B:D,3,0),"")</f>
        <v>联络工程室</v>
      </c>
      <c r="E38" s="51" t="s">
        <v>276</v>
      </c>
      <c r="F38" s="52">
        <f t="shared" si="1"/>
        <v>130</v>
      </c>
      <c r="G38" s="53"/>
      <c r="H38" s="53"/>
      <c r="I38" s="72">
        <v>130</v>
      </c>
      <c r="J38" s="53"/>
      <c r="K38" s="57" t="s">
        <v>255</v>
      </c>
      <c r="L38" s="48" t="s">
        <v>278</v>
      </c>
      <c r="M38" s="59" t="s">
        <v>317</v>
      </c>
      <c r="N38" s="58" t="str">
        <f>VLOOKUP(E38,订单号!B:C,2,0)</f>
        <v>YZ40000410</v>
      </c>
      <c r="O38" s="35" t="e">
        <f>VLOOKUP(C38,领导干部!B:B,1,0)</f>
        <v>#N/A</v>
      </c>
      <c r="Q38" s="118" t="s">
        <v>318</v>
      </c>
      <c r="R38">
        <v>193.5</v>
      </c>
      <c r="S38">
        <f t="array" ref="S38">VLOOKUP(Q38&amp;R38,IF({1,0},$B$2:$B$330&amp;$F$2:$F$330,$C$2:$C$330),2,)</f>
        <v>25603</v>
      </c>
      <c r="T38" t="str">
        <f t="array" ref="T38">VLOOKUP(Q38&amp;R38,IF({1,0},$B$2:$B$330&amp;$F$2:$F$330,$D$2:$D$330),2,)</f>
        <v>联络工程室</v>
      </c>
      <c r="U38" s="35" t="str">
        <f t="array" ref="U38">VLOOKUP(Q38&amp;R38,IF({1,0},$B$2:$B$330&amp;$F$2:$F$330,$E$2:$E$330),2,)</f>
        <v>工程支持</v>
      </c>
      <c r="V38" s="35">
        <f t="array" ref="V38">VLOOKUP(Q38&amp;R38,IF({1,0},$B$2:$B$330&amp;$F$2:$F$330,$N$2:$N$330),2,)</f>
        <v>10502</v>
      </c>
    </row>
    <row r="39" s="35" customFormat="1" customHeight="1" spans="1:22">
      <c r="A39" s="47">
        <f t="shared" si="0"/>
        <v>38</v>
      </c>
      <c r="B39" s="54" t="s">
        <v>319</v>
      </c>
      <c r="C39" s="49">
        <f>IFERROR(VLOOKUP(B39,[66]工程研发事业部人员名单!B:D,2,0),"")</f>
        <v>51642</v>
      </c>
      <c r="D39" s="50" t="str">
        <f>IFERROR(VLOOKUP(B39,[66]工程研发事业部人员名单!B:D,3,0),"")</f>
        <v>结构二室</v>
      </c>
      <c r="E39" s="51" t="s">
        <v>276</v>
      </c>
      <c r="F39" s="52">
        <f t="shared" si="1"/>
        <v>30</v>
      </c>
      <c r="G39" s="53"/>
      <c r="H39" s="53"/>
      <c r="I39" s="75">
        <v>30</v>
      </c>
      <c r="J39" s="60"/>
      <c r="K39" s="57" t="s">
        <v>255</v>
      </c>
      <c r="L39" s="48" t="s">
        <v>278</v>
      </c>
      <c r="M39" s="61" t="s">
        <v>320</v>
      </c>
      <c r="N39" s="58" t="str">
        <f>VLOOKUP(E39,订单号!B:C,2,0)</f>
        <v>YZ40000410</v>
      </c>
      <c r="O39" s="35" t="e">
        <f>VLOOKUP(C39,领导干部!B:B,1,0)</f>
        <v>#N/A</v>
      </c>
      <c r="Q39" s="118" t="s">
        <v>321</v>
      </c>
      <c r="R39">
        <v>180</v>
      </c>
      <c r="S39">
        <f t="array" ref="S39">VLOOKUP(Q39&amp;R39,IF({1,0},$B$2:$B$330&amp;$F$2:$F$330,$C$2:$C$330),2,)</f>
        <v>51430</v>
      </c>
      <c r="T39" t="str">
        <f t="array" ref="T39">VLOOKUP(Q39&amp;R39,IF({1,0},$B$2:$B$330&amp;$F$2:$F$330,$D$2:$D$330),2,)</f>
        <v>系统室</v>
      </c>
      <c r="U39" s="35" t="str">
        <f t="array" ref="U39">VLOOKUP(Q39&amp;R39,IF({1,0},$B$2:$B$330&amp;$F$2:$F$330,$E$2:$E$330),2,)</f>
        <v>C919基本型设计（2025年上飞院）</v>
      </c>
      <c r="V39" s="35" t="str">
        <f t="array" ref="V39">VLOOKUP(Q39&amp;R39,IF({1,0},$B$2:$B$330&amp;$F$2:$F$330,$N$2:$N$330),2,)</f>
        <v>YZ40000419</v>
      </c>
    </row>
    <row r="40" s="35" customFormat="1" customHeight="1" spans="1:22">
      <c r="A40" s="47">
        <f t="shared" si="0"/>
        <v>39</v>
      </c>
      <c r="B40" s="54" t="s">
        <v>322</v>
      </c>
      <c r="C40" s="49">
        <f>IFERROR(VLOOKUP(B40,[66]工程研发事业部人员名单!B:D,2,0),"")</f>
        <v>51186</v>
      </c>
      <c r="D40" s="50" t="str">
        <f>IFERROR(VLOOKUP(B40,[66]工程研发事业部人员名单!B:D,3,0),"")</f>
        <v>结构二室</v>
      </c>
      <c r="E40" s="51" t="s">
        <v>276</v>
      </c>
      <c r="F40" s="52">
        <f t="shared" si="1"/>
        <v>60</v>
      </c>
      <c r="G40" s="53"/>
      <c r="H40" s="53"/>
      <c r="I40" s="75">
        <v>60</v>
      </c>
      <c r="J40" s="60"/>
      <c r="K40" s="57" t="s">
        <v>255</v>
      </c>
      <c r="L40" s="48" t="s">
        <v>278</v>
      </c>
      <c r="M40" s="61" t="s">
        <v>323</v>
      </c>
      <c r="N40" s="58" t="str">
        <f>VLOOKUP(E40,订单号!B:C,2,0)</f>
        <v>YZ40000410</v>
      </c>
      <c r="O40" s="35" t="e">
        <f>VLOOKUP(C40,领导干部!B:B,1,0)</f>
        <v>#N/A</v>
      </c>
      <c r="Q40" s="118" t="s">
        <v>324</v>
      </c>
      <c r="R40">
        <v>200</v>
      </c>
      <c r="S40">
        <f t="array" ref="S40">VLOOKUP(Q40&amp;R40,IF({1,0},$B$2:$B$330&amp;$F$2:$F$330,$C$2:$C$330),2,)</f>
        <v>51860</v>
      </c>
      <c r="T40" t="str">
        <f t="array" ref="T40">VLOOKUP(Q40&amp;R40,IF({1,0},$B$2:$B$330&amp;$F$2:$F$330,$D$2:$D$330),2,)</f>
        <v>总体室</v>
      </c>
      <c r="U40" s="35" t="str">
        <f t="array" ref="U40">VLOOKUP(Q40&amp;R40,IF({1,0},$B$2:$B$330&amp;$F$2:$F$330,$E$2:$E$330),2,)</f>
        <v>C919基本型设计（2025年上飞院）</v>
      </c>
      <c r="V40" s="35" t="str">
        <f t="array" ref="V40">VLOOKUP(Q40&amp;R40,IF({1,0},$B$2:$B$330&amp;$F$2:$F$330,$N$2:$N$330),2,)</f>
        <v>YZ40000419</v>
      </c>
    </row>
    <row r="41" s="35" customFormat="1" customHeight="1" spans="1:22">
      <c r="A41" s="47">
        <f t="shared" si="0"/>
        <v>40</v>
      </c>
      <c r="B41" s="54" t="s">
        <v>254</v>
      </c>
      <c r="C41" s="49">
        <f>IFERROR(VLOOKUP(B41,[66]工程研发事业部人员名单!B:D,2,0),"")</f>
        <v>52232</v>
      </c>
      <c r="D41" s="50" t="str">
        <f>IFERROR(VLOOKUP(B41,[66]工程研发事业部人员名单!B:D,3,0),"")</f>
        <v>结构二室</v>
      </c>
      <c r="E41" s="51" t="s">
        <v>276</v>
      </c>
      <c r="F41" s="52">
        <f t="shared" si="1"/>
        <v>50</v>
      </c>
      <c r="G41" s="53"/>
      <c r="H41" s="53"/>
      <c r="I41" s="75">
        <v>50</v>
      </c>
      <c r="J41" s="60"/>
      <c r="K41" s="57" t="s">
        <v>255</v>
      </c>
      <c r="L41" s="48" t="s">
        <v>278</v>
      </c>
      <c r="M41" s="61" t="s">
        <v>325</v>
      </c>
      <c r="N41" s="58" t="str">
        <f>VLOOKUP(E41,订单号!B:C,2,0)</f>
        <v>YZ40000410</v>
      </c>
      <c r="O41" s="35" t="e">
        <f>VLOOKUP(C41,领导干部!B:B,1,0)</f>
        <v>#N/A</v>
      </c>
      <c r="Q41" s="118" t="s">
        <v>326</v>
      </c>
      <c r="R41">
        <v>215</v>
      </c>
      <c r="S41">
        <f t="array" ref="S41">VLOOKUP(Q41&amp;R41,IF({1,0},$B$2:$B$330&amp;$F$2:$F$330,$C$2:$C$330),2,)</f>
        <v>52018</v>
      </c>
      <c r="T41" t="str">
        <f t="array" ref="T41">VLOOKUP(Q41&amp;R41,IF({1,0},$B$2:$B$330&amp;$F$2:$F$330,$D$2:$D$330),2,)</f>
        <v>总体室</v>
      </c>
      <c r="U41" s="35" t="str">
        <f t="array" ref="U41">VLOOKUP(Q41&amp;R41,IF({1,0},$B$2:$B$330&amp;$F$2:$F$330,$E$2:$E$330),2,)</f>
        <v>WH1项目总体/系统/适航等其它专业</v>
      </c>
      <c r="V41" s="35" t="str">
        <f t="array" ref="V41">VLOOKUP(Q41&amp;R41,IF({1,0},$B$2:$B$330&amp;$F$2:$F$330,$N$2:$N$330),2,)</f>
        <v>YZ-RD202428</v>
      </c>
    </row>
    <row r="42" s="35" customFormat="1" customHeight="1" spans="1:22">
      <c r="A42" s="47">
        <f t="shared" si="0"/>
        <v>41</v>
      </c>
      <c r="B42" s="48" t="s">
        <v>327</v>
      </c>
      <c r="C42" s="49">
        <f>IFERROR(VLOOKUP(B42,[66]工程研发事业部人员名单!B:D,2,0),"")</f>
        <v>17243</v>
      </c>
      <c r="D42" s="50" t="str">
        <f>IFERROR(VLOOKUP(B42,[66]工程研发事业部人员名单!B:D,3,0),"")</f>
        <v>总体室</v>
      </c>
      <c r="E42" s="73" t="s">
        <v>328</v>
      </c>
      <c r="F42" s="52">
        <f t="shared" si="1"/>
        <v>30</v>
      </c>
      <c r="G42" s="53"/>
      <c r="H42" s="53"/>
      <c r="I42" s="72">
        <v>30</v>
      </c>
      <c r="J42" s="53"/>
      <c r="K42" s="57" t="s">
        <v>329</v>
      </c>
      <c r="L42" s="57" t="s">
        <v>330</v>
      </c>
      <c r="M42" s="59" t="s">
        <v>331</v>
      </c>
      <c r="N42" s="58" t="str">
        <f>VLOOKUP(E42,订单号!B:C,2,0)</f>
        <v>YZ40000419</v>
      </c>
      <c r="O42" s="35" t="e">
        <f>VLOOKUP(C42,领导干部!B:B,1,0)</f>
        <v>#N/A</v>
      </c>
      <c r="Q42" s="118" t="s">
        <v>332</v>
      </c>
      <c r="R42">
        <v>110</v>
      </c>
      <c r="S42">
        <f t="array" ref="S42">VLOOKUP(Q42&amp;R42,IF({1,0},$B$2:$B$330&amp;$F$2:$F$330,$C$2:$C$330),2,)</f>
        <v>51151</v>
      </c>
      <c r="T42" t="str">
        <f t="array" ref="T42">VLOOKUP(Q42&amp;R42,IF({1,0},$B$2:$B$330&amp;$F$2:$F$330,$D$2:$D$330),2,)</f>
        <v>综合技术室</v>
      </c>
      <c r="U42" s="35" t="str">
        <f t="array" ref="U42">VLOOKUP(Q42&amp;R42,IF({1,0},$B$2:$B$330&amp;$F$2:$F$330,$E$2:$E$330),2,)</f>
        <v>工程支持</v>
      </c>
      <c r="V42" s="35">
        <f t="array" ref="V42">VLOOKUP(Q42&amp;R42,IF({1,0},$B$2:$B$330&amp;$F$2:$F$330,$N$2:$N$330),2,)</f>
        <v>10502</v>
      </c>
    </row>
    <row r="43" s="35" customFormat="1" customHeight="1" spans="1:22">
      <c r="A43" s="47">
        <f t="shared" si="0"/>
        <v>42</v>
      </c>
      <c r="B43" s="48" t="s">
        <v>333</v>
      </c>
      <c r="C43" s="49">
        <f>IFERROR(VLOOKUP(B43,[66]工程研发事业部人员名单!B:D,2,0),"")</f>
        <v>50032</v>
      </c>
      <c r="D43" s="50" t="str">
        <f>IFERROR(VLOOKUP(B43,[66]工程研发事业部人员名单!B:D,3,0),"")</f>
        <v>总体室</v>
      </c>
      <c r="E43" s="73" t="s">
        <v>328</v>
      </c>
      <c r="F43" s="52">
        <f t="shared" si="1"/>
        <v>30</v>
      </c>
      <c r="G43" s="53"/>
      <c r="H43" s="53"/>
      <c r="I43" s="72">
        <v>30</v>
      </c>
      <c r="J43" s="53"/>
      <c r="K43" s="57" t="s">
        <v>329</v>
      </c>
      <c r="L43" s="57" t="s">
        <v>330</v>
      </c>
      <c r="M43" s="59" t="s">
        <v>334</v>
      </c>
      <c r="N43" s="58" t="str">
        <f>VLOOKUP(E43,订单号!B:C,2,0)</f>
        <v>YZ40000419</v>
      </c>
      <c r="O43" s="35" t="e">
        <f>VLOOKUP(C43,领导干部!B:B,1,0)</f>
        <v>#N/A</v>
      </c>
      <c r="Q43" s="118" t="s">
        <v>335</v>
      </c>
      <c r="R43">
        <v>155</v>
      </c>
      <c r="S43">
        <f t="array" ref="S43">VLOOKUP(Q43&amp;R43,IF({1,0},$B$2:$B$330&amp;$F$2:$F$330,$C$2:$C$330),2,)</f>
        <v>51641</v>
      </c>
      <c r="T43" t="str">
        <f t="array" ref="T43">VLOOKUP(Q43&amp;R43,IF({1,0},$B$2:$B$330&amp;$F$2:$F$330,$D$2:$D$330),2,)</f>
        <v>结构二室</v>
      </c>
      <c r="U43" s="35" t="str">
        <f t="array" ref="U43">VLOOKUP(Q43&amp;R43,IF({1,0},$B$2:$B$330&amp;$F$2:$F$330,$E$2:$E$330),2,)</f>
        <v>WH1项目结构强度综合</v>
      </c>
      <c r="V43" s="35" t="str">
        <f t="array" ref="V43">VLOOKUP(Q43&amp;R43,IF({1,0},$B$2:$B$330&amp;$F$2:$F$330,$N$2:$N$330),2,)</f>
        <v>YZ-RD202428</v>
      </c>
    </row>
    <row r="44" s="35" customFormat="1" customHeight="1" spans="1:22">
      <c r="A44" s="47">
        <f t="shared" si="0"/>
        <v>43</v>
      </c>
      <c r="B44" s="48" t="s">
        <v>336</v>
      </c>
      <c r="C44" s="49">
        <f>IFERROR(VLOOKUP(B44,[66]工程研发事业部人员名单!B:D,2,0),"")</f>
        <v>18550</v>
      </c>
      <c r="D44" s="50" t="str">
        <f>IFERROR(VLOOKUP(B44,[66]工程研发事业部人员名单!B:D,3,0),"")</f>
        <v>总体室</v>
      </c>
      <c r="E44" s="73" t="s">
        <v>328</v>
      </c>
      <c r="F44" s="52">
        <f t="shared" si="1"/>
        <v>140</v>
      </c>
      <c r="G44" s="53"/>
      <c r="H44" s="53"/>
      <c r="I44" s="72">
        <v>140</v>
      </c>
      <c r="J44" s="53"/>
      <c r="K44" s="57" t="s">
        <v>329</v>
      </c>
      <c r="L44" s="57" t="s">
        <v>330</v>
      </c>
      <c r="M44" s="59" t="s">
        <v>337</v>
      </c>
      <c r="N44" s="58" t="str">
        <f>VLOOKUP(E44,订单号!B:C,2,0)</f>
        <v>YZ40000419</v>
      </c>
      <c r="O44" s="35" t="e">
        <f>VLOOKUP(C44,领导干部!B:B,1,0)</f>
        <v>#N/A</v>
      </c>
      <c r="Q44" s="118" t="s">
        <v>338</v>
      </c>
      <c r="R44">
        <v>170</v>
      </c>
      <c r="S44">
        <f t="array" ref="S44">VLOOKUP(Q44&amp;R44,IF({1,0},$B$2:$B$330&amp;$F$2:$F$330,$C$2:$C$330),2,)</f>
        <v>52156</v>
      </c>
      <c r="T44" t="str">
        <f t="array" ref="T44">VLOOKUP(Q44&amp;R44,IF({1,0},$B$2:$B$330&amp;$F$2:$F$330,$D$2:$D$330),2,)</f>
        <v>系统室</v>
      </c>
      <c r="U44" s="35" t="str">
        <f t="array" ref="U44">VLOOKUP(Q44&amp;R44,IF({1,0},$B$2:$B$330&amp;$F$2:$F$330,$E$2:$E$330),2,)</f>
        <v>C919基本型设计（2025年上飞院）</v>
      </c>
      <c r="V44" s="35" t="str">
        <f t="array" ref="V44">VLOOKUP(Q44&amp;R44,IF({1,0},$B$2:$B$330&amp;$F$2:$F$330,$N$2:$N$330),2,)</f>
        <v>YZ40000419</v>
      </c>
    </row>
    <row r="45" s="35" customFormat="1" customHeight="1" spans="1:22">
      <c r="A45" s="47">
        <f t="shared" si="0"/>
        <v>44</v>
      </c>
      <c r="B45" s="48" t="s">
        <v>339</v>
      </c>
      <c r="C45" s="49">
        <f>IFERROR(VLOOKUP(B45,[66]工程研发事业部人员名单!B:D,2,0),"")</f>
        <v>50874</v>
      </c>
      <c r="D45" s="50" t="str">
        <f>IFERROR(VLOOKUP(B45,[66]工程研发事业部人员名单!B:D,3,0),"")</f>
        <v>总体室</v>
      </c>
      <c r="E45" s="73" t="s">
        <v>328</v>
      </c>
      <c r="F45" s="52">
        <f t="shared" si="1"/>
        <v>140</v>
      </c>
      <c r="G45" s="53"/>
      <c r="H45" s="53"/>
      <c r="I45" s="72">
        <v>140</v>
      </c>
      <c r="J45" s="53"/>
      <c r="K45" s="57" t="s">
        <v>329</v>
      </c>
      <c r="L45" s="57" t="s">
        <v>330</v>
      </c>
      <c r="M45" s="59" t="s">
        <v>340</v>
      </c>
      <c r="N45" s="58" t="str">
        <f>VLOOKUP(E45,订单号!B:C,2,0)</f>
        <v>YZ40000419</v>
      </c>
      <c r="O45" s="35" t="e">
        <f>VLOOKUP(C45,领导干部!B:B,1,0)</f>
        <v>#N/A</v>
      </c>
      <c r="Q45" s="118" t="s">
        <v>341</v>
      </c>
      <c r="R45">
        <v>191</v>
      </c>
      <c r="S45">
        <f t="array" ref="S45">VLOOKUP(Q45&amp;R45,IF({1,0},$B$2:$B$330&amp;$F$2:$F$330,$C$2:$C$330),2,)</f>
        <v>51793</v>
      </c>
      <c r="T45" t="str">
        <f t="array" ref="T45">VLOOKUP(Q45&amp;R45,IF({1,0},$B$2:$B$330&amp;$F$2:$F$330,$D$2:$D$330),2,)</f>
        <v>强度室</v>
      </c>
      <c r="U45" s="35" t="str">
        <f t="array" ref="U45">VLOOKUP(Q45&amp;R45,IF({1,0},$B$2:$B$330&amp;$F$2:$F$330,$E$2:$E$330),2,)</f>
        <v>WH1项目结构强度综合</v>
      </c>
      <c r="V45" s="35" t="str">
        <f t="array" ref="V45">VLOOKUP(Q45&amp;R45,IF({1,0},$B$2:$B$330&amp;$F$2:$F$330,$N$2:$N$330),2,)</f>
        <v>YZ-RD202428</v>
      </c>
    </row>
    <row r="46" s="35" customFormat="1" customHeight="1" spans="1:22">
      <c r="A46" s="47">
        <f t="shared" si="0"/>
        <v>45</v>
      </c>
      <c r="B46" s="48" t="s">
        <v>342</v>
      </c>
      <c r="C46" s="49">
        <f>IFERROR(VLOOKUP(B46,[66]工程研发事业部人员名单!B:D,2,0),"")</f>
        <v>50702</v>
      </c>
      <c r="D46" s="50" t="str">
        <f>IFERROR(VLOOKUP(B46,[66]工程研发事业部人员名单!B:D,3,0),"")</f>
        <v>总体室</v>
      </c>
      <c r="E46" s="73" t="s">
        <v>328</v>
      </c>
      <c r="F46" s="52">
        <f t="shared" si="1"/>
        <v>20</v>
      </c>
      <c r="G46" s="53"/>
      <c r="H46" s="53"/>
      <c r="I46" s="72">
        <v>20</v>
      </c>
      <c r="J46" s="53"/>
      <c r="K46" s="57" t="s">
        <v>329</v>
      </c>
      <c r="L46" s="57" t="s">
        <v>330</v>
      </c>
      <c r="M46" s="59" t="s">
        <v>343</v>
      </c>
      <c r="N46" s="58" t="str">
        <f>VLOOKUP(E46,订单号!B:C,2,0)</f>
        <v>YZ40000419</v>
      </c>
      <c r="O46" s="35" t="e">
        <f>VLOOKUP(C46,领导干部!B:B,1,0)</f>
        <v>#N/A</v>
      </c>
      <c r="Q46" s="118" t="s">
        <v>339</v>
      </c>
      <c r="R46">
        <v>140</v>
      </c>
      <c r="S46">
        <f t="array" ref="S46">VLOOKUP(Q46&amp;R46,IF({1,0},$B$2:$B$330&amp;$F$2:$F$330,$C$2:$C$330),2,)</f>
        <v>50874</v>
      </c>
      <c r="T46" t="str">
        <f t="array" ref="T46">VLOOKUP(Q46&amp;R46,IF({1,0},$B$2:$B$330&amp;$F$2:$F$330,$D$2:$D$330),2,)</f>
        <v>总体室</v>
      </c>
      <c r="U46" s="35" t="str">
        <f t="array" ref="U46">VLOOKUP(Q46&amp;R46,IF({1,0},$B$2:$B$330&amp;$F$2:$F$330,$E$2:$E$330),2,)</f>
        <v>C919基本型设计（2025年上飞院）</v>
      </c>
      <c r="V46" s="35" t="str">
        <f t="array" ref="V46">VLOOKUP(Q46&amp;R46,IF({1,0},$B$2:$B$330&amp;$F$2:$F$330,$N$2:$N$330),2,)</f>
        <v>YZ40000419</v>
      </c>
    </row>
    <row r="47" s="35" customFormat="1" customHeight="1" spans="1:22">
      <c r="A47" s="47">
        <f t="shared" si="0"/>
        <v>46</v>
      </c>
      <c r="B47" s="48" t="s">
        <v>344</v>
      </c>
      <c r="C47" s="49">
        <f>IFERROR(VLOOKUP(B47,[66]工程研发事业部人员名单!B:D,2,0),"")</f>
        <v>51591</v>
      </c>
      <c r="D47" s="50" t="str">
        <f>IFERROR(VLOOKUP(B47,[66]工程研发事业部人员名单!B:D,3,0),"")</f>
        <v>总体室</v>
      </c>
      <c r="E47" s="73" t="s">
        <v>328</v>
      </c>
      <c r="F47" s="52">
        <f t="shared" si="1"/>
        <v>140</v>
      </c>
      <c r="G47" s="53"/>
      <c r="H47" s="53"/>
      <c r="I47" s="72">
        <v>140</v>
      </c>
      <c r="J47" s="53"/>
      <c r="K47" s="57" t="s">
        <v>329</v>
      </c>
      <c r="L47" s="57" t="s">
        <v>330</v>
      </c>
      <c r="M47" s="59" t="s">
        <v>345</v>
      </c>
      <c r="N47" s="58" t="str">
        <f>VLOOKUP(E47,订单号!B:C,2,0)</f>
        <v>YZ40000419</v>
      </c>
      <c r="O47" s="35" t="e">
        <f>VLOOKUP(C47,领导干部!B:B,1,0)</f>
        <v>#N/A</v>
      </c>
      <c r="Q47" s="118" t="s">
        <v>346</v>
      </c>
      <c r="R47">
        <v>200</v>
      </c>
      <c r="S47">
        <f t="array" ref="S47">VLOOKUP(Q47&amp;R47,IF({1,0},$B$2:$B$330&amp;$F$2:$F$330,$C$2:$C$330),2,)</f>
        <v>52130</v>
      </c>
      <c r="T47" t="str">
        <f t="array" ref="T47">VLOOKUP(Q47&amp;R47,IF({1,0},$B$2:$B$330&amp;$F$2:$F$330,$D$2:$D$330),2,)</f>
        <v>强度室</v>
      </c>
      <c r="U47" s="35" t="str">
        <f t="array" ref="U47">VLOOKUP(Q47&amp;R47,IF({1,0},$B$2:$B$330&amp;$F$2:$F$330,$E$2:$E$330),2,)</f>
        <v>C919基本型设计（2025年上飞院）</v>
      </c>
      <c r="V47" s="35" t="str">
        <f t="array" ref="V47">VLOOKUP(Q47&amp;R47,IF({1,0},$B$2:$B$330&amp;$F$2:$F$330,$N$2:$N$330),2,)</f>
        <v>YZ40000419</v>
      </c>
    </row>
    <row r="48" s="35" customFormat="1" customHeight="1" spans="1:22">
      <c r="A48" s="47">
        <f t="shared" si="0"/>
        <v>47</v>
      </c>
      <c r="B48" s="48" t="s">
        <v>347</v>
      </c>
      <c r="C48" s="49">
        <f>IFERROR(VLOOKUP(B48,[66]工程研发事业部人员名单!B:D,2,0),"")</f>
        <v>51589</v>
      </c>
      <c r="D48" s="50" t="str">
        <f>IFERROR(VLOOKUP(B48,[66]工程研发事业部人员名单!B:D,3,0),"")</f>
        <v>强度室</v>
      </c>
      <c r="E48" s="73" t="s">
        <v>328</v>
      </c>
      <c r="F48" s="52">
        <f t="shared" si="1"/>
        <v>243</v>
      </c>
      <c r="G48" s="53"/>
      <c r="H48" s="53"/>
      <c r="I48" s="72">
        <v>243</v>
      </c>
      <c r="J48" s="53"/>
      <c r="K48" s="57" t="s">
        <v>277</v>
      </c>
      <c r="L48" s="59" t="s">
        <v>348</v>
      </c>
      <c r="M48" s="59" t="s">
        <v>349</v>
      </c>
      <c r="N48" s="58" t="str">
        <f>VLOOKUP(E48,订单号!B:C,2,0)</f>
        <v>YZ40000419</v>
      </c>
      <c r="O48" s="35" t="e">
        <f>VLOOKUP(C48,领导干部!B:B,1,0)</f>
        <v>#N/A</v>
      </c>
      <c r="Q48" s="118" t="s">
        <v>292</v>
      </c>
      <c r="R48">
        <v>59</v>
      </c>
      <c r="S48">
        <f t="array" ref="S48">VLOOKUP(Q48&amp;R48,IF({1,0},$B$2:$B$330&amp;$F$2:$F$330,$C$2:$C$330),2,)</f>
        <v>51385</v>
      </c>
      <c r="T48" t="str">
        <f t="array" ref="T48">VLOOKUP(Q48&amp;R48,IF({1,0},$B$2:$B$330&amp;$F$2:$F$330,$D$2:$D$330),2,)</f>
        <v>系统室</v>
      </c>
      <c r="U48" s="35" t="str">
        <f t="array" ref="U48">VLOOKUP(Q48&amp;R48,IF({1,0},$B$2:$B$330&amp;$F$2:$F$330,$E$2:$E$330),2,)</f>
        <v>C919手册优化（2025年复材中心）</v>
      </c>
      <c r="V48" s="35" t="str">
        <f t="array" ref="V48">VLOOKUP(Q48&amp;R48,IF({1,0},$B$2:$B$330&amp;$F$2:$F$330,$N$2:$N$330),2,)</f>
        <v>YZ40000416</v>
      </c>
    </row>
    <row r="49" s="35" customFormat="1" customHeight="1" spans="1:22">
      <c r="A49" s="47">
        <f t="shared" si="0"/>
        <v>48</v>
      </c>
      <c r="B49" s="48" t="s">
        <v>346</v>
      </c>
      <c r="C49" s="49">
        <f>IFERROR(VLOOKUP(B49,[66]工程研发事业部人员名单!B:D,2,0),"")</f>
        <v>52130</v>
      </c>
      <c r="D49" s="50" t="str">
        <f>IFERROR(VLOOKUP(B49,[66]工程研发事业部人员名单!B:D,3,0),"")</f>
        <v>强度室</v>
      </c>
      <c r="E49" s="73" t="s">
        <v>328</v>
      </c>
      <c r="F49" s="52">
        <f t="shared" si="1"/>
        <v>200</v>
      </c>
      <c r="G49" s="53"/>
      <c r="H49" s="53"/>
      <c r="I49" s="72">
        <v>200</v>
      </c>
      <c r="J49" s="53"/>
      <c r="K49" s="57" t="s">
        <v>277</v>
      </c>
      <c r="L49" s="59" t="s">
        <v>348</v>
      </c>
      <c r="M49" s="59" t="s">
        <v>350</v>
      </c>
      <c r="N49" s="58" t="str">
        <f>VLOOKUP(E49,订单号!B:C,2,0)</f>
        <v>YZ40000419</v>
      </c>
      <c r="O49" s="35" t="e">
        <f>VLOOKUP(C49,领导干部!B:B,1,0)</f>
        <v>#N/A</v>
      </c>
      <c r="Q49" s="118" t="s">
        <v>351</v>
      </c>
      <c r="R49">
        <v>155</v>
      </c>
      <c r="S49">
        <f t="array" ref="S49">VLOOKUP(Q49&amp;R49,IF({1,0},$B$2:$B$330&amp;$F$2:$F$330,$C$2:$C$330),2,)</f>
        <v>51190</v>
      </c>
      <c r="T49" t="str">
        <f t="array" ref="T49">VLOOKUP(Q49&amp;R49,IF({1,0},$B$2:$B$330&amp;$F$2:$F$330,$D$2:$D$330),2,)</f>
        <v>结构二室</v>
      </c>
      <c r="U49" s="35" t="str">
        <f t="array" ref="U49">VLOOKUP(Q49&amp;R49,IF({1,0},$B$2:$B$330&amp;$F$2:$F$330,$E$2:$E$330),2,)</f>
        <v>WH1项目结构强度综合</v>
      </c>
      <c r="V49" s="35" t="str">
        <f t="array" ref="V49">VLOOKUP(Q49&amp;R49,IF({1,0},$B$2:$B$330&amp;$F$2:$F$330,$N$2:$N$330),2,)</f>
        <v>YZ-RD202428</v>
      </c>
    </row>
    <row r="50" s="35" customFormat="1" customHeight="1" spans="1:22">
      <c r="A50" s="47">
        <f t="shared" si="0"/>
        <v>49</v>
      </c>
      <c r="B50" s="48" t="s">
        <v>338</v>
      </c>
      <c r="C50" s="49">
        <f>IFERROR(VLOOKUP(B50,[66]工程研发事业部人员名单!B:D,2,0),"")</f>
        <v>52156</v>
      </c>
      <c r="D50" s="50" t="str">
        <f>IFERROR(VLOOKUP(B50,[66]工程研发事业部人员名单!B:D,3,0),"")</f>
        <v>系统室</v>
      </c>
      <c r="E50" s="73" t="s">
        <v>328</v>
      </c>
      <c r="F50" s="52">
        <f t="shared" si="1"/>
        <v>170</v>
      </c>
      <c r="G50" s="53"/>
      <c r="H50" s="53"/>
      <c r="I50" s="72">
        <v>170</v>
      </c>
      <c r="J50" s="53"/>
      <c r="K50" s="57" t="s">
        <v>277</v>
      </c>
      <c r="L50" s="59" t="s">
        <v>348</v>
      </c>
      <c r="M50" s="59" t="s">
        <v>352</v>
      </c>
      <c r="N50" s="58" t="str">
        <f>VLOOKUP(E50,订单号!B:C,2,0)</f>
        <v>YZ40000419</v>
      </c>
      <c r="O50" s="35" t="e">
        <f>VLOOKUP(C50,领导干部!B:B,1,0)</f>
        <v>#N/A</v>
      </c>
      <c r="Q50" s="118" t="s">
        <v>353</v>
      </c>
      <c r="R50">
        <v>157</v>
      </c>
      <c r="S50">
        <f t="array" ref="S50">VLOOKUP(Q50&amp;R50,IF({1,0},$B$2:$B$330&amp;$F$2:$F$330,$C$2:$C$330),2,)</f>
        <v>51395</v>
      </c>
      <c r="T50" t="str">
        <f t="array" ref="T50">VLOOKUP(Q50&amp;R50,IF({1,0},$B$2:$B$330&amp;$F$2:$F$330,$D$2:$D$330),2,)</f>
        <v>联络工程室</v>
      </c>
      <c r="U50" s="35" t="str">
        <f t="array" ref="U50">VLOOKUP(Q50&amp;R50,IF({1,0},$B$2:$B$330&amp;$F$2:$F$330,$E$2:$E$330),2,)</f>
        <v>工程支持</v>
      </c>
      <c r="V50" s="35">
        <f t="array" ref="V50">VLOOKUP(Q50&amp;R50,IF({1,0},$B$2:$B$330&amp;$F$2:$F$330,$N$2:$N$330),2,)</f>
        <v>10502</v>
      </c>
    </row>
    <row r="51" s="35" customFormat="1" customHeight="1" spans="1:22">
      <c r="A51" s="47">
        <f t="shared" si="0"/>
        <v>50</v>
      </c>
      <c r="B51" s="48" t="s">
        <v>313</v>
      </c>
      <c r="C51" s="49">
        <f>IFERROR(VLOOKUP(B51,[66]工程研发事业部人员名单!B:D,2,0),"")</f>
        <v>23524</v>
      </c>
      <c r="D51" s="50" t="str">
        <f>IFERROR(VLOOKUP(B51,[66]工程研发事业部人员名单!B:D,3,0),"")</f>
        <v>强度室</v>
      </c>
      <c r="E51" s="73" t="s">
        <v>328</v>
      </c>
      <c r="F51" s="52">
        <f t="shared" si="1"/>
        <v>100</v>
      </c>
      <c r="G51" s="53"/>
      <c r="H51" s="53"/>
      <c r="I51" s="72">
        <v>100</v>
      </c>
      <c r="J51" s="53"/>
      <c r="K51" s="57" t="s">
        <v>277</v>
      </c>
      <c r="L51" s="59" t="s">
        <v>348</v>
      </c>
      <c r="M51" s="59" t="s">
        <v>354</v>
      </c>
      <c r="N51" s="58" t="str">
        <f>VLOOKUP(E51,订单号!B:C,2,0)</f>
        <v>YZ40000419</v>
      </c>
      <c r="O51" s="35" t="e">
        <f>VLOOKUP(C51,领导干部!B:B,1,0)</f>
        <v>#N/A</v>
      </c>
      <c r="Q51" s="118" t="s">
        <v>355</v>
      </c>
      <c r="R51">
        <v>210</v>
      </c>
      <c r="S51">
        <f t="array" ref="S51">VLOOKUP(Q51&amp;R51,IF({1,0},$B$2:$B$330&amp;$F$2:$F$330,$C$2:$C$330),2,)</f>
        <v>51844</v>
      </c>
      <c r="T51" t="str">
        <f t="array" ref="T51">VLOOKUP(Q51&amp;R51,IF({1,0},$B$2:$B$330&amp;$F$2:$F$330,$D$2:$D$330),2,)</f>
        <v>结构一室</v>
      </c>
      <c r="U51" s="35" t="str">
        <f t="array" ref="U51">VLOOKUP(Q51&amp;R51,IF({1,0},$B$2:$B$330&amp;$F$2:$F$330,$E$2:$E$330),2,)</f>
        <v>C929设计（2025年上飞院）</v>
      </c>
      <c r="V51" s="35" t="str">
        <f t="array" ref="V51">VLOOKUP(Q51&amp;R51,IF({1,0},$B$2:$B$330&amp;$F$2:$F$330,$N$2:$N$330),2,)</f>
        <v>YZ40000415</v>
      </c>
    </row>
    <row r="52" s="35" customFormat="1" customHeight="1" spans="1:22">
      <c r="A52" s="47">
        <f t="shared" si="0"/>
        <v>51</v>
      </c>
      <c r="B52" s="48" t="s">
        <v>321</v>
      </c>
      <c r="C52" s="49">
        <f>IFERROR(VLOOKUP(B52,[66]工程研发事业部人员名单!B:D,2,0),"")</f>
        <v>51430</v>
      </c>
      <c r="D52" s="50" t="str">
        <f>IFERROR(VLOOKUP(B52,[66]工程研发事业部人员名单!B:D,3,0),"")</f>
        <v>系统室</v>
      </c>
      <c r="E52" s="73" t="s">
        <v>328</v>
      </c>
      <c r="F52" s="52">
        <f t="shared" si="1"/>
        <v>180</v>
      </c>
      <c r="G52" s="53"/>
      <c r="H52" s="53"/>
      <c r="I52" s="72">
        <v>180</v>
      </c>
      <c r="J52" s="53"/>
      <c r="K52" s="57" t="s">
        <v>277</v>
      </c>
      <c r="L52" s="59" t="s">
        <v>348</v>
      </c>
      <c r="M52" s="59" t="s">
        <v>356</v>
      </c>
      <c r="N52" s="58" t="str">
        <f>VLOOKUP(E52,订单号!B:C,2,0)</f>
        <v>YZ40000419</v>
      </c>
      <c r="O52" s="35" t="e">
        <f>VLOOKUP(C52,领导干部!B:B,1,0)</f>
        <v>#N/A</v>
      </c>
      <c r="Q52" s="118" t="s">
        <v>357</v>
      </c>
      <c r="R52">
        <v>155</v>
      </c>
      <c r="S52">
        <f t="array" ref="S52">VLOOKUP(Q52&amp;R52,IF({1,0},$B$2:$B$330&amp;$F$2:$F$330,$C$2:$C$330),2,)</f>
        <v>51781</v>
      </c>
      <c r="T52" t="str">
        <f t="array" ref="T52">VLOOKUP(Q52&amp;R52,IF({1,0},$B$2:$B$330&amp;$F$2:$F$330,$D$2:$D$330),2,)</f>
        <v>结构一室</v>
      </c>
      <c r="U52" s="35" t="str">
        <f t="array" ref="U52">VLOOKUP(Q52&amp;R52,IF({1,0},$B$2:$B$330&amp;$F$2:$F$330,$E$2:$E$330),2,)</f>
        <v>WH1项目结构强度综合</v>
      </c>
      <c r="V52" s="35" t="str">
        <f t="array" ref="V52">VLOOKUP(Q52&amp;R52,IF({1,0},$B$2:$B$330&amp;$F$2:$F$330,$N$2:$N$330),2,)</f>
        <v>YZ-RD202428</v>
      </c>
    </row>
    <row r="53" s="35" customFormat="1" customHeight="1" spans="1:22">
      <c r="A53" s="47">
        <f t="shared" si="0"/>
        <v>52</v>
      </c>
      <c r="B53" s="48" t="s">
        <v>358</v>
      </c>
      <c r="C53" s="49">
        <f>IFERROR(VLOOKUP(B53,[66]工程研发事业部人员名单!B:D,2,0),"")</f>
        <v>51387</v>
      </c>
      <c r="D53" s="50" t="str">
        <f>IFERROR(VLOOKUP(B53,[66]工程研发事业部人员名单!B:D,3,0),"")</f>
        <v>系统室</v>
      </c>
      <c r="E53" s="73" t="s">
        <v>328</v>
      </c>
      <c r="F53" s="52">
        <f t="shared" si="1"/>
        <v>190</v>
      </c>
      <c r="G53" s="53"/>
      <c r="H53" s="53"/>
      <c r="I53" s="72">
        <v>190</v>
      </c>
      <c r="J53" s="53"/>
      <c r="K53" s="57" t="s">
        <v>277</v>
      </c>
      <c r="L53" s="59" t="s">
        <v>348</v>
      </c>
      <c r="M53" s="59" t="s">
        <v>359</v>
      </c>
      <c r="N53" s="58" t="str">
        <f>VLOOKUP(E53,订单号!B:C,2,0)</f>
        <v>YZ40000419</v>
      </c>
      <c r="O53" s="35" t="e">
        <f>VLOOKUP(C53,领导干部!B:B,1,0)</f>
        <v>#N/A</v>
      </c>
      <c r="Q53" s="118" t="s">
        <v>322</v>
      </c>
      <c r="R53">
        <v>140</v>
      </c>
      <c r="S53">
        <f t="array" ref="S53">VLOOKUP(Q53&amp;R53,IF({1,0},$B$2:$B$330&amp;$F$2:$F$330,$C$2:$C$330),2,)</f>
        <v>51186</v>
      </c>
      <c r="T53" t="str">
        <f t="array" ref="T53">VLOOKUP(Q53&amp;R53,IF({1,0},$B$2:$B$330&amp;$F$2:$F$330,$D$2:$D$330),2,)</f>
        <v>结构二室</v>
      </c>
      <c r="U53" s="35" t="str">
        <f t="array" ref="U53">VLOOKUP(Q53&amp;R53,IF({1,0},$B$2:$B$330&amp;$F$2:$F$330,$E$2:$E$330),2,)</f>
        <v>WH1项目结构强度综合</v>
      </c>
      <c r="V53" s="35" t="str">
        <f t="array" ref="V53">VLOOKUP(Q53&amp;R53,IF({1,0},$B$2:$B$330&amp;$F$2:$F$330,$N$2:$N$330),2,)</f>
        <v>YZ-RD202428</v>
      </c>
    </row>
    <row r="54" s="35" customFormat="1" customHeight="1" spans="1:22">
      <c r="A54" s="47">
        <f t="shared" si="0"/>
        <v>53</v>
      </c>
      <c r="B54" s="48" t="s">
        <v>360</v>
      </c>
      <c r="C54" s="49">
        <f>IFERROR(VLOOKUP(B54,[66]工程研发事业部人员名单!B:D,2,0),"")</f>
        <v>50713</v>
      </c>
      <c r="D54" s="50" t="str">
        <f>IFERROR(VLOOKUP(B54,[66]工程研发事业部人员名单!B:D,3,0),"")</f>
        <v>系统室</v>
      </c>
      <c r="E54" s="73" t="s">
        <v>328</v>
      </c>
      <c r="F54" s="52">
        <f t="shared" si="1"/>
        <v>190</v>
      </c>
      <c r="G54" s="53"/>
      <c r="H54" s="53"/>
      <c r="I54" s="72">
        <v>190</v>
      </c>
      <c r="J54" s="53"/>
      <c r="K54" s="57" t="s">
        <v>277</v>
      </c>
      <c r="L54" s="59" t="s">
        <v>348</v>
      </c>
      <c r="M54" s="59" t="s">
        <v>361</v>
      </c>
      <c r="N54" s="58" t="str">
        <f>VLOOKUP(E54,订单号!B:C,2,0)</f>
        <v>YZ40000419</v>
      </c>
      <c r="O54" s="35" t="e">
        <f>VLOOKUP(C54,领导干部!B:B,1,0)</f>
        <v>#N/A</v>
      </c>
      <c r="Q54" s="118" t="s">
        <v>360</v>
      </c>
      <c r="R54">
        <v>190</v>
      </c>
      <c r="S54">
        <f t="array" ref="S54">VLOOKUP(Q54&amp;R54,IF({1,0},$B$2:$B$330&amp;$F$2:$F$330,$C$2:$C$330),2,)</f>
        <v>50713</v>
      </c>
      <c r="T54" t="str">
        <f t="array" ref="T54">VLOOKUP(Q54&amp;R54,IF({1,0},$B$2:$B$330&amp;$F$2:$F$330,$D$2:$D$330),2,)</f>
        <v>系统室</v>
      </c>
      <c r="U54" s="35" t="str">
        <f t="array" ref="U54">VLOOKUP(Q54&amp;R54,IF({1,0},$B$2:$B$330&amp;$F$2:$F$330,$E$2:$E$330),2,)</f>
        <v>C919基本型设计（2025年上飞院）</v>
      </c>
      <c r="V54" s="35" t="str">
        <f t="array" ref="V54">VLOOKUP(Q54&amp;R54,IF({1,0},$B$2:$B$330&amp;$F$2:$F$330,$N$2:$N$330),2,)</f>
        <v>YZ40000419</v>
      </c>
    </row>
    <row r="55" s="35" customFormat="1" customHeight="1" spans="1:22">
      <c r="A55" s="47">
        <f t="shared" si="0"/>
        <v>54</v>
      </c>
      <c r="B55" s="48" t="s">
        <v>311</v>
      </c>
      <c r="C55" s="49">
        <f>IFERROR(VLOOKUP(B55,[66]工程研发事业部人员名单!B:D,2,0),"")</f>
        <v>51435</v>
      </c>
      <c r="D55" s="50" t="str">
        <f>IFERROR(VLOOKUP(B55,[66]工程研发事业部人员名单!B:D,3,0),"")</f>
        <v>系统室</v>
      </c>
      <c r="E55" s="73" t="s">
        <v>328</v>
      </c>
      <c r="F55" s="52">
        <f t="shared" si="1"/>
        <v>120</v>
      </c>
      <c r="G55" s="53"/>
      <c r="H55" s="53"/>
      <c r="I55" s="72">
        <v>120</v>
      </c>
      <c r="J55" s="53"/>
      <c r="K55" s="57" t="s">
        <v>277</v>
      </c>
      <c r="L55" s="59" t="s">
        <v>348</v>
      </c>
      <c r="M55" s="59" t="s">
        <v>362</v>
      </c>
      <c r="N55" s="58" t="str">
        <f>VLOOKUP(E55,订单号!B:C,2,0)</f>
        <v>YZ40000419</v>
      </c>
      <c r="O55" s="35" t="e">
        <f>VLOOKUP(C55,领导干部!B:B,1,0)</f>
        <v>#N/A</v>
      </c>
      <c r="Q55" s="118" t="s">
        <v>249</v>
      </c>
      <c r="R55">
        <v>90</v>
      </c>
      <c r="S55">
        <f t="array" ref="S55">VLOOKUP(Q55&amp;R55,IF({1,0},$B$2:$B$330&amp;$F$2:$F$330,$C$2:$C$330),2,)</f>
        <v>51160</v>
      </c>
      <c r="T55" t="str">
        <f t="array" ref="T55">VLOOKUP(Q55&amp;R55,IF({1,0},$B$2:$B$330&amp;$F$2:$F$330,$D$2:$D$330),2,)</f>
        <v>综合技术室</v>
      </c>
      <c r="U55" s="35" t="str">
        <f t="array" ref="U55">VLOOKUP(Q55&amp;R55,IF({1,0},$B$2:$B$330&amp;$F$2:$F$330,$E$2:$E$330),2,)</f>
        <v>WH1项目结构强度综合</v>
      </c>
      <c r="V55" s="35" t="str">
        <f t="array" ref="V55">VLOOKUP(Q55&amp;R55,IF({1,0},$B$2:$B$330&amp;$F$2:$F$330,$N$2:$N$330),2,)</f>
        <v>YZ-RD202428</v>
      </c>
    </row>
    <row r="56" s="35" customFormat="1" customHeight="1" spans="1:22">
      <c r="A56" s="47">
        <f t="shared" si="0"/>
        <v>55</v>
      </c>
      <c r="B56" s="48" t="s">
        <v>58</v>
      </c>
      <c r="C56" s="49">
        <f>IFERROR(VLOOKUP(B56,[66]工程研发事业部人员名单!B:D,2,0),"")</f>
        <v>53422</v>
      </c>
      <c r="D56" s="50" t="str">
        <f>IFERROR(VLOOKUP(B56,[66]工程研发事业部人员名单!B:D,3,0),"")</f>
        <v>强度室</v>
      </c>
      <c r="E56" s="73" t="s">
        <v>328</v>
      </c>
      <c r="F56" s="52">
        <f t="shared" si="1"/>
        <v>170</v>
      </c>
      <c r="G56" s="53"/>
      <c r="H56" s="53"/>
      <c r="I56" s="72">
        <v>170</v>
      </c>
      <c r="J56" s="53"/>
      <c r="K56" s="57" t="s">
        <v>277</v>
      </c>
      <c r="L56" s="59" t="s">
        <v>348</v>
      </c>
      <c r="M56" s="59" t="s">
        <v>363</v>
      </c>
      <c r="N56" s="58" t="str">
        <f>VLOOKUP(E56,订单号!B:C,2,0)</f>
        <v>YZ40000419</v>
      </c>
      <c r="O56" s="35" t="e">
        <f>VLOOKUP(C56,领导干部!B:B,1,0)</f>
        <v>#N/A</v>
      </c>
      <c r="Q56" s="118" t="s">
        <v>364</v>
      </c>
      <c r="R56">
        <v>180</v>
      </c>
      <c r="S56">
        <f t="array" ref="S56">VLOOKUP(Q56&amp;R56,IF({1,0},$B$2:$B$330&amp;$F$2:$F$330,$C$2:$C$330),2,)</f>
        <v>52236</v>
      </c>
      <c r="T56" t="str">
        <f t="array" ref="T56">VLOOKUP(Q56&amp;R56,IF({1,0},$B$2:$B$330&amp;$F$2:$F$330,$D$2:$D$330),2,)</f>
        <v>结构一室</v>
      </c>
      <c r="U56" s="35" t="str">
        <f t="array" ref="U56">VLOOKUP(Q56&amp;R56,IF({1,0},$B$2:$B$330&amp;$F$2:$F$330,$E$2:$E$330),2,)</f>
        <v>C929设计（2025年上飞院）</v>
      </c>
      <c r="V56" s="35" t="str">
        <f t="array" ref="V56">VLOOKUP(Q56&amp;R56,IF({1,0},$B$2:$B$330&amp;$F$2:$F$330,$N$2:$N$330),2,)</f>
        <v>YZ40000415</v>
      </c>
    </row>
    <row r="57" s="35" customFormat="1" customHeight="1" spans="1:22">
      <c r="A57" s="47">
        <f t="shared" si="0"/>
        <v>56</v>
      </c>
      <c r="B57" s="48" t="s">
        <v>275</v>
      </c>
      <c r="C57" s="49">
        <f>IFERROR(VLOOKUP(B57,[66]工程研发事业部人员名单!B:D,2,0),"")</f>
        <v>26766</v>
      </c>
      <c r="D57" s="50" t="str">
        <f>IFERROR(VLOOKUP(B57,[66]工程研发事业部人员名单!B:D,3,0),"")</f>
        <v>强度室</v>
      </c>
      <c r="E57" s="73" t="s">
        <v>328</v>
      </c>
      <c r="F57" s="52">
        <f t="shared" si="1"/>
        <v>131</v>
      </c>
      <c r="G57" s="53"/>
      <c r="H57" s="53"/>
      <c r="I57" s="72">
        <v>131</v>
      </c>
      <c r="J57" s="53"/>
      <c r="K57" s="57" t="s">
        <v>277</v>
      </c>
      <c r="L57" s="59" t="s">
        <v>348</v>
      </c>
      <c r="M57" s="59" t="s">
        <v>365</v>
      </c>
      <c r="N57" s="58" t="str">
        <f>VLOOKUP(E57,订单号!B:C,2,0)</f>
        <v>YZ40000419</v>
      </c>
      <c r="O57" s="35" t="e">
        <f>VLOOKUP(C57,领导干部!B:B,1,0)</f>
        <v>#N/A</v>
      </c>
      <c r="Q57" s="118" t="s">
        <v>319</v>
      </c>
      <c r="R57">
        <v>200</v>
      </c>
      <c r="S57">
        <f t="array" ref="S57">VLOOKUP(Q57&amp;R57,IF({1,0},$B$2:$B$330&amp;$F$2:$F$330,$C$2:$C$330),2,)</f>
        <v>51642</v>
      </c>
      <c r="T57" t="str">
        <f t="array" ref="T57">VLOOKUP(Q57&amp;R57,IF({1,0},$B$2:$B$330&amp;$F$2:$F$330,$D$2:$D$330),2,)</f>
        <v>结构二室</v>
      </c>
      <c r="U57" s="35" t="str">
        <f t="array" ref="U57">VLOOKUP(Q57&amp;R57,IF({1,0},$B$2:$B$330&amp;$F$2:$F$330,$E$2:$E$330),2,)</f>
        <v>C929设计（2025年上飞院）</v>
      </c>
      <c r="V57" s="35" t="str">
        <f t="array" ref="V57">VLOOKUP(Q57&amp;R57,IF({1,0},$B$2:$B$330&amp;$F$2:$F$330,$N$2:$N$330),2,)</f>
        <v>YZ40000415</v>
      </c>
    </row>
    <row r="58" s="35" customFormat="1" customHeight="1" spans="1:22">
      <c r="A58" s="47">
        <f t="shared" si="0"/>
        <v>57</v>
      </c>
      <c r="B58" s="54" t="s">
        <v>59</v>
      </c>
      <c r="C58" s="49">
        <f>IFERROR(VLOOKUP(B58,[66]工程研发事业部人员名单!B:D,2,0),"")</f>
        <v>52256</v>
      </c>
      <c r="D58" s="50" t="str">
        <f>IFERROR(VLOOKUP(B58,[66]工程研发事业部人员名单!B:D,3,0),"")</f>
        <v>强度室</v>
      </c>
      <c r="E58" s="73" t="s">
        <v>328</v>
      </c>
      <c r="F58" s="52">
        <f t="shared" si="1"/>
        <v>200</v>
      </c>
      <c r="G58" s="53"/>
      <c r="H58" s="53"/>
      <c r="I58" s="72">
        <v>200</v>
      </c>
      <c r="J58" s="53"/>
      <c r="K58" s="57" t="s">
        <v>277</v>
      </c>
      <c r="L58" s="59" t="s">
        <v>348</v>
      </c>
      <c r="M58" s="59" t="s">
        <v>366</v>
      </c>
      <c r="N58" s="58" t="str">
        <f>VLOOKUP(E58,订单号!B:C,2,0)</f>
        <v>YZ40000419</v>
      </c>
      <c r="O58" s="35" t="e">
        <f>VLOOKUP(C58,领导干部!B:B,1,0)</f>
        <v>#N/A</v>
      </c>
      <c r="Q58" s="118" t="s">
        <v>56</v>
      </c>
      <c r="R58">
        <v>160</v>
      </c>
      <c r="S58">
        <f t="array" ref="S58">VLOOKUP(Q58&amp;R58,IF({1,0},$B$2:$B$330&amp;$F$2:$F$330,$C$2:$C$330),2,)</f>
        <v>52560</v>
      </c>
      <c r="T58" t="str">
        <f t="array" ref="T58">VLOOKUP(Q58&amp;R58,IF({1,0},$B$2:$B$330&amp;$F$2:$F$330,$D$2:$D$330),2,)</f>
        <v>强度室</v>
      </c>
      <c r="U58" s="35" t="str">
        <f t="array" ref="U58">VLOOKUP(Q58&amp;R58,IF({1,0},$B$2:$B$330&amp;$F$2:$F$330,$E$2:$E$330),2,)</f>
        <v>C929设计（2025年上飞院）</v>
      </c>
      <c r="V58" s="35" t="str">
        <f t="array" ref="V58">VLOOKUP(Q58&amp;R58,IF({1,0},$B$2:$B$330&amp;$F$2:$F$330,$N$2:$N$330),2,)</f>
        <v>YZ40000415</v>
      </c>
    </row>
    <row r="59" s="35" customFormat="1" customHeight="1" spans="1:22">
      <c r="A59" s="47">
        <f t="shared" si="0"/>
        <v>58</v>
      </c>
      <c r="B59" s="54" t="s">
        <v>289</v>
      </c>
      <c r="C59" s="49">
        <f>IFERROR(VLOOKUP(B59,[66]工程研发事业部人员名单!B:D,2,0),"")</f>
        <v>22259</v>
      </c>
      <c r="D59" s="50" t="str">
        <f>IFERROR(VLOOKUP(B59,[66]工程研发事业部人员名单!B:D,3,0),"")</f>
        <v>强度室</v>
      </c>
      <c r="E59" s="73" t="s">
        <v>328</v>
      </c>
      <c r="F59" s="52">
        <f t="shared" si="1"/>
        <v>185</v>
      </c>
      <c r="G59" s="53"/>
      <c r="H59" s="53"/>
      <c r="I59" s="75">
        <v>185</v>
      </c>
      <c r="J59" s="60"/>
      <c r="K59" s="57" t="s">
        <v>277</v>
      </c>
      <c r="L59" s="59" t="s">
        <v>348</v>
      </c>
      <c r="M59" s="59" t="s">
        <v>367</v>
      </c>
      <c r="N59" s="58" t="str">
        <f>VLOOKUP(E59,订单号!B:C,2,0)</f>
        <v>YZ40000419</v>
      </c>
      <c r="O59" s="35" t="e">
        <f>VLOOKUP(C59,领导干部!B:B,1,0)</f>
        <v>#N/A</v>
      </c>
      <c r="Q59" s="118" t="s">
        <v>272</v>
      </c>
      <c r="R59">
        <v>100</v>
      </c>
      <c r="S59">
        <f t="array" ref="S59">VLOOKUP(Q59&amp;R59,IF({1,0},$B$2:$B$330&amp;$F$2:$F$330,$C$2:$C$330),2,)</f>
        <v>50730</v>
      </c>
      <c r="T59" t="str">
        <f t="array" ref="T59">VLOOKUP(Q59&amp;R59,IF({1,0},$B$2:$B$330&amp;$F$2:$F$330,$D$2:$D$330),2,)</f>
        <v>结构一室</v>
      </c>
      <c r="U59" s="35" t="str">
        <f t="array" ref="U59">VLOOKUP(Q59&amp;R59,IF({1,0},$B$2:$B$330&amp;$F$2:$F$330,$E$2:$E$330),2,)</f>
        <v>重点工作任务</v>
      </c>
      <c r="V59" s="35">
        <f t="array" ref="V59">VLOOKUP(Q59&amp;R59,IF({1,0},$B$2:$B$330&amp;$F$2:$F$330,$N$2:$N$330),2,)</f>
        <v>0</v>
      </c>
    </row>
    <row r="60" s="35" customFormat="1" customHeight="1" spans="1:22">
      <c r="A60" s="47">
        <f t="shared" si="0"/>
        <v>59</v>
      </c>
      <c r="B60" s="48" t="s">
        <v>324</v>
      </c>
      <c r="C60" s="49">
        <f>IFERROR(VLOOKUP(B60,[66]工程研发事业部人员名单!B:D,2,0),"")</f>
        <v>51860</v>
      </c>
      <c r="D60" s="50" t="str">
        <f>IFERROR(VLOOKUP(B60,[66]工程研发事业部人员名单!B:D,3,0),"")</f>
        <v>总体室</v>
      </c>
      <c r="E60" s="73" t="s">
        <v>328</v>
      </c>
      <c r="F60" s="52">
        <f t="shared" si="1"/>
        <v>200</v>
      </c>
      <c r="G60" s="53"/>
      <c r="H60" s="53"/>
      <c r="I60" s="75">
        <v>200</v>
      </c>
      <c r="J60" s="60"/>
      <c r="K60" s="57" t="s">
        <v>277</v>
      </c>
      <c r="L60" s="59" t="s">
        <v>348</v>
      </c>
      <c r="M60" s="59" t="s">
        <v>368</v>
      </c>
      <c r="N60" s="58" t="str">
        <f>VLOOKUP(E60,订单号!B:C,2,0)</f>
        <v>YZ40000419</v>
      </c>
      <c r="O60" s="35" t="e">
        <f>VLOOKUP(C60,领导干部!B:B,1,0)</f>
        <v>#N/A</v>
      </c>
      <c r="Q60" s="118" t="s">
        <v>369</v>
      </c>
      <c r="R60">
        <v>137.25</v>
      </c>
      <c r="S60">
        <f t="array" ref="S60">VLOOKUP(Q60&amp;R60,IF({1,0},$B$2:$B$330&amp;$F$2:$F$330,$C$2:$C$330),2,)</f>
        <v>51665</v>
      </c>
      <c r="T60" t="str">
        <f t="array" ref="T60">VLOOKUP(Q60&amp;R60,IF({1,0},$B$2:$B$330&amp;$F$2:$F$330,$D$2:$D$330),2,)</f>
        <v>联络工程室</v>
      </c>
      <c r="U60" s="35" t="str">
        <f t="array" ref="U60">VLOOKUP(Q60&amp;R60,IF({1,0},$B$2:$B$330&amp;$F$2:$F$330,$E$2:$E$330),2,)</f>
        <v>工程支持</v>
      </c>
      <c r="V60" s="35">
        <f t="array" ref="V60">VLOOKUP(Q60&amp;R60,IF({1,0},$B$2:$B$330&amp;$F$2:$F$330,$N$2:$N$330),2,)</f>
        <v>10502</v>
      </c>
    </row>
    <row r="61" s="35" customFormat="1" customHeight="1" spans="1:22">
      <c r="A61" s="47">
        <f t="shared" si="0"/>
        <v>60</v>
      </c>
      <c r="B61" s="54" t="s">
        <v>230</v>
      </c>
      <c r="C61" s="49">
        <f>IFERROR(VLOOKUP(B61,[66]工程研发事业部人员名单!B:D,2,0),"")</f>
        <v>50030</v>
      </c>
      <c r="D61" s="50" t="str">
        <f>IFERROR(VLOOKUP(B61,[66]工程研发事业部人员名单!B:D,3,0),"")</f>
        <v>强度室</v>
      </c>
      <c r="E61" s="73" t="s">
        <v>328</v>
      </c>
      <c r="F61" s="52">
        <f t="shared" si="1"/>
        <v>98</v>
      </c>
      <c r="G61" s="53"/>
      <c r="H61" s="53"/>
      <c r="I61" s="72">
        <v>98</v>
      </c>
      <c r="J61" s="53"/>
      <c r="K61" s="57" t="s">
        <v>277</v>
      </c>
      <c r="L61" s="59" t="s">
        <v>348</v>
      </c>
      <c r="M61" s="59" t="s">
        <v>370</v>
      </c>
      <c r="N61" s="58" t="str">
        <f>VLOOKUP(E61,订单号!B:C,2,0)</f>
        <v>YZ40000419</v>
      </c>
      <c r="O61" s="35" t="e">
        <f>VLOOKUP(C61,领导干部!B:B,1,0)</f>
        <v>#N/A</v>
      </c>
      <c r="Q61" s="118" t="s">
        <v>371</v>
      </c>
      <c r="R61">
        <v>150</v>
      </c>
      <c r="S61" t="e">
        <f t="array" ref="S61">VLOOKUP(Q61&amp;R61,IF({1,0},$B$2:$B$330&amp;$F$2:$F$330,$C$2:$C$330),2,)</f>
        <v>#N/A</v>
      </c>
      <c r="T61" t="e">
        <f t="array" ref="T61">VLOOKUP(Q61&amp;R61,IF({1,0},$B$2:$B$330&amp;$F$2:$F$330,$D$2:$D$330),2,)</f>
        <v>#N/A</v>
      </c>
      <c r="U61" s="35" t="e">
        <f t="array" ref="U61">VLOOKUP(Q61&amp;R61,IF({1,0},$B$2:$B$330&amp;$F$2:$F$330,$E$2:$E$330),2,)</f>
        <v>#N/A</v>
      </c>
      <c r="V61" s="35" t="e">
        <f t="array" ref="V61">VLOOKUP(Q61&amp;R61,IF({1,0},$B$2:$B$330&amp;$F$2:$F$330,$N$2:$N$330),2,)</f>
        <v>#N/A</v>
      </c>
    </row>
    <row r="62" s="35" customFormat="1" customHeight="1" spans="1:22">
      <c r="A62" s="47">
        <f t="shared" si="0"/>
        <v>61</v>
      </c>
      <c r="B62" s="48" t="s">
        <v>333</v>
      </c>
      <c r="C62" s="49">
        <f>IFERROR(VLOOKUP(B62,[66]工程研发事业部人员名单!B:D,2,0),"")</f>
        <v>50032</v>
      </c>
      <c r="D62" s="50" t="str">
        <f>IFERROR(VLOOKUP(B62,[66]工程研发事业部人员名单!B:D,3,0),"")</f>
        <v>总体室</v>
      </c>
      <c r="E62" s="73" t="s">
        <v>328</v>
      </c>
      <c r="F62" s="52">
        <f t="shared" si="1"/>
        <v>36</v>
      </c>
      <c r="G62" s="53"/>
      <c r="H62" s="53"/>
      <c r="I62" s="75">
        <v>36</v>
      </c>
      <c r="J62" s="60"/>
      <c r="K62" s="57" t="s">
        <v>277</v>
      </c>
      <c r="L62" s="59" t="s">
        <v>348</v>
      </c>
      <c r="M62" s="65" t="s">
        <v>372</v>
      </c>
      <c r="N62" s="58" t="str">
        <f>VLOOKUP(E62,订单号!B:C,2,0)</f>
        <v>YZ40000419</v>
      </c>
      <c r="O62" s="35" t="e">
        <f>VLOOKUP(C62,领导干部!B:B,1,0)</f>
        <v>#N/A</v>
      </c>
      <c r="Q62" s="118" t="s">
        <v>373</v>
      </c>
      <c r="R62">
        <v>200</v>
      </c>
      <c r="S62">
        <f t="array" ref="S62">VLOOKUP(Q62&amp;R62,IF({1,0},$B$2:$B$330&amp;$F$2:$F$330,$C$2:$C$330),2,)</f>
        <v>51234</v>
      </c>
      <c r="T62" t="str">
        <f t="array" ref="T62">VLOOKUP(Q62&amp;R62,IF({1,0},$B$2:$B$330&amp;$F$2:$F$330,$D$2:$D$330),2,)</f>
        <v>结构二室</v>
      </c>
      <c r="U62" s="35" t="str">
        <f t="array" ref="U62">VLOOKUP(Q62&amp;R62,IF({1,0},$B$2:$B$330&amp;$F$2:$F$330,$E$2:$E$330),2,)</f>
        <v>C929设计（2025年上飞院）</v>
      </c>
      <c r="V62" s="35" t="str">
        <f t="array" ref="V62">VLOOKUP(Q62&amp;R62,IF({1,0},$B$2:$B$330&amp;$F$2:$F$330,$N$2:$N$330),2,)</f>
        <v>YZ40000415</v>
      </c>
    </row>
    <row r="63" s="35" customFormat="1" customHeight="1" spans="1:22">
      <c r="A63" s="47">
        <f t="shared" si="0"/>
        <v>62</v>
      </c>
      <c r="B63" s="48" t="s">
        <v>342</v>
      </c>
      <c r="C63" s="49">
        <f>IFERROR(VLOOKUP(B63,[66]工程研发事业部人员名单!B:D,2,0),"")</f>
        <v>50702</v>
      </c>
      <c r="D63" s="50" t="str">
        <f>IFERROR(VLOOKUP(B63,[66]工程研发事业部人员名单!B:D,3,0),"")</f>
        <v>总体室</v>
      </c>
      <c r="E63" s="73" t="s">
        <v>328</v>
      </c>
      <c r="F63" s="52">
        <f t="shared" si="1"/>
        <v>52</v>
      </c>
      <c r="G63" s="53"/>
      <c r="H63" s="53"/>
      <c r="I63" s="75">
        <v>52</v>
      </c>
      <c r="J63" s="60"/>
      <c r="K63" s="57" t="s">
        <v>277</v>
      </c>
      <c r="L63" s="59" t="s">
        <v>348</v>
      </c>
      <c r="M63" s="65" t="s">
        <v>374</v>
      </c>
      <c r="N63" s="58" t="str">
        <f>VLOOKUP(E63,订单号!B:C,2,0)</f>
        <v>YZ40000419</v>
      </c>
      <c r="O63" s="35" t="e">
        <f>VLOOKUP(C63,领导干部!B:B,1,0)</f>
        <v>#N/A</v>
      </c>
      <c r="Q63" s="118" t="s">
        <v>375</v>
      </c>
      <c r="R63">
        <v>120</v>
      </c>
      <c r="S63">
        <f t="array" ref="S63">VLOOKUP(Q63&amp;R63,IF({1,0},$B$2:$B$330&amp;$F$2:$F$330,$C$2:$C$330),2,)</f>
        <v>22298</v>
      </c>
      <c r="T63" t="str">
        <f t="array" ref="T63">VLOOKUP(Q63&amp;R63,IF({1,0},$B$2:$B$330&amp;$F$2:$F$330,$D$2:$D$330),2,)</f>
        <v>结构二室</v>
      </c>
      <c r="U63" s="35" t="str">
        <f t="array" ref="U63">VLOOKUP(Q63&amp;R63,IF({1,0},$B$2:$B$330&amp;$F$2:$F$330,$E$2:$E$330),2,)</f>
        <v>C929设计（2025年上飞院）</v>
      </c>
      <c r="V63" s="35" t="str">
        <f t="array" ref="V63">VLOOKUP(Q63&amp;R63,IF({1,0},$B$2:$B$330&amp;$F$2:$F$330,$N$2:$N$330),2,)</f>
        <v>YZ40000415</v>
      </c>
    </row>
    <row r="64" s="35" customFormat="1" customHeight="1" spans="1:22">
      <c r="A64" s="47">
        <f t="shared" si="0"/>
        <v>63</v>
      </c>
      <c r="B64" s="48" t="s">
        <v>376</v>
      </c>
      <c r="C64" s="49">
        <f>IFERROR(VLOOKUP(B64,[66]工程研发事业部人员名单!B:D,2,0),"")</f>
        <v>50872</v>
      </c>
      <c r="D64" s="50" t="str">
        <f>IFERROR(VLOOKUP(B64,[66]工程研发事业部人员名单!B:D,3,0),"")</f>
        <v>系统室</v>
      </c>
      <c r="E64" s="51" t="s">
        <v>377</v>
      </c>
      <c r="F64" s="52">
        <f t="shared" si="1"/>
        <v>91</v>
      </c>
      <c r="G64" s="53"/>
      <c r="H64" s="53"/>
      <c r="I64" s="72">
        <v>91</v>
      </c>
      <c r="J64" s="53"/>
      <c r="K64" s="57" t="s">
        <v>378</v>
      </c>
      <c r="L64" s="57"/>
      <c r="M64" s="117" t="s">
        <v>379</v>
      </c>
      <c r="N64" s="58" t="str">
        <f>VLOOKUP(E64,订单号!B:C,2,0)</f>
        <v>YZ40000416</v>
      </c>
      <c r="O64" s="35" t="e">
        <f>VLOOKUP(C64,领导干部!B:B,1,0)</f>
        <v>#N/A</v>
      </c>
      <c r="Q64" s="118" t="s">
        <v>380</v>
      </c>
      <c r="R64">
        <v>210</v>
      </c>
      <c r="S64">
        <f t="array" ref="S64">VLOOKUP(Q64&amp;R64,IF({1,0},$B$2:$B$330&amp;$F$2:$F$330,$C$2:$C$330),2,)</f>
        <v>50722</v>
      </c>
      <c r="T64" t="str">
        <f t="array" ref="T64">VLOOKUP(Q64&amp;R64,IF({1,0},$B$2:$B$330&amp;$F$2:$F$330,$D$2:$D$330),2,)</f>
        <v>强度室</v>
      </c>
      <c r="U64" s="35" t="str">
        <f t="array" ref="U64">VLOOKUP(Q64&amp;R64,IF({1,0},$B$2:$B$330&amp;$F$2:$F$330,$E$2:$E$330),2,)</f>
        <v>C929设计（2025年上飞院）</v>
      </c>
      <c r="V64" s="35" t="str">
        <f t="array" ref="V64">VLOOKUP(Q64&amp;R64,IF({1,0},$B$2:$B$330&amp;$F$2:$F$330,$N$2:$N$330),2,)</f>
        <v>YZ40000415</v>
      </c>
    </row>
    <row r="65" s="35" customFormat="1" customHeight="1" spans="1:22">
      <c r="A65" s="47">
        <f t="shared" si="0"/>
        <v>64</v>
      </c>
      <c r="B65" s="48" t="s">
        <v>305</v>
      </c>
      <c r="C65" s="49">
        <f>IFERROR(VLOOKUP(B65,[66]工程研发事业部人员名单!B:D,2,0),"")</f>
        <v>51389</v>
      </c>
      <c r="D65" s="50" t="str">
        <f>IFERROR(VLOOKUP(B65,[66]工程研发事业部人员名单!B:D,3,0),"")</f>
        <v>系统室</v>
      </c>
      <c r="E65" s="51" t="s">
        <v>381</v>
      </c>
      <c r="F65" s="52">
        <f t="shared" si="1"/>
        <v>62</v>
      </c>
      <c r="G65" s="53"/>
      <c r="H65" s="53"/>
      <c r="I65" s="72">
        <v>62</v>
      </c>
      <c r="J65" s="53"/>
      <c r="K65" s="57" t="s">
        <v>378</v>
      </c>
      <c r="L65" s="57"/>
      <c r="M65" s="117" t="s">
        <v>382</v>
      </c>
      <c r="N65" s="58" t="str">
        <f>VLOOKUP(E65,订单号!B:C,2,0)</f>
        <v>YZ40000416</v>
      </c>
      <c r="O65" s="35" t="e">
        <f>VLOOKUP(C65,领导干部!B:B,1,0)</f>
        <v>#N/A</v>
      </c>
      <c r="Q65" s="118" t="s">
        <v>270</v>
      </c>
      <c r="R65">
        <v>200</v>
      </c>
      <c r="S65">
        <f t="array" ref="S65">VLOOKUP(Q65&amp;R65,IF({1,0},$B$2:$B$330&amp;$F$2:$F$330,$C$2:$C$330),2,)</f>
        <v>51615</v>
      </c>
      <c r="T65" t="str">
        <f t="array" ref="T65">VLOOKUP(Q65&amp;R65,IF({1,0},$B$2:$B$330&amp;$F$2:$F$330,$D$2:$D$330),2,)</f>
        <v>结构一室</v>
      </c>
      <c r="U65" s="35" t="str">
        <f t="array" ref="U65">VLOOKUP(Q65&amp;R65,IF({1,0},$B$2:$B$330&amp;$F$2:$F$330,$E$2:$E$330),2,)</f>
        <v>C929设计（2025年上飞院）</v>
      </c>
      <c r="V65" s="35" t="str">
        <f t="array" ref="V65">VLOOKUP(Q65&amp;R65,IF({1,0},$B$2:$B$330&amp;$F$2:$F$330,$N$2:$N$330),2,)</f>
        <v>YZ40000415</v>
      </c>
    </row>
    <row r="66" s="35" customFormat="1" customHeight="1" spans="1:22">
      <c r="A66" s="47">
        <f t="shared" ref="A66:A129" si="2">ROW()-1</f>
        <v>65</v>
      </c>
      <c r="B66" s="48" t="s">
        <v>31</v>
      </c>
      <c r="C66" s="49">
        <f>IFERROR(VLOOKUP(B66,[66]工程研发事业部人员名单!B:D,2,0),"")</f>
        <v>52585</v>
      </c>
      <c r="D66" s="50" t="str">
        <f>IFERROR(VLOOKUP(B66,[66]工程研发事业部人员名单!B:D,3,0),"")</f>
        <v>系统室</v>
      </c>
      <c r="E66" s="51" t="s">
        <v>381</v>
      </c>
      <c r="F66" s="52">
        <f t="shared" ref="F66:F129" si="3">G66+H66+I66+J66</f>
        <v>65</v>
      </c>
      <c r="G66" s="53"/>
      <c r="H66" s="53"/>
      <c r="I66" s="72">
        <v>65</v>
      </c>
      <c r="J66" s="53"/>
      <c r="K66" s="57" t="s">
        <v>378</v>
      </c>
      <c r="L66" s="57"/>
      <c r="M66" s="117" t="s">
        <v>383</v>
      </c>
      <c r="N66" s="58" t="str">
        <f>VLOOKUP(E66,订单号!B:C,2,0)</f>
        <v>YZ40000416</v>
      </c>
      <c r="O66" s="35" t="e">
        <f>VLOOKUP(C66,领导干部!B:B,1,0)</f>
        <v>#N/A</v>
      </c>
      <c r="Q66" s="118" t="s">
        <v>384</v>
      </c>
      <c r="R66">
        <v>155</v>
      </c>
      <c r="S66">
        <f t="array" ref="S66">VLOOKUP(Q66&amp;R66,IF({1,0},$B$2:$B$330&amp;$F$2:$F$330,$C$2:$C$330),2,)</f>
        <v>50710</v>
      </c>
      <c r="T66" t="str">
        <f t="array" ref="T66">VLOOKUP(Q66&amp;R66,IF({1,0},$B$2:$B$330&amp;$F$2:$F$330,$D$2:$D$330),2,)</f>
        <v>结构二室</v>
      </c>
      <c r="U66" s="35" t="str">
        <f t="array" ref="U66">VLOOKUP(Q66&amp;R66,IF({1,0},$B$2:$B$330&amp;$F$2:$F$330,$E$2:$E$330),2,)</f>
        <v>WH1项目结构强度综合</v>
      </c>
      <c r="V66" s="35" t="str">
        <f t="array" ref="V66">VLOOKUP(Q66&amp;R66,IF({1,0},$B$2:$B$330&amp;$F$2:$F$330,$N$2:$N$330),2,)</f>
        <v>YZ-RD202428</v>
      </c>
    </row>
    <row r="67" s="35" customFormat="1" customHeight="1" spans="1:22">
      <c r="A67" s="47">
        <f t="shared" si="2"/>
        <v>66</v>
      </c>
      <c r="B67" s="48" t="s">
        <v>30</v>
      </c>
      <c r="C67" s="49">
        <f>IFERROR(VLOOKUP(B67,[66]工程研发事业部人员名单!B:D,2,0),"")</f>
        <v>52587</v>
      </c>
      <c r="D67" s="50" t="str">
        <f>IFERROR(VLOOKUP(B67,[66]工程研发事业部人员名单!B:D,3,0),"")</f>
        <v>系统室</v>
      </c>
      <c r="E67" s="51" t="s">
        <v>381</v>
      </c>
      <c r="F67" s="52">
        <f t="shared" si="3"/>
        <v>62</v>
      </c>
      <c r="G67" s="53"/>
      <c r="H67" s="53"/>
      <c r="I67" s="72">
        <v>62</v>
      </c>
      <c r="J67" s="53"/>
      <c r="K67" s="57" t="s">
        <v>378</v>
      </c>
      <c r="L67" s="57"/>
      <c r="M67" s="117" t="s">
        <v>385</v>
      </c>
      <c r="N67" s="58" t="str">
        <f>VLOOKUP(E67,订单号!B:C,2,0)</f>
        <v>YZ40000416</v>
      </c>
      <c r="O67" s="35" t="e">
        <f>VLOOKUP(C67,领导干部!B:B,1,0)</f>
        <v>#N/A</v>
      </c>
      <c r="Q67" s="118" t="s">
        <v>386</v>
      </c>
      <c r="R67">
        <v>194</v>
      </c>
      <c r="S67">
        <f t="array" ref="S67">VLOOKUP(Q67&amp;R67,IF({1,0},$B$2:$B$330&amp;$F$2:$F$330,$C$2:$C$330),2,)</f>
        <v>17090</v>
      </c>
      <c r="T67" t="str">
        <f t="array" ref="T67">VLOOKUP(Q67&amp;R67,IF({1,0},$B$2:$B$330&amp;$F$2:$F$330,$D$2:$D$330),2,)</f>
        <v>联络工程室</v>
      </c>
      <c r="U67" s="35" t="str">
        <f t="array" ref="U67">VLOOKUP(Q67&amp;R67,IF({1,0},$B$2:$B$330&amp;$F$2:$F$330,$E$2:$E$330),2,)</f>
        <v>工程支持</v>
      </c>
      <c r="V67" s="35">
        <f t="array" ref="V67">VLOOKUP(Q67&amp;R67,IF({1,0},$B$2:$B$330&amp;$F$2:$F$330,$N$2:$N$330),2,)</f>
        <v>10502</v>
      </c>
    </row>
    <row r="68" s="35" customFormat="1" customHeight="1" spans="1:22">
      <c r="A68" s="47">
        <f t="shared" si="2"/>
        <v>67</v>
      </c>
      <c r="B68" s="54" t="s">
        <v>292</v>
      </c>
      <c r="C68" s="49">
        <f>IFERROR(VLOOKUP(B68,[66]工程研发事业部人员名单!B:D,2,0),"")</f>
        <v>51385</v>
      </c>
      <c r="D68" s="50" t="str">
        <f>IFERROR(VLOOKUP(B68,[66]工程研发事业部人员名单!B:D,3,0),"")</f>
        <v>系统室</v>
      </c>
      <c r="E68" s="51" t="s">
        <v>381</v>
      </c>
      <c r="F68" s="52">
        <f t="shared" si="3"/>
        <v>59</v>
      </c>
      <c r="G68" s="53"/>
      <c r="H68" s="53"/>
      <c r="I68" s="75">
        <v>59</v>
      </c>
      <c r="J68" s="53"/>
      <c r="K68" s="57" t="s">
        <v>378</v>
      </c>
      <c r="L68" s="57"/>
      <c r="M68" s="117" t="s">
        <v>387</v>
      </c>
      <c r="N68" s="58" t="str">
        <f>VLOOKUP(E68,订单号!B:C,2,0)</f>
        <v>YZ40000416</v>
      </c>
      <c r="O68" s="35" t="e">
        <f>VLOOKUP(C68,领导干部!B:B,1,0)</f>
        <v>#N/A</v>
      </c>
      <c r="Q68" s="118" t="s">
        <v>388</v>
      </c>
      <c r="R68">
        <v>120</v>
      </c>
      <c r="S68">
        <f t="array" ref="S68">VLOOKUP(Q68&amp;R68,IF({1,0},$B$2:$B$330&amp;$F$2:$F$330,$C$2:$C$330),2,)</f>
        <v>50864</v>
      </c>
      <c r="T68" t="str">
        <f t="array" ref="T68">VLOOKUP(Q68&amp;R68,IF({1,0},$B$2:$B$330&amp;$F$2:$F$330,$D$2:$D$330),2,)</f>
        <v>综合技术室</v>
      </c>
      <c r="U68" s="35" t="str">
        <f t="array" ref="U68">VLOOKUP(Q68&amp;R68,IF({1,0},$B$2:$B$330&amp;$F$2:$F$330,$E$2:$E$330),2,)</f>
        <v>C919高原型设计（2025年上飞院）</v>
      </c>
      <c r="V68" s="35" t="str">
        <f t="array" ref="V68">VLOOKUP(Q68&amp;R68,IF({1,0},$B$2:$B$330&amp;$F$2:$F$330,$N$2:$N$330),2,)</f>
        <v>YZ40000417</v>
      </c>
    </row>
    <row r="69" s="35" customFormat="1" customHeight="1" spans="1:22">
      <c r="A69" s="47">
        <f t="shared" si="2"/>
        <v>68</v>
      </c>
      <c r="B69" s="54" t="s">
        <v>389</v>
      </c>
      <c r="C69" s="49">
        <f>IFERROR(VLOOKUP(B69,[66]工程研发事业部人员名单!B:D,2,0),"")</f>
        <v>22291</v>
      </c>
      <c r="D69" s="50" t="str">
        <f>IFERROR(VLOOKUP(B69,[66]工程研发事业部人员名单!B:D,3,0),"")</f>
        <v>综合技术室</v>
      </c>
      <c r="E69" s="51" t="s">
        <v>390</v>
      </c>
      <c r="F69" s="52">
        <f t="shared" si="3"/>
        <v>200</v>
      </c>
      <c r="G69" s="53"/>
      <c r="H69" s="53"/>
      <c r="I69" s="75">
        <v>200</v>
      </c>
      <c r="J69" s="53"/>
      <c r="K69" s="57" t="s">
        <v>329</v>
      </c>
      <c r="L69" s="57"/>
      <c r="M69" s="61" t="s">
        <v>391</v>
      </c>
      <c r="N69" s="58" t="str">
        <f>VLOOKUP(E69,订单号!B:C,2,0)</f>
        <v>YZ40000417</v>
      </c>
      <c r="O69" s="35" t="e">
        <f>VLOOKUP(C69,领导干部!B:B,1,0)</f>
        <v>#N/A</v>
      </c>
      <c r="Q69" s="118" t="s">
        <v>344</v>
      </c>
      <c r="R69">
        <v>140</v>
      </c>
      <c r="S69">
        <f t="array" ref="S69">VLOOKUP(Q69&amp;R69,IF({1,0},$B$2:$B$330&amp;$F$2:$F$330,$C$2:$C$330),2,)</f>
        <v>51591</v>
      </c>
      <c r="T69" t="str">
        <f t="array" ref="T69">VLOOKUP(Q69&amp;R69,IF({1,0},$B$2:$B$330&amp;$F$2:$F$330,$D$2:$D$330),2,)</f>
        <v>总体室</v>
      </c>
      <c r="U69" s="35" t="str">
        <f t="array" ref="U69">VLOOKUP(Q69&amp;R69,IF({1,0},$B$2:$B$330&amp;$F$2:$F$330,$E$2:$E$330),2,)</f>
        <v>C919基本型设计（2025年上飞院）</v>
      </c>
      <c r="V69" s="35" t="str">
        <f t="array" ref="V69">VLOOKUP(Q69&amp;R69,IF({1,0},$B$2:$B$330&amp;$F$2:$F$330,$N$2:$N$330),2,)</f>
        <v>YZ40000419</v>
      </c>
    </row>
    <row r="70" s="35" customFormat="1" customHeight="1" spans="1:22">
      <c r="A70" s="47">
        <f t="shared" si="2"/>
        <v>69</v>
      </c>
      <c r="B70" s="48" t="s">
        <v>126</v>
      </c>
      <c r="C70" s="49">
        <f>IFERROR(VLOOKUP(B70,[66]工程研发事业部人员名单!B:D,2,0),"")</f>
        <v>52570</v>
      </c>
      <c r="D70" s="50" t="str">
        <f>IFERROR(VLOOKUP(B70,[66]工程研发事业部人员名单!B:D,3,0),"")</f>
        <v>工程项目室 /适航工程室</v>
      </c>
      <c r="E70" s="51" t="s">
        <v>390</v>
      </c>
      <c r="F70" s="52">
        <f t="shared" si="3"/>
        <v>100</v>
      </c>
      <c r="G70" s="53"/>
      <c r="H70" s="53"/>
      <c r="I70" s="75">
        <v>100</v>
      </c>
      <c r="J70" s="53"/>
      <c r="K70" s="57" t="s">
        <v>329</v>
      </c>
      <c r="L70" s="57"/>
      <c r="M70" s="61" t="s">
        <v>392</v>
      </c>
      <c r="N70" s="58" t="str">
        <f>VLOOKUP(E70,订单号!B:C,2,0)</f>
        <v>YZ40000417</v>
      </c>
      <c r="O70" s="35" t="e">
        <f>VLOOKUP(C70,领导干部!B:B,1,0)</f>
        <v>#N/A</v>
      </c>
      <c r="Q70" s="118" t="s">
        <v>393</v>
      </c>
      <c r="R70">
        <v>170</v>
      </c>
      <c r="S70">
        <f t="array" ref="S70">VLOOKUP(Q70&amp;R70,IF({1,0},$B$2:$B$330&amp;$F$2:$F$330,$C$2:$C$330),2,)</f>
        <v>52133</v>
      </c>
      <c r="T70" t="str">
        <f t="array" ref="T70">VLOOKUP(Q70&amp;R70,IF({1,0},$B$2:$B$330&amp;$F$2:$F$330,$D$2:$D$330),2,)</f>
        <v>结构一室</v>
      </c>
      <c r="U70" s="35" t="str">
        <f t="array" ref="U70">VLOOKUP(Q70&amp;R70,IF({1,0},$B$2:$B$330&amp;$F$2:$F$330,$E$2:$E$330),2,)</f>
        <v>C929设计（2025年上飞院）</v>
      </c>
      <c r="V70" s="35" t="str">
        <f t="array" ref="V70">VLOOKUP(Q70&amp;R70,IF({1,0},$B$2:$B$330&amp;$F$2:$F$330,$N$2:$N$330),2,)</f>
        <v>YZ40000415</v>
      </c>
    </row>
    <row r="71" s="35" customFormat="1" customHeight="1" spans="1:22">
      <c r="A71" s="47">
        <f t="shared" si="2"/>
        <v>70</v>
      </c>
      <c r="B71" s="48" t="s">
        <v>388</v>
      </c>
      <c r="C71" s="49">
        <f>IFERROR(VLOOKUP(B71,[66]工程研发事业部人员名单!B:D,2,0),"")</f>
        <v>50864</v>
      </c>
      <c r="D71" s="50" t="str">
        <f>IFERROR(VLOOKUP(B71,[66]工程研发事业部人员名单!B:D,3,0),"")</f>
        <v>综合技术室</v>
      </c>
      <c r="E71" s="51" t="s">
        <v>390</v>
      </c>
      <c r="F71" s="52">
        <f t="shared" si="3"/>
        <v>120</v>
      </c>
      <c r="G71" s="53"/>
      <c r="H71" s="53"/>
      <c r="I71" s="75">
        <v>120</v>
      </c>
      <c r="J71" s="53"/>
      <c r="K71" s="57" t="s">
        <v>329</v>
      </c>
      <c r="L71" s="57"/>
      <c r="M71" s="61" t="s">
        <v>394</v>
      </c>
      <c r="N71" s="58" t="str">
        <f>VLOOKUP(E71,订单号!B:C,2,0)</f>
        <v>YZ40000417</v>
      </c>
      <c r="O71" s="35" t="e">
        <f>VLOOKUP(C71,领导干部!B:B,1,0)</f>
        <v>#N/A</v>
      </c>
      <c r="Q71" s="118" t="s">
        <v>298</v>
      </c>
      <c r="R71">
        <v>110</v>
      </c>
      <c r="S71">
        <f t="array" ref="S71">VLOOKUP(Q71&amp;R71,IF({1,0},$B$2:$B$330&amp;$F$2:$F$330,$C$2:$C$330),2,)</f>
        <v>51517</v>
      </c>
      <c r="T71" t="str">
        <f t="array" ref="T71">VLOOKUP(Q71&amp;R71,IF({1,0},$B$2:$B$330&amp;$F$2:$F$330,$D$2:$D$330),2,)</f>
        <v>系统室</v>
      </c>
      <c r="U71" s="35" t="str">
        <f t="array" ref="U71">VLOOKUP(Q71&amp;R71,IF({1,0},$B$2:$B$330&amp;$F$2:$F$330,$E$2:$E$330),2,)</f>
        <v>C929设计（2025年上飞院）</v>
      </c>
      <c r="V71" s="35" t="str">
        <f t="array" ref="V71">VLOOKUP(Q71&amp;R71,IF({1,0},$B$2:$B$330&amp;$F$2:$F$330,$N$2:$N$330),2,)</f>
        <v>YZ40000415</v>
      </c>
    </row>
    <row r="72" s="35" customFormat="1" customHeight="1" spans="1:22">
      <c r="A72" s="47">
        <f t="shared" si="2"/>
        <v>71</v>
      </c>
      <c r="B72" s="54" t="s">
        <v>395</v>
      </c>
      <c r="C72" s="49">
        <f>IFERROR(VLOOKUP(B72,[66]工程研发事业部人员名单!B:D,2,0),"")</f>
        <v>50278</v>
      </c>
      <c r="D72" s="50" t="str">
        <f>IFERROR(VLOOKUP(B72,[66]工程研发事业部人员名单!B:D,3,0),"")</f>
        <v>结构二室</v>
      </c>
      <c r="E72" s="51" t="s">
        <v>390</v>
      </c>
      <c r="F72" s="52">
        <f t="shared" si="3"/>
        <v>230</v>
      </c>
      <c r="G72" s="53"/>
      <c r="H72" s="53"/>
      <c r="I72" s="75">
        <v>230</v>
      </c>
      <c r="J72" s="53"/>
      <c r="K72" s="57" t="s">
        <v>255</v>
      </c>
      <c r="L72" s="57"/>
      <c r="M72" s="61" t="s">
        <v>396</v>
      </c>
      <c r="N72" s="58" t="str">
        <f>VLOOKUP(E72,订单号!B:C,2,0)</f>
        <v>YZ40000417</v>
      </c>
      <c r="O72" s="35" t="e">
        <f>VLOOKUP(C72,领导干部!B:B,1,0)</f>
        <v>#N/A</v>
      </c>
      <c r="Q72" s="118" t="s">
        <v>333</v>
      </c>
      <c r="R72">
        <v>115</v>
      </c>
      <c r="S72">
        <f t="array" ref="S72">VLOOKUP(Q72&amp;R72,IF({1,0},$B$2:$B$330&amp;$F$2:$F$330,$C$2:$C$330),2,)</f>
        <v>50032</v>
      </c>
      <c r="T72" t="str">
        <f t="array" ref="T72">VLOOKUP(Q72&amp;R72,IF({1,0},$B$2:$B$330&amp;$F$2:$F$330,$D$2:$D$330),2,)</f>
        <v>总体室</v>
      </c>
      <c r="U72" s="35" t="str">
        <f t="array" ref="U72">VLOOKUP(Q72&amp;R72,IF({1,0},$B$2:$B$330&amp;$F$2:$F$330,$E$2:$E$330),2,)</f>
        <v>重点工作任务</v>
      </c>
      <c r="V72" s="35">
        <f t="array" ref="V72">VLOOKUP(Q72&amp;R72,IF({1,0},$B$2:$B$330&amp;$F$2:$F$330,$N$2:$N$330),2,)</f>
        <v>0</v>
      </c>
    </row>
    <row r="73" s="35" customFormat="1" customHeight="1" spans="1:22">
      <c r="A73" s="47">
        <f t="shared" si="2"/>
        <v>72</v>
      </c>
      <c r="B73" s="48" t="s">
        <v>271</v>
      </c>
      <c r="C73" s="49">
        <f>IFERROR(VLOOKUP(B73,[66]工程研发事业部人员名单!B:D,2,0),"")</f>
        <v>51941</v>
      </c>
      <c r="D73" s="50" t="str">
        <f>IFERROR(VLOOKUP(B73,[66]工程研发事业部人员名单!B:D,3,0),"")</f>
        <v>联络工程室</v>
      </c>
      <c r="E73" s="51" t="s">
        <v>390</v>
      </c>
      <c r="F73" s="52">
        <f t="shared" si="3"/>
        <v>180</v>
      </c>
      <c r="G73" s="53"/>
      <c r="H73" s="53"/>
      <c r="I73" s="72">
        <v>180</v>
      </c>
      <c r="J73" s="53"/>
      <c r="K73" s="57" t="s">
        <v>255</v>
      </c>
      <c r="L73" s="57"/>
      <c r="M73" s="61" t="s">
        <v>397</v>
      </c>
      <c r="N73" s="58" t="str">
        <f>VLOOKUP(E73,订单号!B:C,2,0)</f>
        <v>YZ40000417</v>
      </c>
      <c r="O73" s="35" t="e">
        <f>VLOOKUP(C73,领导干部!B:B,1,0)</f>
        <v>#N/A</v>
      </c>
      <c r="Q73" s="118" t="s">
        <v>223</v>
      </c>
      <c r="R73">
        <v>150</v>
      </c>
      <c r="S73">
        <f t="array" ref="S73">VLOOKUP(Q73&amp;R73,IF({1,0},$B$2:$B$330&amp;$F$2:$F$330,$C$2:$C$330),2,)</f>
        <v>51166</v>
      </c>
      <c r="T73" t="str">
        <f t="array" ref="T73">VLOOKUP(Q73&amp;R73,IF({1,0},$B$2:$B$330&amp;$F$2:$F$330,$D$2:$D$330),2,)</f>
        <v>工程项目室 /适航工程室</v>
      </c>
      <c r="U73" s="35" t="str">
        <f t="array" ref="U73">VLOOKUP(Q73&amp;R73,IF({1,0},$B$2:$B$330&amp;$F$2:$F$330,$E$2:$E$330),2,)</f>
        <v>项目开发与管控</v>
      </c>
      <c r="V73" s="35" t="e">
        <f t="array" ref="V73">VLOOKUP(Q73&amp;R73,IF({1,0},$B$2:$B$330&amp;$F$2:$F$330,$N$2:$N$330),2,)</f>
        <v>#N/A</v>
      </c>
    </row>
    <row r="74" s="35" customFormat="1" customHeight="1" spans="1:22">
      <c r="A74" s="47">
        <f t="shared" si="2"/>
        <v>73</v>
      </c>
      <c r="B74" s="48" t="s">
        <v>327</v>
      </c>
      <c r="C74" s="49">
        <f>IFERROR(VLOOKUP(B74,[66]工程研发事业部人员名单!B:D,2,0),"")</f>
        <v>17243</v>
      </c>
      <c r="D74" s="50" t="str">
        <f>IFERROR(VLOOKUP(B74,[66]工程研发事业部人员名单!B:D,3,0),"")</f>
        <v>总体室</v>
      </c>
      <c r="E74" s="73" t="s">
        <v>381</v>
      </c>
      <c r="F74" s="52">
        <f t="shared" si="3"/>
        <v>100</v>
      </c>
      <c r="G74" s="53"/>
      <c r="H74" s="53"/>
      <c r="I74" s="119">
        <v>100</v>
      </c>
      <c r="J74" s="72"/>
      <c r="K74" s="48" t="s">
        <v>329</v>
      </c>
      <c r="L74" s="48"/>
      <c r="M74" s="81" t="s">
        <v>398</v>
      </c>
      <c r="N74" s="58" t="str">
        <f>VLOOKUP(E74,订单号!B:C,2,0)</f>
        <v>YZ40000416</v>
      </c>
      <c r="O74" s="35" t="e">
        <f>VLOOKUP(C74,领导干部!B:B,1,0)</f>
        <v>#N/A</v>
      </c>
      <c r="Q74" s="118" t="s">
        <v>399</v>
      </c>
      <c r="R74">
        <v>195</v>
      </c>
      <c r="S74">
        <f t="array" ref="S74">VLOOKUP(Q74&amp;R74,IF({1,0},$B$2:$B$330&amp;$F$2:$F$330,$C$2:$C$330),2,)</f>
        <v>27100</v>
      </c>
      <c r="T74" t="str">
        <f t="array" ref="T74">VLOOKUP(Q74&amp;R74,IF({1,0},$B$2:$B$330&amp;$F$2:$F$330,$D$2:$D$330),2,)</f>
        <v>综合技术室</v>
      </c>
      <c r="U74" s="35" t="str">
        <f t="array" ref="U74">VLOOKUP(Q74&amp;R74,IF({1,0},$B$2:$B$330&amp;$F$2:$F$330,$E$2:$E$330),2,)</f>
        <v>WH1项目总体/系统/适航等其它专业</v>
      </c>
      <c r="V74" s="35" t="str">
        <f t="array" ref="V74">VLOOKUP(Q74&amp;R74,IF({1,0},$B$2:$B$330&amp;$F$2:$F$330,$N$2:$N$330),2,)</f>
        <v>YZ-RD202428</v>
      </c>
    </row>
    <row r="75" s="35" customFormat="1" customHeight="1" spans="1:22">
      <c r="A75" s="47">
        <f t="shared" si="2"/>
        <v>74</v>
      </c>
      <c r="B75" s="48" t="s">
        <v>400</v>
      </c>
      <c r="C75" s="49">
        <f>IFERROR(VLOOKUP(B75,[66]工程研发事业部人员名单!B:D,2,0),"")</f>
        <v>17725</v>
      </c>
      <c r="D75" s="50" t="str">
        <f>IFERROR(VLOOKUP(B75,[66]工程研发事业部人员名单!B:D,3,0),"")</f>
        <v>总体室</v>
      </c>
      <c r="E75" s="57" t="s">
        <v>401</v>
      </c>
      <c r="F75" s="52">
        <f t="shared" si="3"/>
        <v>120</v>
      </c>
      <c r="G75" s="53"/>
      <c r="H75" s="53"/>
      <c r="I75" s="73">
        <v>120</v>
      </c>
      <c r="J75" s="53"/>
      <c r="K75" s="57"/>
      <c r="L75" s="57" t="s">
        <v>402</v>
      </c>
      <c r="M75" s="59" t="s">
        <v>403</v>
      </c>
      <c r="N75" s="58" t="str">
        <f>VLOOKUP(E75,订单号!B:C,2,0)</f>
        <v>YZ40000403</v>
      </c>
      <c r="O75" s="35" t="e">
        <f>VLOOKUP(C75,领导干部!B:B,1,0)</f>
        <v>#N/A</v>
      </c>
      <c r="Q75" s="118" t="s">
        <v>295</v>
      </c>
      <c r="R75">
        <v>80</v>
      </c>
      <c r="S75">
        <f t="array" ref="S75">VLOOKUP(Q75&amp;R75,IF({1,0},$B$2:$B$330&amp;$F$2:$F$330,$C$2:$C$330),2,)</f>
        <v>51951</v>
      </c>
      <c r="T75" t="str">
        <f t="array" ref="T75">VLOOKUP(Q75&amp;R75,IF({1,0},$B$2:$B$330&amp;$F$2:$F$330,$D$2:$D$330),2,)</f>
        <v>系统室</v>
      </c>
      <c r="U75" s="35" t="str">
        <f t="array" ref="U75">VLOOKUP(Q75&amp;R75,IF({1,0},$B$2:$B$330&amp;$F$2:$F$330,$E$2:$E$330),2,)</f>
        <v>培训工作</v>
      </c>
      <c r="V75" s="35">
        <f t="array" ref="V75">VLOOKUP(Q75&amp;R75,IF({1,0},$B$2:$B$330&amp;$F$2:$F$330,$N$2:$N$330),2,)</f>
        <v>0</v>
      </c>
    </row>
    <row r="76" s="35" customFormat="1" customHeight="1" spans="1:22">
      <c r="A76" s="47">
        <f t="shared" si="2"/>
        <v>75</v>
      </c>
      <c r="B76" s="48" t="s">
        <v>58</v>
      </c>
      <c r="C76" s="49">
        <f>IFERROR(VLOOKUP(B76,[66]工程研发事业部人员名单!B:D,2,0),"")</f>
        <v>53422</v>
      </c>
      <c r="D76" s="50" t="str">
        <f>IFERROR(VLOOKUP(B76,[66]工程研发事业部人员名单!B:D,3,0),"")</f>
        <v>强度室</v>
      </c>
      <c r="E76" s="57" t="s">
        <v>401</v>
      </c>
      <c r="F76" s="52">
        <f t="shared" si="3"/>
        <v>30</v>
      </c>
      <c r="G76" s="53"/>
      <c r="H76" s="53"/>
      <c r="I76" s="73">
        <v>30</v>
      </c>
      <c r="J76" s="53"/>
      <c r="K76" s="57"/>
      <c r="L76" s="57" t="s">
        <v>402</v>
      </c>
      <c r="M76" s="59" t="s">
        <v>404</v>
      </c>
      <c r="N76" s="58" t="str">
        <f>VLOOKUP(E76,订单号!B:C,2,0)</f>
        <v>YZ40000403</v>
      </c>
      <c r="O76" s="35" t="e">
        <f>VLOOKUP(C76,领导干部!B:B,1,0)</f>
        <v>#N/A</v>
      </c>
      <c r="Q76" s="118" t="s">
        <v>405</v>
      </c>
      <c r="R76">
        <v>100</v>
      </c>
      <c r="S76">
        <f t="array" ref="S76">VLOOKUP(Q76&amp;R76,IF({1,0},$B$2:$B$330&amp;$F$2:$F$330,$C$2:$C$330),2,)</f>
        <v>50686</v>
      </c>
      <c r="T76" t="str">
        <f t="array" ref="T76">VLOOKUP(Q76&amp;R76,IF({1,0},$B$2:$B$330&amp;$F$2:$F$330,$D$2:$D$330),2,)</f>
        <v>综合技术室</v>
      </c>
      <c r="U76" s="35" t="str">
        <f t="array" ref="U76">VLOOKUP(Q76&amp;R76,IF({1,0},$B$2:$B$330&amp;$F$2:$F$330,$E$2:$E$330),2,)</f>
        <v>工程支持</v>
      </c>
      <c r="V76" s="35">
        <f t="array" ref="V76">VLOOKUP(Q76&amp;R76,IF({1,0},$B$2:$B$330&amp;$F$2:$F$330,$N$2:$N$330),2,)</f>
        <v>10502</v>
      </c>
    </row>
    <row r="77" s="35" customFormat="1" customHeight="1" spans="1:22">
      <c r="A77" s="47">
        <f t="shared" si="2"/>
        <v>76</v>
      </c>
      <c r="B77" s="48" t="s">
        <v>344</v>
      </c>
      <c r="C77" s="49">
        <f>IFERROR(VLOOKUP(B77,[66]工程研发事业部人员名单!B:D,2,0),"")</f>
        <v>51591</v>
      </c>
      <c r="D77" s="50" t="str">
        <f>IFERROR(VLOOKUP(B77,[66]工程研发事业部人员名单!B:D,3,0),"")</f>
        <v>总体室</v>
      </c>
      <c r="E77" s="57" t="s">
        <v>401</v>
      </c>
      <c r="F77" s="52">
        <f t="shared" si="3"/>
        <v>7</v>
      </c>
      <c r="G77" s="53"/>
      <c r="H77" s="53"/>
      <c r="I77" s="73">
        <v>7</v>
      </c>
      <c r="J77" s="53"/>
      <c r="K77" s="57"/>
      <c r="L77" s="57" t="s">
        <v>402</v>
      </c>
      <c r="M77" s="59" t="s">
        <v>406</v>
      </c>
      <c r="N77" s="58" t="str">
        <f>VLOOKUP(E77,订单号!B:C,2,0)</f>
        <v>YZ40000403</v>
      </c>
      <c r="O77" s="35" t="e">
        <f>VLOOKUP(C77,领导干部!B:B,1,0)</f>
        <v>#N/A</v>
      </c>
      <c r="Q77" s="118" t="s">
        <v>258</v>
      </c>
      <c r="R77">
        <v>130</v>
      </c>
      <c r="S77">
        <f t="array" ref="S77">VLOOKUP(Q77&amp;R77,IF({1,0},$B$2:$B$330&amp;$F$2:$F$330,$C$2:$C$330),2,)</f>
        <v>25601</v>
      </c>
      <c r="T77" t="str">
        <f t="array" ref="T77">VLOOKUP(Q77&amp;R77,IF({1,0},$B$2:$B$330&amp;$F$2:$F$330,$D$2:$D$330),2,)</f>
        <v>联络工程室</v>
      </c>
      <c r="U77" s="35" t="str">
        <f t="array" ref="U77">VLOOKUP(Q77&amp;R77,IF({1,0},$B$2:$B$330&amp;$F$2:$F$330,$E$2:$E$330),2,)</f>
        <v>C919YJTD设计</v>
      </c>
      <c r="V77" s="35" t="str">
        <f t="array" ref="V77">VLOOKUP(Q77&amp;R77,IF({1,0},$B$2:$B$330&amp;$F$2:$F$330,$N$2:$N$330),2,)</f>
        <v>YZ40000410</v>
      </c>
    </row>
    <row r="78" s="35" customFormat="1" customHeight="1" spans="1:22">
      <c r="A78" s="47">
        <f t="shared" si="2"/>
        <v>77</v>
      </c>
      <c r="B78" s="48" t="s">
        <v>254</v>
      </c>
      <c r="C78" s="49">
        <f>IFERROR(VLOOKUP(B78,[66]工程研发事业部人员名单!B:D,2,0),"")</f>
        <v>52232</v>
      </c>
      <c r="D78" s="50" t="str">
        <f>IFERROR(VLOOKUP(B78,[66]工程研发事业部人员名单!B:D,3,0),"")</f>
        <v>结构二室</v>
      </c>
      <c r="E78" s="57" t="s">
        <v>401</v>
      </c>
      <c r="F78" s="52">
        <f t="shared" si="3"/>
        <v>7</v>
      </c>
      <c r="G78" s="53"/>
      <c r="H78" s="53"/>
      <c r="I78" s="73">
        <v>7</v>
      </c>
      <c r="J78" s="53"/>
      <c r="K78" s="57"/>
      <c r="L78" s="57" t="s">
        <v>402</v>
      </c>
      <c r="M78" s="59" t="s">
        <v>407</v>
      </c>
      <c r="N78" s="58" t="str">
        <f>VLOOKUP(E78,订单号!B:C,2,0)</f>
        <v>YZ40000403</v>
      </c>
      <c r="O78" s="35" t="e">
        <f>VLOOKUP(C78,领导干部!B:B,1,0)</f>
        <v>#N/A</v>
      </c>
      <c r="Q78" s="118" t="s">
        <v>408</v>
      </c>
      <c r="R78">
        <v>180</v>
      </c>
      <c r="S78">
        <f t="array" ref="S78">VLOOKUP(Q78&amp;R78,IF({1,0},$B$2:$B$330&amp;$F$2:$F$330,$C$2:$C$330),2,)</f>
        <v>25548</v>
      </c>
      <c r="T78" t="str">
        <f t="array" ref="T78">VLOOKUP(Q78&amp;R78,IF({1,0},$B$2:$B$330&amp;$F$2:$F$330,$D$2:$D$330),2,)</f>
        <v>结构一室</v>
      </c>
      <c r="U78" s="35" t="str">
        <f t="array" ref="U78">VLOOKUP(Q78&amp;R78,IF({1,0},$B$2:$B$330&amp;$F$2:$F$330,$E$2:$E$330),2,)</f>
        <v>C929设计（2025年上飞院）</v>
      </c>
      <c r="V78" s="35" t="str">
        <f t="array" ref="V78">VLOOKUP(Q78&amp;R78,IF({1,0},$B$2:$B$330&amp;$F$2:$F$330,$N$2:$N$330),2,)</f>
        <v>YZ40000415</v>
      </c>
    </row>
    <row r="79" s="35" customFormat="1" customHeight="1" spans="1:22">
      <c r="A79" s="47">
        <f t="shared" si="2"/>
        <v>78</v>
      </c>
      <c r="B79" s="48" t="s">
        <v>342</v>
      </c>
      <c r="C79" s="49">
        <f>IFERROR(VLOOKUP(B79,[66]工程研发事业部人员名单!B:D,2,0),"")</f>
        <v>50702</v>
      </c>
      <c r="D79" s="50" t="str">
        <f>IFERROR(VLOOKUP(B79,[66]工程研发事业部人员名单!B:D,3,0),"")</f>
        <v>总体室</v>
      </c>
      <c r="E79" s="57" t="s">
        <v>192</v>
      </c>
      <c r="F79" s="52">
        <f t="shared" si="3"/>
        <v>8</v>
      </c>
      <c r="G79" s="53"/>
      <c r="H79" s="53"/>
      <c r="I79" s="73">
        <v>8</v>
      </c>
      <c r="J79" s="53"/>
      <c r="K79" s="57"/>
      <c r="L79" s="57"/>
      <c r="M79" s="59"/>
      <c r="N79" s="58">
        <f>VLOOKUP(E79,订单号!B:C,2,0)</f>
        <v>0</v>
      </c>
      <c r="O79" s="35" t="e">
        <f>VLOOKUP(C79,领导干部!B:B,1,0)</f>
        <v>#N/A</v>
      </c>
      <c r="Q79" s="118" t="s">
        <v>358</v>
      </c>
      <c r="R79">
        <v>190</v>
      </c>
      <c r="S79">
        <f t="array" ref="S79">VLOOKUP(Q79&amp;R79,IF({1,0},$B$2:$B$330&amp;$F$2:$F$330,$C$2:$C$330),2,)</f>
        <v>51387</v>
      </c>
      <c r="T79" t="str">
        <f t="array" ref="T79">VLOOKUP(Q79&amp;R79,IF({1,0},$B$2:$B$330&amp;$F$2:$F$330,$D$2:$D$330),2,)</f>
        <v>系统室</v>
      </c>
      <c r="U79" s="35" t="str">
        <f t="array" ref="U79">VLOOKUP(Q79&amp;R79,IF({1,0},$B$2:$B$330&amp;$F$2:$F$330,$E$2:$E$330),2,)</f>
        <v>C919基本型设计（2025年上飞院）</v>
      </c>
      <c r="V79" s="35" t="str">
        <f t="array" ref="V79">VLOOKUP(Q79&amp;R79,IF({1,0},$B$2:$B$330&amp;$F$2:$F$330,$N$2:$N$330),2,)</f>
        <v>YZ40000419</v>
      </c>
    </row>
    <row r="80" s="35" customFormat="1" customHeight="1" spans="1:22">
      <c r="A80" s="47">
        <f t="shared" si="2"/>
        <v>79</v>
      </c>
      <c r="B80" s="48" t="s">
        <v>298</v>
      </c>
      <c r="C80" s="49">
        <f>IFERROR(VLOOKUP(B80,[66]工程研发事业部人员名单!B:D,2,0),"")</f>
        <v>51517</v>
      </c>
      <c r="D80" s="50" t="str">
        <f>IFERROR(VLOOKUP(B80,[66]工程研发事业部人员名单!B:D,3,0),"")</f>
        <v>系统室</v>
      </c>
      <c r="E80" s="57" t="s">
        <v>192</v>
      </c>
      <c r="F80" s="52">
        <f t="shared" si="3"/>
        <v>8</v>
      </c>
      <c r="G80" s="53"/>
      <c r="H80" s="53"/>
      <c r="I80" s="73">
        <v>8</v>
      </c>
      <c r="J80" s="53"/>
      <c r="K80" s="57"/>
      <c r="L80" s="57"/>
      <c r="M80" s="59"/>
      <c r="N80" s="58">
        <f>VLOOKUP(E80,订单号!B:C,2,0)</f>
        <v>0</v>
      </c>
      <c r="O80" s="35" t="e">
        <f>VLOOKUP(C80,领导干部!B:B,1,0)</f>
        <v>#N/A</v>
      </c>
      <c r="Q80" s="118" t="s">
        <v>409</v>
      </c>
      <c r="R80">
        <v>4.8</v>
      </c>
      <c r="S80">
        <f t="array" ref="S80">VLOOKUP(Q80&amp;R80,IF({1,0},$B$2:$B$330&amp;$F$2:$F$330,$C$2:$C$330),2,)</f>
        <v>26621</v>
      </c>
      <c r="T80" t="str">
        <f t="array" ref="T80">VLOOKUP(Q80&amp;R80,IF({1,0},$B$2:$B$330&amp;$F$2:$F$330,$D$2:$D$330),2,)</f>
        <v>联络工程室</v>
      </c>
      <c r="U80" s="35" t="str">
        <f t="array" ref="U80">VLOOKUP(Q80&amp;R80,IF({1,0},$B$2:$B$330&amp;$F$2:$F$330,$E$2:$E$330),2,)</f>
        <v>培训工作</v>
      </c>
      <c r="V80" s="35">
        <f t="array" ref="V80">VLOOKUP(Q80&amp;R80,IF({1,0},$B$2:$B$330&amp;$F$2:$F$330,$N$2:$N$330),2,)</f>
        <v>0</v>
      </c>
    </row>
    <row r="81" s="35" customFormat="1" customHeight="1" spans="1:22">
      <c r="A81" s="47">
        <f t="shared" si="2"/>
        <v>80</v>
      </c>
      <c r="B81" s="48" t="s">
        <v>311</v>
      </c>
      <c r="C81" s="49">
        <f>IFERROR(VLOOKUP(B81,[66]工程研发事业部人员名单!B:D,2,0),"")</f>
        <v>51435</v>
      </c>
      <c r="D81" s="50" t="str">
        <f>IFERROR(VLOOKUP(B81,[66]工程研发事业部人员名单!B:D,3,0),"")</f>
        <v>系统室</v>
      </c>
      <c r="E81" s="57" t="s">
        <v>192</v>
      </c>
      <c r="F81" s="52">
        <f t="shared" si="3"/>
        <v>12</v>
      </c>
      <c r="G81" s="53"/>
      <c r="H81" s="53"/>
      <c r="I81" s="73">
        <v>12</v>
      </c>
      <c r="J81" s="53"/>
      <c r="K81" s="57"/>
      <c r="L81" s="57"/>
      <c r="M81" s="59"/>
      <c r="N81" s="58">
        <f>VLOOKUP(E81,订单号!B:C,2,0)</f>
        <v>0</v>
      </c>
      <c r="O81" s="35" t="e">
        <f>VLOOKUP(C81,领导干部!B:B,1,0)</f>
        <v>#N/A</v>
      </c>
      <c r="Q81" s="118" t="s">
        <v>389</v>
      </c>
      <c r="R81">
        <v>200</v>
      </c>
      <c r="S81">
        <f t="array" ref="S81">VLOOKUP(Q81&amp;R81,IF({1,0},$B$2:$B$330&amp;$F$2:$F$330,$C$2:$C$330),2,)</f>
        <v>22291</v>
      </c>
      <c r="T81" t="str">
        <f t="array" ref="T81">VLOOKUP(Q81&amp;R81,IF({1,0},$B$2:$B$330&amp;$F$2:$F$330,$D$2:$D$330),2,)</f>
        <v>综合技术室</v>
      </c>
      <c r="U81" s="35" t="str">
        <f t="array" ref="U81">VLOOKUP(Q81&amp;R81,IF({1,0},$B$2:$B$330&amp;$F$2:$F$330,$E$2:$E$330),2,)</f>
        <v>C919高原型设计（2025年上飞院）</v>
      </c>
      <c r="V81" s="35" t="str">
        <f t="array" ref="V81">VLOOKUP(Q81&amp;R81,IF({1,0},$B$2:$B$330&amp;$F$2:$F$330,$N$2:$N$330),2,)</f>
        <v>YZ40000417</v>
      </c>
    </row>
    <row r="82" s="35" customFormat="1" customHeight="1" spans="1:22">
      <c r="A82" s="47">
        <f t="shared" si="2"/>
        <v>81</v>
      </c>
      <c r="B82" s="48" t="s">
        <v>300</v>
      </c>
      <c r="C82" s="49">
        <f>IFERROR(VLOOKUP(B82,[66]工程研发事业部人员名单!B:D,2,0),"")</f>
        <v>51429</v>
      </c>
      <c r="D82" s="50" t="str">
        <f>IFERROR(VLOOKUP(B82,[66]工程研发事业部人员名单!B:D,3,0),"")</f>
        <v>综合技术室</v>
      </c>
      <c r="E82" s="57" t="s">
        <v>192</v>
      </c>
      <c r="F82" s="52">
        <f t="shared" si="3"/>
        <v>13</v>
      </c>
      <c r="G82" s="53"/>
      <c r="H82" s="53"/>
      <c r="I82" s="73">
        <v>13</v>
      </c>
      <c r="J82" s="53"/>
      <c r="K82" s="57"/>
      <c r="L82" s="57"/>
      <c r="M82" s="59"/>
      <c r="N82" s="58">
        <f>VLOOKUP(E82,订单号!B:C,2,0)</f>
        <v>0</v>
      </c>
      <c r="O82" s="35" t="e">
        <f>VLOOKUP(C82,领导干部!B:B,1,0)</f>
        <v>#N/A</v>
      </c>
      <c r="Q82" s="118" t="s">
        <v>410</v>
      </c>
      <c r="R82">
        <v>190</v>
      </c>
      <c r="S82">
        <f t="array" ref="S82">VLOOKUP(Q82&amp;R82,IF({1,0},$B$2:$B$330&amp;$F$2:$F$330,$C$2:$C$330),2,)</f>
        <v>51196</v>
      </c>
      <c r="T82" t="str">
        <f t="array" ref="T82">VLOOKUP(Q82&amp;R82,IF({1,0},$B$2:$B$330&amp;$F$2:$F$330,$D$2:$D$330),2,)</f>
        <v>强度室</v>
      </c>
      <c r="U82" s="35" t="str">
        <f t="array" ref="U82">VLOOKUP(Q82&amp;R82,IF({1,0},$B$2:$B$330&amp;$F$2:$F$330,$E$2:$E$330),2,)</f>
        <v>WH1项目结构强度综合</v>
      </c>
      <c r="V82" s="35" t="str">
        <f t="array" ref="V82">VLOOKUP(Q82&amp;R82,IF({1,0},$B$2:$B$330&amp;$F$2:$F$330,$N$2:$N$330),2,)</f>
        <v>YZ-RD202428</v>
      </c>
    </row>
    <row r="83" s="35" customFormat="1" customHeight="1" spans="1:22">
      <c r="A83" s="47">
        <f t="shared" si="2"/>
        <v>82</v>
      </c>
      <c r="B83" s="48" t="s">
        <v>234</v>
      </c>
      <c r="C83" s="49">
        <f>IFERROR(VLOOKUP(B83,[66]工程研发事业部人员名单!B:D,2,0),"")</f>
        <v>50281</v>
      </c>
      <c r="D83" s="50" t="str">
        <f>IFERROR(VLOOKUP(B83,[66]工程研发事业部人员名单!B:D,3,0),"")</f>
        <v>结构一室</v>
      </c>
      <c r="E83" s="57" t="s">
        <v>192</v>
      </c>
      <c r="F83" s="52">
        <f t="shared" si="3"/>
        <v>9.5</v>
      </c>
      <c r="G83" s="53"/>
      <c r="H83" s="53"/>
      <c r="I83" s="73">
        <v>9.5</v>
      </c>
      <c r="J83" s="53"/>
      <c r="K83" s="57"/>
      <c r="L83" s="57" t="s">
        <v>192</v>
      </c>
      <c r="M83" s="59" t="s">
        <v>411</v>
      </c>
      <c r="N83" s="58">
        <f>VLOOKUP(E83,订单号!B:C,2,0)</f>
        <v>0</v>
      </c>
      <c r="O83" s="35" t="e">
        <f>VLOOKUP(C83,领导干部!B:B,1,0)</f>
        <v>#N/A</v>
      </c>
      <c r="Q83" s="118" t="s">
        <v>412</v>
      </c>
      <c r="R83">
        <v>139</v>
      </c>
      <c r="S83">
        <f t="array" ref="S83">VLOOKUP(Q83&amp;R83,IF({1,0},$B$2:$B$330&amp;$F$2:$F$330,$C$2:$C$330),2,)</f>
        <v>22250</v>
      </c>
      <c r="T83" t="str">
        <f t="array" ref="T83">VLOOKUP(Q83&amp;R83,IF({1,0},$B$2:$B$330&amp;$F$2:$F$330,$D$2:$D$330),2,)</f>
        <v>联络工程室</v>
      </c>
      <c r="U83" s="35" t="str">
        <f t="array" ref="U83">VLOOKUP(Q83&amp;R83,IF({1,0},$B$2:$B$330&amp;$F$2:$F$330,$E$2:$E$330),2,)</f>
        <v>工程支持</v>
      </c>
      <c r="V83" s="35">
        <f t="array" ref="V83">VLOOKUP(Q83&amp;R83,IF({1,0},$B$2:$B$330&amp;$F$2:$F$330,$N$2:$N$330),2,)</f>
        <v>10502</v>
      </c>
    </row>
    <row r="84" s="35" customFormat="1" customHeight="1" spans="1:22">
      <c r="A84" s="47">
        <f t="shared" si="2"/>
        <v>83</v>
      </c>
      <c r="B84" s="48" t="s">
        <v>257</v>
      </c>
      <c r="C84" s="49">
        <f>IFERROR(VLOOKUP(B84,[66]工程研发事业部人员名单!B:D,2,0),"")</f>
        <v>51410</v>
      </c>
      <c r="D84" s="50" t="str">
        <f>IFERROR(VLOOKUP(B84,[66]工程研发事业部人员名单!B:D,3,0),"")</f>
        <v>结构一室</v>
      </c>
      <c r="E84" s="57" t="s">
        <v>192</v>
      </c>
      <c r="F84" s="52">
        <f t="shared" si="3"/>
        <v>4.5</v>
      </c>
      <c r="G84" s="53"/>
      <c r="H84" s="53"/>
      <c r="I84" s="73">
        <v>4.5</v>
      </c>
      <c r="J84" s="53"/>
      <c r="K84" s="57"/>
      <c r="L84" s="57" t="s">
        <v>192</v>
      </c>
      <c r="M84" s="59" t="s">
        <v>413</v>
      </c>
      <c r="N84" s="58">
        <f>VLOOKUP(E84,订单号!B:C,2,0)</f>
        <v>0</v>
      </c>
      <c r="O84" s="35" t="e">
        <f>VLOOKUP(C84,领导干部!B:B,1,0)</f>
        <v>#N/A</v>
      </c>
      <c r="Q84" s="118" t="s">
        <v>414</v>
      </c>
      <c r="R84">
        <v>4.8</v>
      </c>
      <c r="S84">
        <f t="array" ref="S84">VLOOKUP(Q84&amp;R84,IF({1,0},$B$2:$B$330&amp;$F$2:$F$330,$C$2:$C$330),2,)</f>
        <v>51162</v>
      </c>
      <c r="T84" t="str">
        <f t="array" ref="T84">VLOOKUP(Q84&amp;R84,IF({1,0},$B$2:$B$330&amp;$F$2:$F$330,$D$2:$D$330),2,)</f>
        <v>工程项目室 /适航工程室</v>
      </c>
      <c r="U84" s="35" t="str">
        <f t="array" ref="U84">VLOOKUP(Q84&amp;R84,IF({1,0},$B$2:$B$330&amp;$F$2:$F$330,$E$2:$E$330),2,)</f>
        <v>培训工作</v>
      </c>
      <c r="V84" s="35">
        <f t="array" ref="V84">VLOOKUP(Q84&amp;R84,IF({1,0},$B$2:$B$330&amp;$F$2:$F$330,$N$2:$N$330),2,)</f>
        <v>0</v>
      </c>
    </row>
    <row r="85" s="35" customFormat="1" customHeight="1" spans="1:22">
      <c r="A85" s="47">
        <f t="shared" si="2"/>
        <v>84</v>
      </c>
      <c r="B85" s="48" t="s">
        <v>335</v>
      </c>
      <c r="C85" s="49">
        <f>IFERROR(VLOOKUP(B85,[66]工程研发事业部人员名单!B:D,2,0),"")</f>
        <v>51641</v>
      </c>
      <c r="D85" s="50" t="str">
        <f>IFERROR(VLOOKUP(B85,[66]工程研发事业部人员名单!B:D,3,0),"")</f>
        <v>结构二室</v>
      </c>
      <c r="E85" s="57" t="s">
        <v>192</v>
      </c>
      <c r="F85" s="52">
        <f t="shared" si="3"/>
        <v>2</v>
      </c>
      <c r="G85" s="53"/>
      <c r="H85" s="53"/>
      <c r="I85" s="73">
        <v>2</v>
      </c>
      <c r="J85" s="53"/>
      <c r="K85" s="57"/>
      <c r="L85" s="57" t="s">
        <v>192</v>
      </c>
      <c r="M85" s="59" t="s">
        <v>415</v>
      </c>
      <c r="N85" s="58">
        <f>VLOOKUP(E85,订单号!B:C,2,0)</f>
        <v>0</v>
      </c>
      <c r="O85" s="35" t="e">
        <f>VLOOKUP(C85,领导干部!B:B,1,0)</f>
        <v>#N/A</v>
      </c>
      <c r="Q85" s="118" t="s">
        <v>259</v>
      </c>
      <c r="R85">
        <v>115</v>
      </c>
      <c r="S85">
        <f t="array" ref="S85">VLOOKUP(Q85&amp;R85,IF({1,0},$B$2:$B$330&amp;$F$2:$F$330,$C$2:$C$330),2,)</f>
        <v>51784</v>
      </c>
      <c r="T85" t="str">
        <f t="array" ref="T85">VLOOKUP(Q85&amp;R85,IF({1,0},$B$2:$B$330&amp;$F$2:$F$330,$D$2:$D$330),2,)</f>
        <v>结构一室</v>
      </c>
      <c r="U85" s="35" t="str">
        <f t="array" ref="U85">VLOOKUP(Q85&amp;R85,IF({1,0},$B$2:$B$330&amp;$F$2:$F$330,$E$2:$E$330),2,)</f>
        <v>C929设计（2025年上飞院）</v>
      </c>
      <c r="V85" s="35" t="str">
        <f t="array" ref="V85">VLOOKUP(Q85&amp;R85,IF({1,0},$B$2:$B$330&amp;$F$2:$F$330,$N$2:$N$330),2,)</f>
        <v>YZ40000415</v>
      </c>
    </row>
    <row r="86" s="35" customFormat="1" customHeight="1" spans="1:22">
      <c r="A86" s="47">
        <f t="shared" si="2"/>
        <v>85</v>
      </c>
      <c r="B86" s="48" t="s">
        <v>373</v>
      </c>
      <c r="C86" s="49">
        <f>IFERROR(VLOOKUP(B86,[66]工程研发事业部人员名单!B:D,2,0),"")</f>
        <v>51234</v>
      </c>
      <c r="D86" s="50" t="str">
        <f>IFERROR(VLOOKUP(B86,[66]工程研发事业部人员名单!B:D,3,0),"")</f>
        <v>结构二室</v>
      </c>
      <c r="E86" s="57" t="s">
        <v>192</v>
      </c>
      <c r="F86" s="52">
        <f t="shared" si="3"/>
        <v>3</v>
      </c>
      <c r="G86" s="53"/>
      <c r="H86" s="53"/>
      <c r="I86" s="73">
        <v>3</v>
      </c>
      <c r="J86" s="53"/>
      <c r="K86" s="57"/>
      <c r="L86" s="57" t="s">
        <v>192</v>
      </c>
      <c r="M86" s="59" t="s">
        <v>416</v>
      </c>
      <c r="N86" s="58">
        <f>VLOOKUP(E86,订单号!B:C,2,0)</f>
        <v>0</v>
      </c>
      <c r="O86" s="35" t="e">
        <f>VLOOKUP(C86,领导干部!B:B,1,0)</f>
        <v>#N/A</v>
      </c>
      <c r="Q86" s="118" t="s">
        <v>417</v>
      </c>
      <c r="R86">
        <v>157.51</v>
      </c>
      <c r="S86">
        <f t="array" ref="S86">VLOOKUP(Q86&amp;R86,IF({1,0},$B$2:$B$330&amp;$F$2:$F$330,$C$2:$C$330),2,)</f>
        <v>27106</v>
      </c>
      <c r="T86" t="str">
        <f t="array" ref="T86">VLOOKUP(Q86&amp;R86,IF({1,0},$B$2:$B$330&amp;$F$2:$F$330,$D$2:$D$330),2,)</f>
        <v>联络工程室</v>
      </c>
      <c r="U86" s="35" t="str">
        <f t="array" ref="U86">VLOOKUP(Q86&amp;R86,IF({1,0},$B$2:$B$330&amp;$F$2:$F$330,$E$2:$E$330),2,)</f>
        <v>工程支持</v>
      </c>
      <c r="V86" s="35">
        <f t="array" ref="V86">VLOOKUP(Q86&amp;R86,IF({1,0},$B$2:$B$330&amp;$F$2:$F$330,$N$2:$N$330),2,)</f>
        <v>10502</v>
      </c>
    </row>
    <row r="87" s="35" customFormat="1" customHeight="1" spans="1:22">
      <c r="A87" s="47">
        <f t="shared" si="2"/>
        <v>86</v>
      </c>
      <c r="B87" s="48" t="s">
        <v>262</v>
      </c>
      <c r="C87" s="49">
        <f>IFERROR(VLOOKUP(B87,[66]工程研发事业部人员名单!B:D,2,0),"")</f>
        <v>22294</v>
      </c>
      <c r="D87" s="50" t="str">
        <f>IFERROR(VLOOKUP(B87,[66]工程研发事业部人员名单!B:D,3,0),"")</f>
        <v>结构一室</v>
      </c>
      <c r="E87" s="57" t="s">
        <v>192</v>
      </c>
      <c r="F87" s="52">
        <f t="shared" si="3"/>
        <v>1</v>
      </c>
      <c r="G87" s="53"/>
      <c r="H87" s="53"/>
      <c r="I87" s="73">
        <v>1</v>
      </c>
      <c r="J87" s="53"/>
      <c r="K87" s="57"/>
      <c r="L87" s="57" t="s">
        <v>192</v>
      </c>
      <c r="M87" s="59" t="s">
        <v>418</v>
      </c>
      <c r="N87" s="58">
        <f>VLOOKUP(E87,订单号!B:C,2,0)</f>
        <v>0</v>
      </c>
      <c r="O87" s="35" t="e">
        <f>VLOOKUP(C87,领导干部!B:B,1,0)</f>
        <v>#N/A</v>
      </c>
      <c r="Q87" s="118" t="s">
        <v>419</v>
      </c>
      <c r="R87">
        <v>151.48</v>
      </c>
      <c r="S87">
        <f t="array" ref="S87">VLOOKUP(Q87&amp;R87,IF({1,0},$B$2:$B$330&amp;$F$2:$F$330,$C$2:$C$330),2,)</f>
        <v>51396</v>
      </c>
      <c r="T87" t="str">
        <f t="array" ref="T87">VLOOKUP(Q87&amp;R87,IF({1,0},$B$2:$B$330&amp;$F$2:$F$330,$D$2:$D$330),2,)</f>
        <v>联络工程室</v>
      </c>
      <c r="U87" s="35" t="str">
        <f t="array" ref="U87">VLOOKUP(Q87&amp;R87,IF({1,0},$B$2:$B$330&amp;$F$2:$F$330,$E$2:$E$330),2,)</f>
        <v>工程支持</v>
      </c>
      <c r="V87" s="35">
        <f t="array" ref="V87">VLOOKUP(Q87&amp;R87,IF({1,0},$B$2:$B$330&amp;$F$2:$F$330,$N$2:$N$330),2,)</f>
        <v>10502</v>
      </c>
    </row>
    <row r="88" s="35" customFormat="1" customHeight="1" spans="1:22">
      <c r="A88" s="47">
        <f t="shared" si="2"/>
        <v>87</v>
      </c>
      <c r="B88" s="48" t="s">
        <v>322</v>
      </c>
      <c r="C88" s="49">
        <f>IFERROR(VLOOKUP(B88,[66]工程研发事业部人员名单!B:D,2,0),"")</f>
        <v>51186</v>
      </c>
      <c r="D88" s="50" t="str">
        <f>IFERROR(VLOOKUP(B88,[66]工程研发事业部人员名单!B:D,3,0),"")</f>
        <v>结构二室</v>
      </c>
      <c r="E88" s="57" t="s">
        <v>192</v>
      </c>
      <c r="F88" s="52">
        <f t="shared" si="3"/>
        <v>1</v>
      </c>
      <c r="G88" s="53"/>
      <c r="H88" s="53"/>
      <c r="I88" s="73">
        <v>1</v>
      </c>
      <c r="J88" s="53"/>
      <c r="K88" s="57"/>
      <c r="L88" s="57" t="s">
        <v>192</v>
      </c>
      <c r="M88" s="59" t="s">
        <v>420</v>
      </c>
      <c r="N88" s="58">
        <f>VLOOKUP(E88,订单号!B:C,2,0)</f>
        <v>0</v>
      </c>
      <c r="O88" s="35" t="e">
        <f>VLOOKUP(C88,领导干部!B:B,1,0)</f>
        <v>#N/A</v>
      </c>
      <c r="Q88" s="118" t="s">
        <v>421</v>
      </c>
      <c r="R88">
        <v>180</v>
      </c>
      <c r="S88">
        <f t="array" ref="S88">VLOOKUP(Q88&amp;R88,IF({1,0},$B$2:$B$330&amp;$F$2:$F$330,$C$2:$C$330),2,)</f>
        <v>26654</v>
      </c>
      <c r="T88" t="str">
        <f t="array" ref="T88">VLOOKUP(Q88&amp;R88,IF({1,0},$B$2:$B$330&amp;$F$2:$F$330,$D$2:$D$330),2,)</f>
        <v>联络工程室</v>
      </c>
      <c r="U88" s="35" t="str">
        <f t="array" ref="U88">VLOOKUP(Q88&amp;R88,IF({1,0},$B$2:$B$330&amp;$F$2:$F$330,$E$2:$E$330),2,)</f>
        <v>SIA无人机设计-2</v>
      </c>
      <c r="V88" s="35" t="str">
        <f t="array" ref="V88">VLOOKUP(Q88&amp;R88,IF({1,0},$B$2:$B$330&amp;$F$2:$F$330,$N$2:$N$330),2,)</f>
        <v>YZ40000422</v>
      </c>
    </row>
    <row r="89" s="35" customFormat="1" customHeight="1" spans="1:22">
      <c r="A89" s="47">
        <f t="shared" si="2"/>
        <v>88</v>
      </c>
      <c r="B89" s="48" t="s">
        <v>422</v>
      </c>
      <c r="C89" s="49">
        <f>IFERROR(VLOOKUP(B89,[66]工程研发事业部人员名单!B:D,2,0),"")</f>
        <v>50065</v>
      </c>
      <c r="D89" s="50" t="str">
        <f>IFERROR(VLOOKUP(B89,[66]工程研发事业部人员名单!B:D,3,0),"")</f>
        <v>结构二室</v>
      </c>
      <c r="E89" s="57" t="s">
        <v>192</v>
      </c>
      <c r="F89" s="52">
        <f t="shared" si="3"/>
        <v>2</v>
      </c>
      <c r="G89" s="53"/>
      <c r="H89" s="53"/>
      <c r="I89" s="73">
        <v>2</v>
      </c>
      <c r="J89" s="53"/>
      <c r="K89" s="57"/>
      <c r="L89" s="57" t="s">
        <v>192</v>
      </c>
      <c r="M89" s="59" t="s">
        <v>423</v>
      </c>
      <c r="N89" s="58">
        <f>VLOOKUP(E89,订单号!B:C,2,0)</f>
        <v>0</v>
      </c>
      <c r="O89" s="35" t="e">
        <f>VLOOKUP(C89,领导干部!B:B,1,0)</f>
        <v>#N/A</v>
      </c>
      <c r="Q89" s="118" t="s">
        <v>424</v>
      </c>
      <c r="R89">
        <v>160.638</v>
      </c>
      <c r="S89">
        <f t="array" ref="S89">VLOOKUP(Q89&amp;R89,IF({1,0},$B$2:$B$330&amp;$F$2:$F$330,$C$2:$C$330),2,)</f>
        <v>50317</v>
      </c>
      <c r="T89" t="str">
        <f t="array" ref="T89">VLOOKUP(Q89&amp;R89,IF({1,0},$B$2:$B$330&amp;$F$2:$F$330,$D$2:$D$330),2,)</f>
        <v>联络工程室</v>
      </c>
      <c r="U89" s="35" t="str">
        <f t="array" ref="U89">VLOOKUP(Q89&amp;R89,IF({1,0},$B$2:$B$330&amp;$F$2:$F$330,$E$2:$E$330),2,)</f>
        <v>工程支持</v>
      </c>
      <c r="V89" s="35">
        <f t="array" ref="V89">VLOOKUP(Q89&amp;R89,IF({1,0},$B$2:$B$330&amp;$F$2:$F$330,$N$2:$N$330),2,)</f>
        <v>10502</v>
      </c>
    </row>
    <row r="90" s="35" customFormat="1" customHeight="1" spans="1:22">
      <c r="A90" s="47">
        <f t="shared" si="2"/>
        <v>89</v>
      </c>
      <c r="B90" s="48" t="s">
        <v>424</v>
      </c>
      <c r="C90" s="49">
        <f>IFERROR(VLOOKUP(B90,[66]工程研发事业部人员名单!B:D,2,0),"")</f>
        <v>50317</v>
      </c>
      <c r="D90" s="50" t="str">
        <f>IFERROR(VLOOKUP(B90,[66]工程研发事业部人员名单!B:D,3,0),"")</f>
        <v>联络工程室</v>
      </c>
      <c r="E90" s="57" t="s">
        <v>192</v>
      </c>
      <c r="F90" s="52">
        <f t="shared" si="3"/>
        <v>15</v>
      </c>
      <c r="G90" s="53"/>
      <c r="H90" s="53"/>
      <c r="I90" s="73">
        <v>15</v>
      </c>
      <c r="J90" s="53"/>
      <c r="K90" s="57"/>
      <c r="L90" s="57"/>
      <c r="M90" s="59" t="s">
        <v>425</v>
      </c>
      <c r="N90" s="58">
        <f>VLOOKUP(E90,订单号!B:C,2,0)</f>
        <v>0</v>
      </c>
      <c r="O90" s="35" t="e">
        <f>VLOOKUP(C90,领导干部!B:B,1,0)</f>
        <v>#N/A</v>
      </c>
      <c r="Q90" s="118" t="s">
        <v>426</v>
      </c>
      <c r="R90">
        <v>170</v>
      </c>
      <c r="S90">
        <f t="array" ref="S90">VLOOKUP(Q90&amp;R90,IF({1,0},$B$2:$B$330&amp;$F$2:$F$330,$C$2:$C$330),2,)</f>
        <v>51175</v>
      </c>
      <c r="T90" t="str">
        <f t="array" ref="T90">VLOOKUP(Q90&amp;R90,IF({1,0},$B$2:$B$330&amp;$F$2:$F$330,$D$2:$D$330),2,)</f>
        <v>强度室</v>
      </c>
      <c r="U90" s="35" t="str">
        <f t="array" ref="U90">VLOOKUP(Q90&amp;R90,IF({1,0},$B$2:$B$330&amp;$F$2:$F$330,$E$2:$E$330),2,)</f>
        <v>C929设计（2025年上飞院）</v>
      </c>
      <c r="V90" s="35" t="str">
        <f t="array" ref="V90">VLOOKUP(Q90&amp;R90,IF({1,0},$B$2:$B$330&amp;$F$2:$F$330,$N$2:$N$330),2,)</f>
        <v>YZ40000415</v>
      </c>
    </row>
    <row r="91" s="35" customFormat="1" customHeight="1" spans="1:22">
      <c r="A91" s="47">
        <f t="shared" si="2"/>
        <v>90</v>
      </c>
      <c r="B91" s="48" t="s">
        <v>427</v>
      </c>
      <c r="C91" s="49">
        <f>IFERROR(VLOOKUP(B91,[66]工程研发事业部人员名单!B:D,2,0),"")</f>
        <v>18672</v>
      </c>
      <c r="D91" s="50" t="str">
        <f>IFERROR(VLOOKUP(B91,[66]工程研发事业部人员名单!B:D,3,0),"")</f>
        <v>联络工程室</v>
      </c>
      <c r="E91" s="57" t="s">
        <v>192</v>
      </c>
      <c r="F91" s="52">
        <f t="shared" si="3"/>
        <v>9.5</v>
      </c>
      <c r="G91" s="53"/>
      <c r="H91" s="53"/>
      <c r="I91" s="73">
        <v>9.5</v>
      </c>
      <c r="J91" s="53"/>
      <c r="K91" s="57"/>
      <c r="L91" s="57"/>
      <c r="M91" s="59" t="s">
        <v>425</v>
      </c>
      <c r="N91" s="58">
        <f>VLOOKUP(E91,订单号!B:C,2,0)</f>
        <v>0</v>
      </c>
      <c r="O91" s="35" t="e">
        <f>VLOOKUP(C91,领导干部!B:B,1,0)</f>
        <v>#N/A</v>
      </c>
      <c r="Q91" s="118" t="s">
        <v>428</v>
      </c>
      <c r="R91">
        <v>180</v>
      </c>
      <c r="S91">
        <f t="array" ref="S91">VLOOKUP(Q91&amp;R91,IF({1,0},$B$2:$B$330&amp;$F$2:$F$330,$C$2:$C$330),2,)</f>
        <v>25762</v>
      </c>
      <c r="T91" t="str">
        <f t="array" ref="T91">VLOOKUP(Q91&amp;R91,IF({1,0},$B$2:$B$330&amp;$F$2:$F$330,$D$2:$D$330),2,)</f>
        <v>结构二室</v>
      </c>
      <c r="U91" s="35" t="str">
        <f t="array" ref="U91">VLOOKUP(Q91&amp;R91,IF({1,0},$B$2:$B$330&amp;$F$2:$F$330,$E$2:$E$330),2,)</f>
        <v>C929设计（2025年上飞院）</v>
      </c>
      <c r="V91" s="35" t="str">
        <f t="array" ref="V91">VLOOKUP(Q91&amp;R91,IF({1,0},$B$2:$B$330&amp;$F$2:$F$330,$N$2:$N$330),2,)</f>
        <v>YZ40000415</v>
      </c>
    </row>
    <row r="92" s="35" customFormat="1" customHeight="1" spans="1:22">
      <c r="A92" s="47">
        <f t="shared" si="2"/>
        <v>91</v>
      </c>
      <c r="B92" s="48" t="s">
        <v>56</v>
      </c>
      <c r="C92" s="49">
        <f>IFERROR(VLOOKUP(B92,[66]工程研发事业部人员名单!B:D,2,0),"")</f>
        <v>52560</v>
      </c>
      <c r="D92" s="50" t="str">
        <f>IFERROR(VLOOKUP(B92,[66]工程研发事业部人员名单!B:D,3,0),"")</f>
        <v>强度室</v>
      </c>
      <c r="E92" s="57" t="s">
        <v>192</v>
      </c>
      <c r="F92" s="52">
        <f t="shared" si="3"/>
        <v>5</v>
      </c>
      <c r="G92" s="53"/>
      <c r="H92" s="53"/>
      <c r="I92" s="73">
        <v>5</v>
      </c>
      <c r="J92" s="53"/>
      <c r="K92" s="57"/>
      <c r="L92" s="57"/>
      <c r="M92" s="59" t="s">
        <v>425</v>
      </c>
      <c r="N92" s="58">
        <f>VLOOKUP(E92,订单号!B:C,2,0)</f>
        <v>0</v>
      </c>
      <c r="O92" s="35" t="e">
        <f>VLOOKUP(C92,领导干部!B:B,1,0)</f>
        <v>#N/A</v>
      </c>
      <c r="Q92" s="118" t="s">
        <v>429</v>
      </c>
      <c r="R92">
        <v>80</v>
      </c>
      <c r="S92">
        <f t="array" ref="S92">VLOOKUP(Q92&amp;R92,IF({1,0},$B$2:$B$330&amp;$F$2:$F$330,$C$2:$C$330),2,)</f>
        <v>51226</v>
      </c>
      <c r="T92" t="str">
        <f t="array" ref="T92">VLOOKUP(Q92&amp;R92,IF({1,0},$B$2:$B$330&amp;$F$2:$F$330,$D$2:$D$330),2,)</f>
        <v>综合技术室</v>
      </c>
      <c r="U92" s="35" t="str">
        <f t="array" ref="U92">VLOOKUP(Q92&amp;R92,IF({1,0},$B$2:$B$330&amp;$F$2:$F$330,$E$2:$E$330),2,)</f>
        <v>工程支持</v>
      </c>
      <c r="V92" s="35">
        <f t="array" ref="V92">VLOOKUP(Q92&amp;R92,IF({1,0},$B$2:$B$330&amp;$F$2:$F$330,$N$2:$N$330),2,)</f>
        <v>10502</v>
      </c>
    </row>
    <row r="93" s="35" customFormat="1" customHeight="1" spans="1:22">
      <c r="A93" s="47">
        <f t="shared" si="2"/>
        <v>92</v>
      </c>
      <c r="B93" s="48" t="s">
        <v>226</v>
      </c>
      <c r="C93" s="49">
        <f>IFERROR(VLOOKUP(B93,[66]工程研发事业部人员名单!B:D,2,0),"")</f>
        <v>50876</v>
      </c>
      <c r="D93" s="50" t="str">
        <f>IFERROR(VLOOKUP(B93,[66]工程研发事业部人员名单!B:D,3,0),"")</f>
        <v>工程项目室 /适航工程室</v>
      </c>
      <c r="E93" s="57" t="s">
        <v>192</v>
      </c>
      <c r="F93" s="52">
        <f t="shared" si="3"/>
        <v>2</v>
      </c>
      <c r="G93" s="53"/>
      <c r="H93" s="53"/>
      <c r="I93" s="73">
        <v>2</v>
      </c>
      <c r="J93" s="53"/>
      <c r="K93" s="57"/>
      <c r="L93" s="57"/>
      <c r="M93" s="59" t="s">
        <v>425</v>
      </c>
      <c r="N93" s="58">
        <f>VLOOKUP(E93,订单号!B:C,2,0)</f>
        <v>0</v>
      </c>
      <c r="O93" s="35" t="e">
        <f>VLOOKUP(C93,领导干部!B:B,1,0)</f>
        <v>#N/A</v>
      </c>
      <c r="Q93" s="118" t="s">
        <v>430</v>
      </c>
      <c r="R93">
        <v>155</v>
      </c>
      <c r="S93">
        <f t="array" ref="S93">VLOOKUP(Q93&amp;R93,IF({1,0},$B$2:$B$330&amp;$F$2:$F$330,$C$2:$C$330),2,)</f>
        <v>25071</v>
      </c>
      <c r="T93" t="str">
        <f t="array" ref="T93">VLOOKUP(Q93&amp;R93,IF({1,0},$B$2:$B$330&amp;$F$2:$F$330,$D$2:$D$330),2,)</f>
        <v>结构一室</v>
      </c>
      <c r="U93" s="35" t="str">
        <f t="array" ref="U93">VLOOKUP(Q93&amp;R93,IF({1,0},$B$2:$B$330&amp;$F$2:$F$330,$E$2:$E$330),2,)</f>
        <v>WH1项目结构强度综合</v>
      </c>
      <c r="V93" s="35" t="str">
        <f t="array" ref="V93">VLOOKUP(Q93&amp;R93,IF({1,0},$B$2:$B$330&amp;$F$2:$F$330,$N$2:$N$330),2,)</f>
        <v>YZ-RD202428</v>
      </c>
    </row>
    <row r="94" s="35" customFormat="1" customHeight="1" spans="1:22">
      <c r="A94" s="47">
        <f t="shared" si="2"/>
        <v>93</v>
      </c>
      <c r="B94" s="48" t="s">
        <v>327</v>
      </c>
      <c r="C94" s="49">
        <f>IFERROR(VLOOKUP(B94,[66]工程研发事业部人员名单!B:D,2,0),"")</f>
        <v>17243</v>
      </c>
      <c r="D94" s="50" t="str">
        <f>IFERROR(VLOOKUP(B94,[66]工程研发事业部人员名单!B:D,3,0),"")</f>
        <v>总体室</v>
      </c>
      <c r="E94" s="57" t="s">
        <v>193</v>
      </c>
      <c r="F94" s="52">
        <f t="shared" si="3"/>
        <v>4.8</v>
      </c>
      <c r="G94" s="53"/>
      <c r="H94" s="53"/>
      <c r="I94" s="73">
        <v>4.8</v>
      </c>
      <c r="J94" s="53"/>
      <c r="K94" s="57"/>
      <c r="L94" s="57"/>
      <c r="M94" s="59" t="s">
        <v>431</v>
      </c>
      <c r="N94" s="58">
        <f>VLOOKUP(E94,订单号!B:C,2,0)</f>
        <v>0</v>
      </c>
      <c r="O94" s="35" t="e">
        <f>VLOOKUP(C94,领导干部!B:B,1,0)</f>
        <v>#N/A</v>
      </c>
      <c r="Q94" s="118" t="s">
        <v>432</v>
      </c>
      <c r="R94">
        <v>155</v>
      </c>
      <c r="S94">
        <f t="array" ref="S94">VLOOKUP(Q94&amp;R94,IF({1,0},$B$2:$B$330&amp;$F$2:$F$330,$C$2:$C$330),2,)</f>
        <v>25599</v>
      </c>
      <c r="T94" t="str">
        <f t="array" ref="T94">VLOOKUP(Q94&amp;R94,IF({1,0},$B$2:$B$330&amp;$F$2:$F$330,$D$2:$D$330),2,)</f>
        <v>联络工程室</v>
      </c>
      <c r="U94" s="35" t="str">
        <f t="array" ref="U94">VLOOKUP(Q94&amp;R94,IF({1,0},$B$2:$B$330&amp;$F$2:$F$330,$E$2:$E$330),2,)</f>
        <v>WH1项目结构强度综合</v>
      </c>
      <c r="V94" s="35" t="str">
        <f t="array" ref="V94">VLOOKUP(Q94&amp;R94,IF({1,0},$B$2:$B$330&amp;$F$2:$F$330,$N$2:$N$330),2,)</f>
        <v>YZ-RD202428</v>
      </c>
    </row>
    <row r="95" s="35" customFormat="1" customHeight="1" spans="1:22">
      <c r="A95" s="47">
        <f t="shared" si="2"/>
        <v>94</v>
      </c>
      <c r="B95" s="48" t="s">
        <v>400</v>
      </c>
      <c r="C95" s="49">
        <f>IFERROR(VLOOKUP(B95,[66]工程研发事业部人员名单!B:D,2,0),"")</f>
        <v>17725</v>
      </c>
      <c r="D95" s="50" t="str">
        <f>IFERROR(VLOOKUP(B95,[66]工程研发事业部人员名单!B:D,3,0),"")</f>
        <v>总体室</v>
      </c>
      <c r="E95" s="57" t="s">
        <v>193</v>
      </c>
      <c r="F95" s="52">
        <f t="shared" si="3"/>
        <v>4.8</v>
      </c>
      <c r="G95" s="53"/>
      <c r="H95" s="53"/>
      <c r="I95" s="73">
        <v>4.8</v>
      </c>
      <c r="J95" s="53"/>
      <c r="K95" s="57"/>
      <c r="L95" s="57"/>
      <c r="M95" s="59" t="s">
        <v>433</v>
      </c>
      <c r="N95" s="58">
        <f>VLOOKUP(E95,订单号!B:C,2,0)</f>
        <v>0</v>
      </c>
      <c r="O95" s="35" t="e">
        <f>VLOOKUP(C95,领导干部!B:B,1,0)</f>
        <v>#N/A</v>
      </c>
      <c r="Q95" s="118" t="s">
        <v>305</v>
      </c>
      <c r="R95">
        <v>62</v>
      </c>
      <c r="S95">
        <f t="array" ref="S95">VLOOKUP(Q95&amp;R95,IF({1,0},$B$2:$B$330&amp;$F$2:$F$330,$C$2:$C$330),2,)</f>
        <v>51389</v>
      </c>
      <c r="T95" t="str">
        <f t="array" ref="T95">VLOOKUP(Q95&amp;R95,IF({1,0},$B$2:$B$330&amp;$F$2:$F$330,$D$2:$D$330),2,)</f>
        <v>系统室</v>
      </c>
      <c r="U95" s="35" t="str">
        <f t="array" ref="U95">VLOOKUP(Q95&amp;R95,IF({1,0},$B$2:$B$330&amp;$F$2:$F$330,$E$2:$E$330),2,)</f>
        <v>C919手册优化（2025年复材中心）</v>
      </c>
      <c r="V95" s="35" t="str">
        <f t="array" ref="V95">VLOOKUP(Q95&amp;R95,IF({1,0},$B$2:$B$330&amp;$F$2:$F$330,$N$2:$N$330),2,)</f>
        <v>YZ40000416</v>
      </c>
    </row>
    <row r="96" s="35" customFormat="1" customHeight="1" spans="1:22">
      <c r="A96" s="47">
        <f t="shared" si="2"/>
        <v>95</v>
      </c>
      <c r="B96" s="48" t="s">
        <v>342</v>
      </c>
      <c r="C96" s="49">
        <f>IFERROR(VLOOKUP(B96,[66]工程研发事业部人员名单!B:D,2,0),"")</f>
        <v>50702</v>
      </c>
      <c r="D96" s="50" t="str">
        <f>IFERROR(VLOOKUP(B96,[66]工程研发事业部人员名单!B:D,3,0),"")</f>
        <v>总体室</v>
      </c>
      <c r="E96" s="57" t="s">
        <v>193</v>
      </c>
      <c r="F96" s="52">
        <f t="shared" si="3"/>
        <v>2.4</v>
      </c>
      <c r="G96" s="53"/>
      <c r="H96" s="53"/>
      <c r="I96" s="73">
        <v>2.4</v>
      </c>
      <c r="J96" s="53"/>
      <c r="K96" s="57"/>
      <c r="L96" s="57"/>
      <c r="M96" s="59" t="s">
        <v>434</v>
      </c>
      <c r="N96" s="58">
        <f>VLOOKUP(E96,订单号!B:C,2,0)</f>
        <v>0</v>
      </c>
      <c r="O96" s="35" t="e">
        <f>VLOOKUP(C96,领导干部!B:B,1,0)</f>
        <v>#N/A</v>
      </c>
      <c r="Q96" s="118" t="s">
        <v>262</v>
      </c>
      <c r="R96">
        <v>200</v>
      </c>
      <c r="S96">
        <f t="array" ref="S96">VLOOKUP(Q96&amp;R96,IF({1,0},$B$2:$B$330&amp;$F$2:$F$330,$C$2:$C$330),2,)</f>
        <v>22294</v>
      </c>
      <c r="T96" t="str">
        <f t="array" ref="T96">VLOOKUP(Q96&amp;R96,IF({1,0},$B$2:$B$330&amp;$F$2:$F$330,$D$2:$D$330),2,)</f>
        <v>结构一室</v>
      </c>
      <c r="U96" s="35" t="str">
        <f t="array" ref="U96">VLOOKUP(Q96&amp;R96,IF({1,0},$B$2:$B$330&amp;$F$2:$F$330,$E$2:$E$330),2,)</f>
        <v>WH1项目结构强度综合</v>
      </c>
      <c r="V96" s="35" t="str">
        <f t="array" ref="V96">VLOOKUP(Q96&amp;R96,IF({1,0},$B$2:$B$330&amp;$F$2:$F$330,$N$2:$N$330),2,)</f>
        <v>YZ-RD202428</v>
      </c>
    </row>
    <row r="97" s="35" customFormat="1" customHeight="1" spans="1:22">
      <c r="A97" s="47">
        <f t="shared" si="2"/>
        <v>96</v>
      </c>
      <c r="B97" s="48" t="s">
        <v>336</v>
      </c>
      <c r="C97" s="49">
        <f>IFERROR(VLOOKUP(B97,[66]工程研发事业部人员名单!B:D,2,0),"")</f>
        <v>18550</v>
      </c>
      <c r="D97" s="50" t="str">
        <f>IFERROR(VLOOKUP(B97,[66]工程研发事业部人员名单!B:D,3,0),"")</f>
        <v>总体室</v>
      </c>
      <c r="E97" s="57" t="s">
        <v>193</v>
      </c>
      <c r="F97" s="52">
        <f t="shared" si="3"/>
        <v>9.6</v>
      </c>
      <c r="G97" s="53"/>
      <c r="H97" s="53"/>
      <c r="I97" s="73">
        <v>9.6</v>
      </c>
      <c r="J97" s="53"/>
      <c r="K97" s="57"/>
      <c r="L97" s="57"/>
      <c r="M97" s="59" t="s">
        <v>435</v>
      </c>
      <c r="N97" s="58">
        <f>VLOOKUP(E97,订单号!B:C,2,0)</f>
        <v>0</v>
      </c>
      <c r="O97" s="35" t="e">
        <f>VLOOKUP(C97,领导干部!B:B,1,0)</f>
        <v>#N/A</v>
      </c>
      <c r="Q97" s="118" t="s">
        <v>376</v>
      </c>
      <c r="R97">
        <v>91</v>
      </c>
      <c r="S97">
        <f t="array" ref="S97">VLOOKUP(Q97&amp;R97,IF({1,0},$B$2:$B$330&amp;$F$2:$F$330,$C$2:$C$330),2,)</f>
        <v>50872</v>
      </c>
      <c r="T97" t="str">
        <f t="array" ref="T97">VLOOKUP(Q97&amp;R97,IF({1,0},$B$2:$B$330&amp;$F$2:$F$330,$D$2:$D$330),2,)</f>
        <v>系统室</v>
      </c>
      <c r="U97" s="35" t="str">
        <f t="array" ref="U97">VLOOKUP(Q97&amp;R97,IF({1,0},$B$2:$B$330&amp;$F$2:$F$330,$E$2:$E$330),2,)</f>
        <v>C919手册优化（2025年复材中心）</v>
      </c>
      <c r="V97" s="35" t="str">
        <f t="array" ref="V97">VLOOKUP(Q97&amp;R97,IF({1,0},$B$2:$B$330&amp;$F$2:$F$330,$N$2:$N$330),2,)</f>
        <v>YZ40000416</v>
      </c>
    </row>
    <row r="98" s="35" customFormat="1" customHeight="1" spans="1:22">
      <c r="A98" s="47">
        <f t="shared" si="2"/>
        <v>97</v>
      </c>
      <c r="B98" s="48" t="s">
        <v>436</v>
      </c>
      <c r="C98" s="49">
        <f>IFERROR(VLOOKUP(B98,[66]工程研发事业部人员名单!B:D,2,0),"")</f>
        <v>17242</v>
      </c>
      <c r="D98" s="50" t="str">
        <f>IFERROR(VLOOKUP(B98,[66]工程研发事业部人员名单!B:D,3,0),"")</f>
        <v>办公室</v>
      </c>
      <c r="E98" s="57" t="s">
        <v>193</v>
      </c>
      <c r="F98" s="52">
        <f t="shared" si="3"/>
        <v>4.8</v>
      </c>
      <c r="G98" s="53"/>
      <c r="H98" s="53"/>
      <c r="I98" s="73">
        <v>4.8</v>
      </c>
      <c r="J98" s="53"/>
      <c r="K98" s="57"/>
      <c r="L98" s="57"/>
      <c r="M98" s="59" t="s">
        <v>437</v>
      </c>
      <c r="N98" s="58">
        <f>VLOOKUP(E98,订单号!B:C,2,0)</f>
        <v>0</v>
      </c>
      <c r="O98" s="35">
        <f>VLOOKUP(C98,领导干部!B:B,1,0)</f>
        <v>17242</v>
      </c>
      <c r="Q98" s="118" t="s">
        <v>226</v>
      </c>
      <c r="R98">
        <v>60</v>
      </c>
      <c r="S98">
        <f t="array" ref="S98">VLOOKUP(Q98&amp;R98,IF({1,0},$B$2:$B$330&amp;$F$2:$F$330,$C$2:$C$330),2,)</f>
        <v>50876</v>
      </c>
      <c r="T98" t="str">
        <f t="array" ref="T98">VLOOKUP(Q98&amp;R98,IF({1,0},$B$2:$B$330&amp;$F$2:$F$330,$D$2:$D$330),2,)</f>
        <v>工程项目室 /适航工程室</v>
      </c>
      <c r="U98" s="35" t="str">
        <f t="array" ref="U98">VLOOKUP(Q98&amp;R98,IF({1,0},$B$2:$B$330&amp;$F$2:$F$330,$E$2:$E$330),2,)</f>
        <v>项目开发与管控</v>
      </c>
      <c r="V98" s="35" t="e">
        <f t="array" ref="V98">VLOOKUP(Q98&amp;R98,IF({1,0},$B$2:$B$330&amp;$F$2:$F$330,$N$2:$N$330),2,)</f>
        <v>#N/A</v>
      </c>
    </row>
    <row r="99" s="35" customFormat="1" customHeight="1" spans="1:22">
      <c r="A99" s="47">
        <f t="shared" si="2"/>
        <v>98</v>
      </c>
      <c r="B99" s="48" t="s">
        <v>414</v>
      </c>
      <c r="C99" s="49">
        <f>IFERROR(VLOOKUP(B99,[66]工程研发事业部人员名单!B:D,2,0),"")</f>
        <v>51162</v>
      </c>
      <c r="D99" s="50" t="str">
        <f>IFERROR(VLOOKUP(B99,[66]工程研发事业部人员名单!B:D,3,0),"")</f>
        <v>工程项目室 /适航工程室</v>
      </c>
      <c r="E99" s="57" t="s">
        <v>193</v>
      </c>
      <c r="F99" s="52">
        <f t="shared" si="3"/>
        <v>4.8</v>
      </c>
      <c r="G99" s="53"/>
      <c r="H99" s="53"/>
      <c r="I99" s="73">
        <v>4.8</v>
      </c>
      <c r="J99" s="53"/>
      <c r="K99" s="57"/>
      <c r="L99" s="57"/>
      <c r="M99" s="59" t="s">
        <v>438</v>
      </c>
      <c r="N99" s="58">
        <f>VLOOKUP(E99,订单号!B:C,2,0)</f>
        <v>0</v>
      </c>
      <c r="O99" s="35">
        <f>VLOOKUP(C99,领导干部!B:B,1,0)</f>
        <v>51162</v>
      </c>
      <c r="Q99" s="118" t="s">
        <v>314</v>
      </c>
      <c r="R99">
        <v>210</v>
      </c>
      <c r="S99">
        <f t="array" ref="S99">VLOOKUP(Q99&amp;R99,IF({1,0},$B$2:$B$330&amp;$F$2:$F$330,$C$2:$C$330),2,)</f>
        <v>51407</v>
      </c>
      <c r="T99" t="str">
        <f t="array" ref="T99">VLOOKUP(Q99&amp;R99,IF({1,0},$B$2:$B$330&amp;$F$2:$F$330,$D$2:$D$330),2,)</f>
        <v>结构二室</v>
      </c>
      <c r="U99" s="35" t="str">
        <f t="array" ref="U99">VLOOKUP(Q99&amp;R99,IF({1,0},$B$2:$B$330&amp;$F$2:$F$330,$E$2:$E$330),2,)</f>
        <v>C929设计（2025年复材中心）</v>
      </c>
      <c r="V99" s="35" t="str">
        <f t="array" ref="V99">VLOOKUP(Q99&amp;R99,IF({1,0},$B$2:$B$330&amp;$F$2:$F$330,$N$2:$N$330),2,)</f>
        <v>YZ40000418</v>
      </c>
    </row>
    <row r="100" s="35" customFormat="1" customHeight="1" spans="1:22">
      <c r="A100" s="47">
        <f t="shared" si="2"/>
        <v>99</v>
      </c>
      <c r="B100" s="48" t="s">
        <v>226</v>
      </c>
      <c r="C100" s="49">
        <f>IFERROR(VLOOKUP(B100,[66]工程研发事业部人员名单!B:D,2,0),"")</f>
        <v>50876</v>
      </c>
      <c r="D100" s="50" t="str">
        <f>IFERROR(VLOOKUP(B100,[66]工程研发事业部人员名单!B:D,3,0),"")</f>
        <v>工程项目室 /适航工程室</v>
      </c>
      <c r="E100" s="57" t="s">
        <v>193</v>
      </c>
      <c r="F100" s="52">
        <f t="shared" si="3"/>
        <v>4.8</v>
      </c>
      <c r="G100" s="53"/>
      <c r="H100" s="53"/>
      <c r="I100" s="73">
        <v>4.8</v>
      </c>
      <c r="J100" s="53"/>
      <c r="K100" s="57"/>
      <c r="L100" s="57"/>
      <c r="M100" s="59" t="s">
        <v>439</v>
      </c>
      <c r="N100" s="58">
        <f>VLOOKUP(E100,订单号!B:C,2,0)</f>
        <v>0</v>
      </c>
      <c r="O100" s="35" t="e">
        <f>VLOOKUP(C100,领导干部!B:B,1,0)</f>
        <v>#N/A</v>
      </c>
      <c r="Q100" s="118" t="s">
        <v>440</v>
      </c>
      <c r="R100">
        <v>190</v>
      </c>
      <c r="S100">
        <f t="array" ref="S100">VLOOKUP(Q100&amp;R100,IF({1,0},$B$2:$B$330&amp;$F$2:$F$330,$C$2:$C$330),2,)</f>
        <v>50716</v>
      </c>
      <c r="T100" t="str">
        <f t="array" ref="T100">VLOOKUP(Q100&amp;R100,IF({1,0},$B$2:$B$330&amp;$F$2:$F$330,$D$2:$D$330),2,)</f>
        <v>强度室</v>
      </c>
      <c r="U100" s="35" t="str">
        <f t="array" ref="U100">VLOOKUP(Q100&amp;R100,IF({1,0},$B$2:$B$330&amp;$F$2:$F$330,$E$2:$E$330),2,)</f>
        <v>C929设计（2025年复材中心）</v>
      </c>
      <c r="V100" s="35" t="str">
        <f t="array" ref="V100">VLOOKUP(Q100&amp;R100,IF({1,0},$B$2:$B$330&amp;$F$2:$F$330,$N$2:$N$330),2,)</f>
        <v>YZ40000418</v>
      </c>
    </row>
    <row r="101" s="35" customFormat="1" customHeight="1" spans="1:22">
      <c r="A101" s="47">
        <f t="shared" si="2"/>
        <v>100</v>
      </c>
      <c r="B101" s="48" t="s">
        <v>441</v>
      </c>
      <c r="C101" s="49">
        <f>IFERROR(VLOOKUP(B101,[66]工程研发事业部人员名单!B:D,2,0),"")</f>
        <v>50709</v>
      </c>
      <c r="D101" s="50" t="str">
        <f>IFERROR(VLOOKUP(B101,[66]工程研发事业部人员名单!B:D,3,0),"")</f>
        <v>系统室</v>
      </c>
      <c r="E101" s="57" t="s">
        <v>193</v>
      </c>
      <c r="F101" s="52">
        <f t="shared" si="3"/>
        <v>3.6</v>
      </c>
      <c r="G101" s="53"/>
      <c r="H101" s="53"/>
      <c r="I101" s="73">
        <v>3.6</v>
      </c>
      <c r="J101" s="53"/>
      <c r="K101" s="57"/>
      <c r="L101" s="57"/>
      <c r="M101" s="59" t="s">
        <v>442</v>
      </c>
      <c r="N101" s="58">
        <f>VLOOKUP(E101,订单号!B:C,2,0)</f>
        <v>0</v>
      </c>
      <c r="O101" s="35">
        <f>VLOOKUP(C101,领导干部!B:B,1,0)</f>
        <v>50709</v>
      </c>
      <c r="Q101" s="118" t="s">
        <v>125</v>
      </c>
      <c r="R101">
        <v>70</v>
      </c>
      <c r="S101">
        <f t="array" ref="S101">VLOOKUP(Q101&amp;R101,IF({1,0},$B$2:$B$330&amp;$F$2:$F$330,$C$2:$C$330),2,)</f>
        <v>50079</v>
      </c>
      <c r="T101" t="str">
        <f t="array" ref="T101">VLOOKUP(Q101&amp;R101,IF({1,0},$B$2:$B$330&amp;$F$2:$F$330,$D$2:$D$330),2,)</f>
        <v>工程项目室 /适航工程室</v>
      </c>
      <c r="U101" s="35" t="str">
        <f t="array" ref="U101">VLOOKUP(Q101&amp;R101,IF({1,0},$B$2:$B$330&amp;$F$2:$F$330,$E$2:$E$330),2,)</f>
        <v>项目开发与管控</v>
      </c>
      <c r="V101" s="35" t="e">
        <f t="array" ref="V101">VLOOKUP(Q101&amp;R101,IF({1,0},$B$2:$B$330&amp;$F$2:$F$330,$N$2:$N$330),2,)</f>
        <v>#N/A</v>
      </c>
    </row>
    <row r="102" s="35" customFormat="1" customHeight="1" spans="1:22">
      <c r="A102" s="47">
        <f t="shared" si="2"/>
        <v>101</v>
      </c>
      <c r="B102" s="48" t="s">
        <v>443</v>
      </c>
      <c r="C102" s="49">
        <f>IFERROR(VLOOKUP(B102,[66]工程研发事业部人员名单!B:D,2,0),"")</f>
        <v>14901</v>
      </c>
      <c r="D102" s="50" t="str">
        <f>IFERROR(VLOOKUP(B102,[66]工程研发事业部人员名单!B:D,3,0),"")</f>
        <v>联络工程室</v>
      </c>
      <c r="E102" s="57" t="s">
        <v>193</v>
      </c>
      <c r="F102" s="52">
        <f t="shared" si="3"/>
        <v>4.8</v>
      </c>
      <c r="G102" s="53"/>
      <c r="H102" s="53"/>
      <c r="I102" s="73">
        <v>4.8</v>
      </c>
      <c r="J102" s="53"/>
      <c r="K102" s="57"/>
      <c r="L102" s="57"/>
      <c r="M102" s="59" t="s">
        <v>444</v>
      </c>
      <c r="N102" s="58">
        <f>VLOOKUP(E102,订单号!B:C,2,0)</f>
        <v>0</v>
      </c>
      <c r="O102" s="35" t="e">
        <f>VLOOKUP(C102,领导干部!B:B,1,0)</f>
        <v>#N/A</v>
      </c>
      <c r="Q102" s="118" t="s">
        <v>445</v>
      </c>
      <c r="R102">
        <v>213</v>
      </c>
      <c r="S102">
        <f t="array" ref="S102">VLOOKUP(Q102&amp;R102,IF({1,0},$B$2:$B$330&amp;$F$2:$F$330,$C$2:$C$330),2,)</f>
        <v>51194</v>
      </c>
      <c r="T102" t="str">
        <f t="array" ref="T102">VLOOKUP(Q102&amp;R102,IF({1,0},$B$2:$B$330&amp;$F$2:$F$330,$D$2:$D$330),2,)</f>
        <v>强度室</v>
      </c>
      <c r="U102" s="35" t="str">
        <f t="array" ref="U102">VLOOKUP(Q102&amp;R102,IF({1,0},$B$2:$B$330&amp;$F$2:$F$330,$E$2:$E$330),2,)</f>
        <v>WH1项目结构强度综合</v>
      </c>
      <c r="V102" s="35" t="str">
        <f t="array" ref="V102">VLOOKUP(Q102&amp;R102,IF({1,0},$B$2:$B$330&amp;$F$2:$F$330,$N$2:$N$330),2,)</f>
        <v>YZ-RD202428</v>
      </c>
    </row>
    <row r="103" s="35" customFormat="1" customHeight="1" spans="1:22">
      <c r="A103" s="47">
        <f t="shared" si="2"/>
        <v>102</v>
      </c>
      <c r="B103" s="48" t="s">
        <v>253</v>
      </c>
      <c r="C103" s="49">
        <f>IFERROR(VLOOKUP(B103,[66]工程研发事业部人员名单!B:D,2,0),"")</f>
        <v>17732</v>
      </c>
      <c r="D103" s="50" t="str">
        <f>IFERROR(VLOOKUP(B103,[66]工程研发事业部人员名单!B:D,3,0),"")</f>
        <v>联络工程室</v>
      </c>
      <c r="E103" s="57" t="s">
        <v>193</v>
      </c>
      <c r="F103" s="52">
        <f t="shared" si="3"/>
        <v>3.6</v>
      </c>
      <c r="G103" s="53"/>
      <c r="H103" s="53"/>
      <c r="I103" s="73">
        <v>3.6</v>
      </c>
      <c r="J103" s="53"/>
      <c r="K103" s="57"/>
      <c r="L103" s="57"/>
      <c r="M103" s="59" t="s">
        <v>446</v>
      </c>
      <c r="N103" s="58">
        <f>VLOOKUP(E103,订单号!B:C,2,0)</f>
        <v>0</v>
      </c>
      <c r="O103" s="35" t="e">
        <f>VLOOKUP(C103,领导干部!B:B,1,0)</f>
        <v>#N/A</v>
      </c>
      <c r="Q103" s="118" t="s">
        <v>447</v>
      </c>
      <c r="R103">
        <v>180</v>
      </c>
      <c r="S103">
        <f t="array" ref="S103">VLOOKUP(Q103&amp;R103,IF({1,0},$B$2:$B$330&amp;$F$2:$F$330,$C$2:$C$330),2,)</f>
        <v>52347</v>
      </c>
      <c r="T103" t="str">
        <f t="array" ref="T103">VLOOKUP(Q103&amp;R103,IF({1,0},$B$2:$B$330&amp;$F$2:$F$330,$D$2:$D$330),2,)</f>
        <v>强度室</v>
      </c>
      <c r="U103" s="35" t="str">
        <f t="array" ref="U103">VLOOKUP(Q103&amp;R103,IF({1,0},$B$2:$B$330&amp;$F$2:$F$330,$E$2:$E$330),2,)</f>
        <v>WH1项目结构强度综合</v>
      </c>
      <c r="V103" s="35" t="str">
        <f t="array" ref="V103">VLOOKUP(Q103&amp;R103,IF({1,0},$B$2:$B$330&amp;$F$2:$F$330,$N$2:$N$330),2,)</f>
        <v>YZ-RD202428</v>
      </c>
    </row>
    <row r="104" s="35" customFormat="1" customHeight="1" spans="1:22">
      <c r="A104" s="47">
        <f t="shared" si="2"/>
        <v>103</v>
      </c>
      <c r="B104" s="48" t="s">
        <v>242</v>
      </c>
      <c r="C104" s="49">
        <f>IFERROR(VLOOKUP(B104,[66]工程研发事业部人员名单!B:D,2,0),"")</f>
        <v>25549</v>
      </c>
      <c r="D104" s="50" t="str">
        <f>IFERROR(VLOOKUP(B104,[66]工程研发事业部人员名单!B:D,3,0),"")</f>
        <v>联络工程室</v>
      </c>
      <c r="E104" s="57" t="s">
        <v>193</v>
      </c>
      <c r="F104" s="52">
        <f t="shared" si="3"/>
        <v>2.4</v>
      </c>
      <c r="G104" s="53"/>
      <c r="H104" s="53"/>
      <c r="I104" s="73">
        <v>2.4</v>
      </c>
      <c r="J104" s="53"/>
      <c r="K104" s="57"/>
      <c r="L104" s="57"/>
      <c r="M104" s="59" t="s">
        <v>448</v>
      </c>
      <c r="N104" s="58">
        <f>VLOOKUP(E104,订单号!B:C,2,0)</f>
        <v>0</v>
      </c>
      <c r="O104" s="35" t="e">
        <f>VLOOKUP(C104,领导干部!B:B,1,0)</f>
        <v>#N/A</v>
      </c>
      <c r="Q104" s="118" t="s">
        <v>267</v>
      </c>
      <c r="R104">
        <v>200</v>
      </c>
      <c r="S104">
        <f t="array" ref="S104">VLOOKUP(Q104&amp;R104,IF({1,0},$B$2:$B$330&amp;$F$2:$F$330,$C$2:$C$330),2,)</f>
        <v>51624</v>
      </c>
      <c r="T104" t="str">
        <f t="array" ref="T104">VLOOKUP(Q104&amp;R104,IF({1,0},$B$2:$B$330&amp;$F$2:$F$330,$D$2:$D$330),2,)</f>
        <v>结构一室</v>
      </c>
      <c r="U104" s="35" t="str">
        <f t="array" ref="U104">VLOOKUP(Q104&amp;R104,IF({1,0},$B$2:$B$330&amp;$F$2:$F$330,$E$2:$E$330),2,)</f>
        <v>C929设计（2025年复材中心）</v>
      </c>
      <c r="V104" s="35" t="str">
        <f t="array" ref="V104">VLOOKUP(Q104&amp;R104,IF({1,0},$B$2:$B$330&amp;$F$2:$F$330,$N$2:$N$330),2,)</f>
        <v>YZ40000418</v>
      </c>
    </row>
    <row r="105" s="35" customFormat="1" customHeight="1" spans="1:22">
      <c r="A105" s="47">
        <f t="shared" si="2"/>
        <v>104</v>
      </c>
      <c r="B105" s="48" t="s">
        <v>409</v>
      </c>
      <c r="C105" s="49">
        <f>IFERROR(VLOOKUP(B105,[66]工程研发事业部人员名单!B:D,2,0),"")</f>
        <v>26621</v>
      </c>
      <c r="D105" s="50" t="str">
        <f>IFERROR(VLOOKUP(B105,[66]工程研发事业部人员名单!B:D,3,0),"")</f>
        <v>联络工程室</v>
      </c>
      <c r="E105" s="57" t="s">
        <v>193</v>
      </c>
      <c r="F105" s="52">
        <f t="shared" si="3"/>
        <v>4.8</v>
      </c>
      <c r="G105" s="53"/>
      <c r="H105" s="53"/>
      <c r="I105" s="73">
        <v>4.8</v>
      </c>
      <c r="J105" s="53"/>
      <c r="K105" s="57"/>
      <c r="L105" s="57"/>
      <c r="M105" s="59" t="s">
        <v>449</v>
      </c>
      <c r="N105" s="58">
        <f>VLOOKUP(E105,订单号!B:C,2,0)</f>
        <v>0</v>
      </c>
      <c r="O105" s="35">
        <f>VLOOKUP(C105,领导干部!B:B,1,0)</f>
        <v>26621</v>
      </c>
      <c r="Q105" s="118" t="s">
        <v>450</v>
      </c>
      <c r="R105">
        <v>140</v>
      </c>
      <c r="S105">
        <f t="array" ref="S105">VLOOKUP(Q105&amp;R105,IF({1,0},$B$2:$B$330&amp;$F$2:$F$330,$C$2:$C$330),2,)</f>
        <v>51570</v>
      </c>
      <c r="T105" t="str">
        <f t="array" ref="T105">VLOOKUP(Q105&amp;R105,IF({1,0},$B$2:$B$330&amp;$F$2:$F$330,$D$2:$D$330),2,)</f>
        <v>联络工程室</v>
      </c>
      <c r="U105" s="35" t="str">
        <f t="array" ref="U105">VLOOKUP(Q105&amp;R105,IF({1,0},$B$2:$B$330&amp;$F$2:$F$330,$E$2:$E$330),2,)</f>
        <v>工程支持</v>
      </c>
      <c r="V105" s="35">
        <f t="array" ref="V105">VLOOKUP(Q105&amp;R105,IF({1,0},$B$2:$B$330&amp;$F$2:$F$330,$N$2:$N$330),2,)</f>
        <v>10502</v>
      </c>
    </row>
    <row r="106" s="35" customFormat="1" customHeight="1" spans="1:22">
      <c r="A106" s="47">
        <f t="shared" si="2"/>
        <v>105</v>
      </c>
      <c r="B106" s="48" t="s">
        <v>451</v>
      </c>
      <c r="C106" s="49">
        <f>IFERROR(VLOOKUP(B106,[66]工程研发事业部人员名单!B:D,2,0),"")</f>
        <v>50245</v>
      </c>
      <c r="D106" s="50" t="str">
        <f>IFERROR(VLOOKUP(B106,[66]工程研发事业部人员名单!B:D,3,0),"")</f>
        <v>联络工程室</v>
      </c>
      <c r="E106" s="57" t="s">
        <v>193</v>
      </c>
      <c r="F106" s="52">
        <f t="shared" si="3"/>
        <v>10.8</v>
      </c>
      <c r="G106" s="53"/>
      <c r="H106" s="53"/>
      <c r="I106" s="73">
        <v>10.8</v>
      </c>
      <c r="J106" s="53"/>
      <c r="K106" s="57"/>
      <c r="L106" s="57"/>
      <c r="M106" s="59" t="s">
        <v>452</v>
      </c>
      <c r="N106" s="58">
        <f>VLOOKUP(E106,订单号!B:C,2,0)</f>
        <v>0</v>
      </c>
      <c r="O106" s="35" t="e">
        <f>VLOOKUP(C106,领导干部!B:B,1,0)</f>
        <v>#N/A</v>
      </c>
      <c r="Q106" s="118" t="s">
        <v>453</v>
      </c>
      <c r="R106">
        <v>90</v>
      </c>
      <c r="S106">
        <f t="array" ref="S106">VLOOKUP(Q106&amp;R106,IF({1,0},$B$2:$B$330&amp;$F$2:$F$330,$C$2:$C$330),2,)</f>
        <v>26828</v>
      </c>
      <c r="T106" t="str">
        <f t="array" ref="T106">VLOOKUP(Q106&amp;R106,IF({1,0},$B$2:$B$330&amp;$F$2:$F$330,$D$2:$D$330),2,)</f>
        <v>综合技术室</v>
      </c>
      <c r="U106" s="35" t="str">
        <f t="array" ref="U106">VLOOKUP(Q106&amp;R106,IF({1,0},$B$2:$B$330&amp;$F$2:$F$330,$E$2:$E$330),2,)</f>
        <v>WH1项目结构强度综合</v>
      </c>
      <c r="V106" s="35" t="str">
        <f t="array" ref="V106">VLOOKUP(Q106&amp;R106,IF({1,0},$B$2:$B$330&amp;$F$2:$F$330,$N$2:$N$330),2,)</f>
        <v>YZ-RD202428</v>
      </c>
    </row>
    <row r="107" s="35" customFormat="1" customHeight="1" spans="1:22">
      <c r="A107" s="47">
        <f t="shared" si="2"/>
        <v>106</v>
      </c>
      <c r="B107" s="48" t="s">
        <v>389</v>
      </c>
      <c r="C107" s="49">
        <f>IFERROR(VLOOKUP(B107,[66]工程研发事业部人员名单!B:D,2,0),"")</f>
        <v>22291</v>
      </c>
      <c r="D107" s="50" t="str">
        <f>IFERROR(VLOOKUP(B107,[66]工程研发事业部人员名单!B:D,3,0),"")</f>
        <v>综合技术室</v>
      </c>
      <c r="E107" s="57" t="s">
        <v>193</v>
      </c>
      <c r="F107" s="52">
        <f t="shared" si="3"/>
        <v>4.8</v>
      </c>
      <c r="G107" s="53"/>
      <c r="H107" s="53"/>
      <c r="I107" s="73">
        <v>4.8</v>
      </c>
      <c r="J107" s="53"/>
      <c r="K107" s="57"/>
      <c r="L107" s="57"/>
      <c r="M107" s="59" t="s">
        <v>454</v>
      </c>
      <c r="N107" s="58">
        <f>VLOOKUP(E107,订单号!B:C,2,0)</f>
        <v>0</v>
      </c>
      <c r="O107" s="35" t="e">
        <f>VLOOKUP(C107,领导干部!B:B,1,0)</f>
        <v>#N/A</v>
      </c>
      <c r="Q107" s="118" t="s">
        <v>455</v>
      </c>
      <c r="R107">
        <v>100</v>
      </c>
      <c r="S107" t="e">
        <f t="array" ref="S107">VLOOKUP(Q107&amp;R107,IF({1,0},$B$2:$B$330&amp;$F$2:$F$330,$C$2:$C$330),2,)</f>
        <v>#N/A</v>
      </c>
      <c r="T107" t="e">
        <f t="array" ref="T107">VLOOKUP(Q107&amp;R107,IF({1,0},$B$2:$B$330&amp;$F$2:$F$330,$D$2:$D$330),2,)</f>
        <v>#N/A</v>
      </c>
      <c r="U107" s="35" t="e">
        <f t="array" ref="U107">VLOOKUP(Q107&amp;R107,IF({1,0},$B$2:$B$330&amp;$F$2:$F$330,$E$2:$E$330),2,)</f>
        <v>#N/A</v>
      </c>
      <c r="V107" s="35" t="e">
        <f t="array" ref="V107">VLOOKUP(Q107&amp;R107,IF({1,0},$B$2:$B$330&amp;$F$2:$F$330,$N$2:$N$330),2,)</f>
        <v>#N/A</v>
      </c>
    </row>
    <row r="108" s="35" customFormat="1" customHeight="1" spans="1:22">
      <c r="A108" s="47">
        <f t="shared" si="2"/>
        <v>107</v>
      </c>
      <c r="B108" s="48" t="s">
        <v>405</v>
      </c>
      <c r="C108" s="49">
        <f>IFERROR(VLOOKUP(B108,[66]工程研发事业部人员名单!B:D,2,0),"")</f>
        <v>50686</v>
      </c>
      <c r="D108" s="50" t="str">
        <f>IFERROR(VLOOKUP(B108,[66]工程研发事业部人员名单!B:D,3,0),"")</f>
        <v>综合技术室</v>
      </c>
      <c r="E108" s="57" t="s">
        <v>193</v>
      </c>
      <c r="F108" s="52">
        <f t="shared" si="3"/>
        <v>8.4</v>
      </c>
      <c r="G108" s="53"/>
      <c r="H108" s="53"/>
      <c r="I108" s="73">
        <v>8.4</v>
      </c>
      <c r="J108" s="53"/>
      <c r="K108" s="57"/>
      <c r="L108" s="57"/>
      <c r="M108" s="59" t="s">
        <v>456</v>
      </c>
      <c r="N108" s="58">
        <f>VLOOKUP(E108,订单号!B:C,2,0)</f>
        <v>0</v>
      </c>
      <c r="O108" s="35" t="e">
        <f>VLOOKUP(C108,领导干部!B:B,1,0)</f>
        <v>#N/A</v>
      </c>
      <c r="Q108" s="118" t="s">
        <v>427</v>
      </c>
      <c r="R108">
        <v>157</v>
      </c>
      <c r="S108">
        <f t="array" ref="S108">VLOOKUP(Q108&amp;R108,IF({1,0},$B$2:$B$330&amp;$F$2:$F$330,$C$2:$C$330),2,)</f>
        <v>18672</v>
      </c>
      <c r="T108" t="str">
        <f t="array" ref="T108">VLOOKUP(Q108&amp;R108,IF({1,0},$B$2:$B$330&amp;$F$2:$F$330,$D$2:$D$330),2,)</f>
        <v>联络工程室</v>
      </c>
      <c r="U108" s="35" t="str">
        <f t="array" ref="U108">VLOOKUP(Q108&amp;R108,IF({1,0},$B$2:$B$330&amp;$F$2:$F$330,$E$2:$E$330),2,)</f>
        <v>工程支持</v>
      </c>
      <c r="V108" s="35">
        <f t="array" ref="V108">VLOOKUP(Q108&amp;R108,IF({1,0},$B$2:$B$330&amp;$F$2:$F$330,$N$2:$N$330),2,)</f>
        <v>10502</v>
      </c>
    </row>
    <row r="109" s="35" customFormat="1" customHeight="1" spans="1:22">
      <c r="A109" s="47">
        <f t="shared" si="2"/>
        <v>108</v>
      </c>
      <c r="B109" s="48" t="s">
        <v>388</v>
      </c>
      <c r="C109" s="49">
        <f>IFERROR(VLOOKUP(B109,[66]工程研发事业部人员名单!B:D,2,0),"")</f>
        <v>50864</v>
      </c>
      <c r="D109" s="50" t="str">
        <f>IFERROR(VLOOKUP(B109,[66]工程研发事业部人员名单!B:D,3,0),"")</f>
        <v>综合技术室</v>
      </c>
      <c r="E109" s="57" t="s">
        <v>193</v>
      </c>
      <c r="F109" s="52">
        <f t="shared" si="3"/>
        <v>2.4</v>
      </c>
      <c r="G109" s="53"/>
      <c r="H109" s="53"/>
      <c r="I109" s="73">
        <v>2.4</v>
      </c>
      <c r="J109" s="53"/>
      <c r="K109" s="57"/>
      <c r="L109" s="57"/>
      <c r="M109" s="59" t="s">
        <v>457</v>
      </c>
      <c r="N109" s="58">
        <f>VLOOKUP(E109,订单号!B:C,2,0)</f>
        <v>0</v>
      </c>
      <c r="O109" s="35" t="e">
        <f>VLOOKUP(C109,领导干部!B:B,1,0)</f>
        <v>#N/A</v>
      </c>
      <c r="Q109" s="118" t="s">
        <v>336</v>
      </c>
      <c r="R109">
        <v>140</v>
      </c>
      <c r="S109">
        <f t="array" ref="S109">VLOOKUP(Q109&amp;R109,IF({1,0},$B$2:$B$330&amp;$F$2:$F$330,$C$2:$C$330),2,)</f>
        <v>18550</v>
      </c>
      <c r="T109" t="str">
        <f t="array" ref="T109">VLOOKUP(Q109&amp;R109,IF({1,0},$B$2:$B$330&amp;$F$2:$F$330,$D$2:$D$330),2,)</f>
        <v>总体室</v>
      </c>
      <c r="U109" s="35" t="str">
        <f t="array" ref="U109">VLOOKUP(Q109&amp;R109,IF({1,0},$B$2:$B$330&amp;$F$2:$F$330,$E$2:$E$330),2,)</f>
        <v>C919基本型设计（2025年上飞院）</v>
      </c>
      <c r="V109" s="35" t="str">
        <f t="array" ref="V109">VLOOKUP(Q109&amp;R109,IF({1,0},$B$2:$B$330&amp;$F$2:$F$330,$N$2:$N$330),2,)</f>
        <v>YZ40000419</v>
      </c>
    </row>
    <row r="110" s="35" customFormat="1" customHeight="1" spans="1:22">
      <c r="A110" s="47">
        <f t="shared" si="2"/>
        <v>109</v>
      </c>
      <c r="B110" s="48" t="s">
        <v>295</v>
      </c>
      <c r="C110" s="49">
        <f>IFERROR(VLOOKUP(B110,[66]工程研发事业部人员名单!B:D,2,0),"")</f>
        <v>51951</v>
      </c>
      <c r="D110" s="50" t="str">
        <f>IFERROR(VLOOKUP(B110,[66]工程研发事业部人员名单!B:D,3,0),"")</f>
        <v>系统室</v>
      </c>
      <c r="E110" s="57" t="s">
        <v>193</v>
      </c>
      <c r="F110" s="52">
        <f t="shared" si="3"/>
        <v>9.6</v>
      </c>
      <c r="G110" s="53"/>
      <c r="H110" s="53"/>
      <c r="I110" s="73">
        <v>9.6</v>
      </c>
      <c r="J110" s="53"/>
      <c r="K110" s="57"/>
      <c r="L110" s="57"/>
      <c r="M110" s="59" t="s">
        <v>458</v>
      </c>
      <c r="N110" s="58">
        <f>VLOOKUP(E110,订单号!B:C,2,0)</f>
        <v>0</v>
      </c>
      <c r="O110" s="35" t="e">
        <f>VLOOKUP(C110,领导干部!B:B,1,0)</f>
        <v>#N/A</v>
      </c>
      <c r="Q110" s="118" t="s">
        <v>459</v>
      </c>
      <c r="R110">
        <v>210</v>
      </c>
      <c r="S110">
        <f t="array" ref="S110">VLOOKUP(Q110&amp;R110,IF({1,0},$B$2:$B$330&amp;$F$2:$F$330,$C$2:$C$330),2,)</f>
        <v>51400</v>
      </c>
      <c r="T110" t="str">
        <f t="array" ref="T110">VLOOKUP(Q110&amp;R110,IF({1,0},$B$2:$B$330&amp;$F$2:$F$330,$D$2:$D$330),2,)</f>
        <v>结构一室</v>
      </c>
      <c r="U110" s="35" t="str">
        <f t="array" ref="U110">VLOOKUP(Q110&amp;R110,IF({1,0},$B$2:$B$330&amp;$F$2:$F$330,$E$2:$E$330),2,)</f>
        <v>C929设计（2025年复材中心）</v>
      </c>
      <c r="V110" s="35" t="str">
        <f t="array" ref="V110">VLOOKUP(Q110&amp;R110,IF({1,0},$B$2:$B$330&amp;$F$2:$F$330,$N$2:$N$330),2,)</f>
        <v>YZ40000418</v>
      </c>
    </row>
    <row r="111" s="35" customFormat="1" customHeight="1" spans="1:22">
      <c r="A111" s="47">
        <f t="shared" si="2"/>
        <v>110</v>
      </c>
      <c r="B111" s="48" t="s">
        <v>460</v>
      </c>
      <c r="C111" s="49">
        <f>IFERROR(VLOOKUP(B111,[66]工程研发事业部人员名单!B:D,2,0),"")</f>
        <v>22296</v>
      </c>
      <c r="D111" s="50" t="str">
        <f>IFERROR(VLOOKUP(B111,[66]工程研发事业部人员名单!B:D,3,0),"")</f>
        <v>强度室</v>
      </c>
      <c r="E111" s="57" t="s">
        <v>193</v>
      </c>
      <c r="F111" s="52">
        <f t="shared" si="3"/>
        <v>14.4</v>
      </c>
      <c r="G111" s="53"/>
      <c r="H111" s="53"/>
      <c r="I111" s="73">
        <v>14.4</v>
      </c>
      <c r="J111" s="53"/>
      <c r="K111" s="57"/>
      <c r="L111" s="57"/>
      <c r="M111" s="59" t="s">
        <v>461</v>
      </c>
      <c r="N111" s="58">
        <f>VLOOKUP(E111,订单号!B:C,2,0)</f>
        <v>0</v>
      </c>
      <c r="O111" s="35">
        <f>VLOOKUP(C111,领导干部!B:B,1,0)</f>
        <v>22296</v>
      </c>
      <c r="Q111" s="118" t="s">
        <v>462</v>
      </c>
      <c r="R111">
        <v>150.41</v>
      </c>
      <c r="S111">
        <f t="array" ref="S111">VLOOKUP(Q111&amp;R111,IF({1,0},$B$2:$B$330&amp;$F$2:$F$330,$C$2:$C$330),2,)</f>
        <v>51428</v>
      </c>
      <c r="T111" t="str">
        <f t="array" ref="T111">VLOOKUP(Q111&amp;R111,IF({1,0},$B$2:$B$330&amp;$F$2:$F$330,$D$2:$D$330),2,)</f>
        <v>联络工程室</v>
      </c>
      <c r="U111" s="35" t="str">
        <f t="array" ref="U111">VLOOKUP(Q111&amp;R111,IF({1,0},$B$2:$B$330&amp;$F$2:$F$330,$E$2:$E$330),2,)</f>
        <v>工程支持</v>
      </c>
      <c r="V111" s="35">
        <f t="array" ref="V111">VLOOKUP(Q111&amp;R111,IF({1,0},$B$2:$B$330&amp;$F$2:$F$330,$N$2:$N$330),2,)</f>
        <v>10502</v>
      </c>
    </row>
    <row r="112" s="35" customFormat="1" customHeight="1" spans="1:22">
      <c r="A112" s="47">
        <f t="shared" si="2"/>
        <v>111</v>
      </c>
      <c r="B112" s="48" t="s">
        <v>380</v>
      </c>
      <c r="C112" s="49">
        <f>IFERROR(VLOOKUP(B112,[66]工程研发事业部人员名单!B:D,2,0),"")</f>
        <v>50722</v>
      </c>
      <c r="D112" s="50" t="str">
        <f>IFERROR(VLOOKUP(B112,[66]工程研发事业部人员名单!B:D,3,0),"")</f>
        <v>强度室</v>
      </c>
      <c r="E112" s="57" t="s">
        <v>193</v>
      </c>
      <c r="F112" s="52">
        <f t="shared" si="3"/>
        <v>7.6</v>
      </c>
      <c r="G112" s="53"/>
      <c r="H112" s="53"/>
      <c r="I112" s="73">
        <v>7.6</v>
      </c>
      <c r="J112" s="53"/>
      <c r="K112" s="57"/>
      <c r="L112" s="57"/>
      <c r="M112" s="59" t="s">
        <v>463</v>
      </c>
      <c r="N112" s="58">
        <f>VLOOKUP(E112,订单号!B:C,2,0)</f>
        <v>0</v>
      </c>
      <c r="O112" s="35" t="e">
        <f>VLOOKUP(C112,领导干部!B:B,1,0)</f>
        <v>#N/A</v>
      </c>
      <c r="Q112" s="118" t="s">
        <v>464</v>
      </c>
      <c r="R112">
        <v>155</v>
      </c>
      <c r="S112">
        <f t="array" ref="S112">VLOOKUP(Q112&amp;R112,IF({1,0},$B$2:$B$330&amp;$F$2:$F$330,$C$2:$C$330),2,)</f>
        <v>18548</v>
      </c>
      <c r="T112" t="str">
        <f t="array" ref="T112">VLOOKUP(Q112&amp;R112,IF({1,0},$B$2:$B$330&amp;$F$2:$F$330,$D$2:$D$330),2,)</f>
        <v>结构二室</v>
      </c>
      <c r="U112" s="35" t="str">
        <f t="array" ref="U112">VLOOKUP(Q112&amp;R112,IF({1,0},$B$2:$B$330&amp;$F$2:$F$330,$E$2:$E$330),2,)</f>
        <v>WH1项目结构强度综合</v>
      </c>
      <c r="V112" s="35" t="str">
        <f t="array" ref="V112">VLOOKUP(Q112&amp;R112,IF({1,0},$B$2:$B$330&amp;$F$2:$F$330,$N$2:$N$330),2,)</f>
        <v>YZ-RD202428</v>
      </c>
    </row>
    <row r="113" s="35" customFormat="1" customHeight="1" spans="1:22">
      <c r="A113" s="47">
        <f t="shared" si="2"/>
        <v>112</v>
      </c>
      <c r="B113" s="48" t="s">
        <v>447</v>
      </c>
      <c r="C113" s="49">
        <f>IFERROR(VLOOKUP(B113,[66]工程研发事业部人员名单!B:D,2,0),"")</f>
        <v>52347</v>
      </c>
      <c r="D113" s="50" t="str">
        <f>IFERROR(VLOOKUP(B113,[66]工程研发事业部人员名单!B:D,3,0),"")</f>
        <v>强度室</v>
      </c>
      <c r="E113" s="57" t="s">
        <v>193</v>
      </c>
      <c r="F113" s="52">
        <f t="shared" si="3"/>
        <v>4.8</v>
      </c>
      <c r="G113" s="53"/>
      <c r="H113" s="53"/>
      <c r="I113" s="73">
        <v>4.8</v>
      </c>
      <c r="J113" s="53"/>
      <c r="K113" s="57"/>
      <c r="L113" s="57"/>
      <c r="M113" s="59" t="s">
        <v>465</v>
      </c>
      <c r="N113" s="58">
        <f>VLOOKUP(E113,订单号!B:C,2,0)</f>
        <v>0</v>
      </c>
      <c r="O113" s="35" t="e">
        <f>VLOOKUP(C113,领导干部!B:B,1,0)</f>
        <v>#N/A</v>
      </c>
      <c r="Q113" s="118" t="s">
        <v>395</v>
      </c>
      <c r="R113">
        <v>230</v>
      </c>
      <c r="S113">
        <f t="array" ref="S113">VLOOKUP(Q113&amp;R113,IF({1,0},$B$2:$B$330&amp;$F$2:$F$330,$C$2:$C$330),2,)</f>
        <v>50278</v>
      </c>
      <c r="T113" t="str">
        <f t="array" ref="T113">VLOOKUP(Q113&amp;R113,IF({1,0},$B$2:$B$330&amp;$F$2:$F$330,$D$2:$D$330),2,)</f>
        <v>结构二室</v>
      </c>
      <c r="U113" s="35" t="str">
        <f t="array" ref="U113">VLOOKUP(Q113&amp;R113,IF({1,0},$B$2:$B$330&amp;$F$2:$F$330,$E$2:$E$330),2,)</f>
        <v>C919高原型设计（2025年上飞院）</v>
      </c>
      <c r="V113" s="35" t="str">
        <f t="array" ref="V113">VLOOKUP(Q113&amp;R113,IF({1,0},$B$2:$B$330&amp;$F$2:$F$330,$N$2:$N$330),2,)</f>
        <v>YZ40000417</v>
      </c>
    </row>
    <row r="114" s="35" customFormat="1" customHeight="1" spans="1:22">
      <c r="A114" s="47">
        <f t="shared" si="2"/>
        <v>113</v>
      </c>
      <c r="B114" s="48" t="s">
        <v>286</v>
      </c>
      <c r="C114" s="49">
        <f>IFERROR(VLOOKUP(B114,[66]工程研发事业部人员名单!B:D,2,0),"")</f>
        <v>51158</v>
      </c>
      <c r="D114" s="50" t="str">
        <f>IFERROR(VLOOKUP(B114,[66]工程研发事业部人员名单!B:D,3,0),"")</f>
        <v>强度室</v>
      </c>
      <c r="E114" s="57" t="s">
        <v>193</v>
      </c>
      <c r="F114" s="52">
        <f t="shared" si="3"/>
        <v>4.8</v>
      </c>
      <c r="G114" s="53"/>
      <c r="H114" s="53"/>
      <c r="I114" s="73">
        <v>4.8</v>
      </c>
      <c r="J114" s="53"/>
      <c r="K114" s="57"/>
      <c r="L114" s="57"/>
      <c r="M114" s="59" t="s">
        <v>466</v>
      </c>
      <c r="N114" s="58">
        <f>VLOOKUP(E114,订单号!B:C,2,0)</f>
        <v>0</v>
      </c>
      <c r="O114" s="35" t="e">
        <f>VLOOKUP(C114,领导干部!B:B,1,0)</f>
        <v>#N/A</v>
      </c>
      <c r="Q114" s="118" t="s">
        <v>327</v>
      </c>
      <c r="R114">
        <v>100</v>
      </c>
      <c r="S114">
        <f t="array" ref="S114">VLOOKUP(Q114&amp;R114,IF({1,0},$B$2:$B$330&amp;$F$2:$F$330,$C$2:$C$330),2,)</f>
        <v>17243</v>
      </c>
      <c r="T114" t="str">
        <f t="array" ref="T114">VLOOKUP(Q114&amp;R114,IF({1,0},$B$2:$B$330&amp;$F$2:$F$330,$D$2:$D$330),2,)</f>
        <v>总体室</v>
      </c>
      <c r="U114" s="35" t="str">
        <f t="array" ref="U114">VLOOKUP(Q114&amp;R114,IF({1,0},$B$2:$B$330&amp;$F$2:$F$330,$E$2:$E$330),2,)</f>
        <v>C919手册优化（2025年复材中心）</v>
      </c>
      <c r="V114" s="35" t="str">
        <f t="array" ref="V114">VLOOKUP(Q114&amp;R114,IF({1,0},$B$2:$B$330&amp;$F$2:$F$330,$N$2:$N$330),2,)</f>
        <v>YZ40000416</v>
      </c>
    </row>
    <row r="115" s="35" customFormat="1" customHeight="1" spans="1:22">
      <c r="A115" s="47">
        <f t="shared" si="2"/>
        <v>114</v>
      </c>
      <c r="B115" s="48" t="s">
        <v>275</v>
      </c>
      <c r="C115" s="49">
        <f>IFERROR(VLOOKUP(B115,[66]工程研发事业部人员名单!B:D,2,0),"")</f>
        <v>26766</v>
      </c>
      <c r="D115" s="50" t="str">
        <f>IFERROR(VLOOKUP(B115,[66]工程研发事业部人员名单!B:D,3,0),"")</f>
        <v>强度室</v>
      </c>
      <c r="E115" s="57" t="s">
        <v>193</v>
      </c>
      <c r="F115" s="52">
        <f t="shared" si="3"/>
        <v>25</v>
      </c>
      <c r="G115" s="53"/>
      <c r="H115" s="53"/>
      <c r="I115" s="73">
        <v>25</v>
      </c>
      <c r="J115" s="53"/>
      <c r="K115" s="57"/>
      <c r="L115" s="57"/>
      <c r="M115" s="59" t="s">
        <v>467</v>
      </c>
      <c r="N115" s="58">
        <f>VLOOKUP(E115,订单号!B:C,2,0)</f>
        <v>0</v>
      </c>
      <c r="O115" s="35" t="e">
        <f>VLOOKUP(C115,领导干部!B:B,1,0)</f>
        <v>#N/A</v>
      </c>
      <c r="Q115" s="118" t="s">
        <v>289</v>
      </c>
      <c r="R115">
        <v>185</v>
      </c>
      <c r="S115">
        <f t="array" ref="S115">VLOOKUP(Q115&amp;R115,IF({1,0},$B$2:$B$330&amp;$F$2:$F$330,$C$2:$C$330),2,)</f>
        <v>22259</v>
      </c>
      <c r="T115" t="str">
        <f t="array" ref="T115">VLOOKUP(Q115&amp;R115,IF({1,0},$B$2:$B$330&amp;$F$2:$F$330,$D$2:$D$330),2,)</f>
        <v>强度室</v>
      </c>
      <c r="U115" s="35" t="str">
        <f t="array" ref="U115">VLOOKUP(Q115&amp;R115,IF({1,0},$B$2:$B$330&amp;$F$2:$F$330,$E$2:$E$330),2,)</f>
        <v>C919基本型设计（2025年上飞院）</v>
      </c>
      <c r="V115" s="35" t="str">
        <f t="array" ref="V115">VLOOKUP(Q115&amp;R115,IF({1,0},$B$2:$B$330&amp;$F$2:$F$330,$N$2:$N$330),2,)</f>
        <v>YZ40000419</v>
      </c>
    </row>
    <row r="116" s="35" customFormat="1" customHeight="1" spans="1:22">
      <c r="A116" s="47">
        <f t="shared" si="2"/>
        <v>115</v>
      </c>
      <c r="B116" s="48" t="s">
        <v>468</v>
      </c>
      <c r="C116" s="49">
        <f>IFERROR(VLOOKUP(B116,[66]工程研发事业部人员名单!B:D,2,0),"")</f>
        <v>23527</v>
      </c>
      <c r="D116" s="50" t="str">
        <f>IFERROR(VLOOKUP(B116,[66]工程研发事业部人员名单!B:D,3,0),"")</f>
        <v>强度室</v>
      </c>
      <c r="E116" s="57" t="s">
        <v>193</v>
      </c>
      <c r="F116" s="52">
        <f t="shared" si="3"/>
        <v>9.6</v>
      </c>
      <c r="G116" s="53"/>
      <c r="H116" s="53"/>
      <c r="I116" s="73">
        <v>9.6</v>
      </c>
      <c r="J116" s="53"/>
      <c r="K116" s="57"/>
      <c r="L116" s="57"/>
      <c r="M116" s="59" t="s">
        <v>469</v>
      </c>
      <c r="N116" s="58">
        <f>VLOOKUP(E116,订单号!B:C,2,0)</f>
        <v>0</v>
      </c>
      <c r="O116" s="35" t="e">
        <f>VLOOKUP(C116,领导干部!B:B,1,0)</f>
        <v>#N/A</v>
      </c>
      <c r="Q116" s="118" t="s">
        <v>470</v>
      </c>
      <c r="R116">
        <v>170</v>
      </c>
      <c r="S116">
        <f t="array" ref="S116">VLOOKUP(Q116&amp;R116,IF({1,0},$B$2:$B$330&amp;$F$2:$F$330,$C$2:$C$330),2,)</f>
        <v>52017</v>
      </c>
      <c r="T116" t="str">
        <f t="array" ref="T116">VLOOKUP(Q116&amp;R116,IF({1,0},$B$2:$B$330&amp;$F$2:$F$330,$D$2:$D$330),2,)</f>
        <v>结构一室</v>
      </c>
      <c r="U116" s="35" t="str">
        <f t="array" ref="U116">VLOOKUP(Q116&amp;R116,IF({1,0},$B$2:$B$330&amp;$F$2:$F$330,$E$2:$E$330),2,)</f>
        <v>C929设计（2025年复材中心）</v>
      </c>
      <c r="V116" s="35" t="str">
        <f t="array" ref="V116">VLOOKUP(Q116&amp;R116,IF({1,0},$B$2:$B$330&amp;$F$2:$F$330,$N$2:$N$330),2,)</f>
        <v>YZ40000418</v>
      </c>
    </row>
    <row r="117" s="35" customFormat="1" customHeight="1" spans="1:22">
      <c r="A117" s="47">
        <f t="shared" si="2"/>
        <v>116</v>
      </c>
      <c r="B117" s="48" t="s">
        <v>234</v>
      </c>
      <c r="C117" s="49">
        <f>IFERROR(VLOOKUP(B117,[66]工程研发事业部人员名单!B:D,2,0),"")</f>
        <v>50281</v>
      </c>
      <c r="D117" s="50" t="str">
        <f>IFERROR(VLOOKUP(B117,[66]工程研发事业部人员名单!B:D,3,0),"")</f>
        <v>结构一室</v>
      </c>
      <c r="E117" s="57" t="s">
        <v>193</v>
      </c>
      <c r="F117" s="52">
        <f t="shared" si="3"/>
        <v>4.8</v>
      </c>
      <c r="G117" s="53"/>
      <c r="H117" s="53"/>
      <c r="I117" s="73">
        <v>4.8</v>
      </c>
      <c r="J117" s="53"/>
      <c r="K117" s="57"/>
      <c r="L117" s="57"/>
      <c r="M117" s="59" t="s">
        <v>471</v>
      </c>
      <c r="N117" s="58">
        <f>VLOOKUP(E117,订单号!B:C,2,0)</f>
        <v>0</v>
      </c>
      <c r="O117" s="35" t="e">
        <f>VLOOKUP(C117,领导干部!B:B,1,0)</f>
        <v>#N/A</v>
      </c>
      <c r="Q117" s="118" t="s">
        <v>472</v>
      </c>
      <c r="R117">
        <v>210</v>
      </c>
      <c r="S117">
        <f t="array" ref="S117">VLOOKUP(Q117&amp;R117,IF({1,0},$B$2:$B$330&amp;$F$2:$F$330,$C$2:$C$330),2,)</f>
        <v>51165</v>
      </c>
      <c r="T117" t="str">
        <f t="array" ref="T117">VLOOKUP(Q117&amp;R117,IF({1,0},$B$2:$B$330&amp;$F$2:$F$330,$D$2:$D$330),2,)</f>
        <v>结构一室</v>
      </c>
      <c r="U117" s="35" t="str">
        <f t="array" ref="U117">VLOOKUP(Q117&amp;R117,IF({1,0},$B$2:$B$330&amp;$F$2:$F$330,$E$2:$E$330),2,)</f>
        <v>C929设计（2025年复材中心）</v>
      </c>
      <c r="V117" s="35" t="str">
        <f t="array" ref="V117">VLOOKUP(Q117&amp;R117,IF({1,0},$B$2:$B$330&amp;$F$2:$F$330,$N$2:$N$330),2,)</f>
        <v>YZ40000418</v>
      </c>
    </row>
    <row r="118" s="35" customFormat="1" customHeight="1" spans="1:22">
      <c r="A118" s="47">
        <f t="shared" si="2"/>
        <v>117</v>
      </c>
      <c r="B118" s="48" t="s">
        <v>291</v>
      </c>
      <c r="C118" s="49">
        <f>IFERROR(VLOOKUP(B118,[66]工程研发事业部人员名单!B:D,2,0),"")</f>
        <v>25765</v>
      </c>
      <c r="D118" s="50" t="str">
        <f>IFERROR(VLOOKUP(B118,[66]工程研发事业部人员名单!B:D,3,0),"")</f>
        <v>结构一室</v>
      </c>
      <c r="E118" s="57" t="s">
        <v>193</v>
      </c>
      <c r="F118" s="52">
        <f t="shared" si="3"/>
        <v>4.8</v>
      </c>
      <c r="G118" s="53"/>
      <c r="H118" s="53"/>
      <c r="I118" s="73">
        <v>4.8</v>
      </c>
      <c r="J118" s="53"/>
      <c r="K118" s="57"/>
      <c r="L118" s="57"/>
      <c r="M118" s="59" t="s">
        <v>473</v>
      </c>
      <c r="N118" s="58">
        <f>VLOOKUP(E118,订单号!B:C,2,0)</f>
        <v>0</v>
      </c>
      <c r="O118" s="35" t="e">
        <f>VLOOKUP(C118,领导干部!B:B,1,0)</f>
        <v>#N/A</v>
      </c>
      <c r="Q118" s="118" t="s">
        <v>474</v>
      </c>
      <c r="R118">
        <v>132</v>
      </c>
      <c r="S118">
        <f t="array" ref="S118">VLOOKUP(Q118&amp;R118,IF({1,0},$B$2:$B$330&amp;$F$2:$F$330,$C$2:$C$330),2,)</f>
        <v>50853</v>
      </c>
      <c r="T118" t="str">
        <f t="array" ref="T118">VLOOKUP(Q118&amp;R118,IF({1,0},$B$2:$B$330&amp;$F$2:$F$330,$D$2:$D$330),2,)</f>
        <v>联络工程室</v>
      </c>
      <c r="U118" s="35" t="str">
        <f t="array" ref="U118">VLOOKUP(Q118&amp;R118,IF({1,0},$B$2:$B$330&amp;$F$2:$F$330,$E$2:$E$330),2,)</f>
        <v>工程支持</v>
      </c>
      <c r="V118" s="35">
        <f t="array" ref="V118">VLOOKUP(Q118&amp;R118,IF({1,0},$B$2:$B$330&amp;$F$2:$F$330,$N$2:$N$330),2,)</f>
        <v>10502</v>
      </c>
    </row>
    <row r="119" s="35" customFormat="1" customHeight="1" spans="1:22">
      <c r="A119" s="47">
        <f t="shared" si="2"/>
        <v>118</v>
      </c>
      <c r="B119" s="48" t="s">
        <v>475</v>
      </c>
      <c r="C119" s="49">
        <f>IFERROR(VLOOKUP(B119,[66]工程研发事业部人员名单!B:D,2,0),"")</f>
        <v>51184</v>
      </c>
      <c r="D119" s="50" t="str">
        <f>IFERROR(VLOOKUP(B119,[66]工程研发事业部人员名单!B:D,3,0),"")</f>
        <v>办公室</v>
      </c>
      <c r="E119" s="57" t="s">
        <v>193</v>
      </c>
      <c r="F119" s="52">
        <f t="shared" si="3"/>
        <v>4.8</v>
      </c>
      <c r="G119" s="53"/>
      <c r="H119" s="53"/>
      <c r="I119" s="73">
        <v>4.8</v>
      </c>
      <c r="J119" s="53"/>
      <c r="K119" s="57"/>
      <c r="L119" s="57"/>
      <c r="M119" s="59" t="s">
        <v>476</v>
      </c>
      <c r="N119" s="58">
        <f>VLOOKUP(E119,订单号!B:C,2,0)</f>
        <v>0</v>
      </c>
      <c r="O119" s="35">
        <f>VLOOKUP(C119,领导干部!B:B,1,0)</f>
        <v>51184</v>
      </c>
      <c r="Q119" s="118" t="s">
        <v>477</v>
      </c>
      <c r="R119">
        <v>210</v>
      </c>
      <c r="S119">
        <f t="array" ref="S119">VLOOKUP(Q119&amp;R119,IF({1,0},$B$2:$B$330&amp;$F$2:$F$330,$C$2:$C$330),2,)</f>
        <v>52063</v>
      </c>
      <c r="T119" t="str">
        <f t="array" ref="T119">VLOOKUP(Q119&amp;R119,IF({1,0},$B$2:$B$330&amp;$F$2:$F$330,$D$2:$D$330),2,)</f>
        <v>结构一室</v>
      </c>
      <c r="U119" s="35" t="str">
        <f t="array" ref="U119">VLOOKUP(Q119&amp;R119,IF({1,0},$B$2:$B$330&amp;$F$2:$F$330,$E$2:$E$330),2,)</f>
        <v>C929设计（2025年复材中心）</v>
      </c>
      <c r="V119" s="35" t="str">
        <f t="array" ref="V119">VLOOKUP(Q119&amp;R119,IF({1,0},$B$2:$B$330&amp;$F$2:$F$330,$N$2:$N$330),2,)</f>
        <v>YZ40000418</v>
      </c>
    </row>
    <row r="120" s="35" customFormat="1" customHeight="1" spans="1:22">
      <c r="A120" s="47">
        <f t="shared" si="2"/>
        <v>119</v>
      </c>
      <c r="B120" s="48" t="s">
        <v>302</v>
      </c>
      <c r="C120" s="49">
        <f>IFERROR(VLOOKUP(B120,[66]工程研发事业部人员名单!B:D,2,0),"")</f>
        <v>17238</v>
      </c>
      <c r="D120" s="50" t="str">
        <f>IFERROR(VLOOKUP(B120,[66]工程研发事业部人员名单!B:D,3,0),"")</f>
        <v>结构二室</v>
      </c>
      <c r="E120" s="57" t="s">
        <v>193</v>
      </c>
      <c r="F120" s="52">
        <f t="shared" si="3"/>
        <v>9.6</v>
      </c>
      <c r="G120" s="53"/>
      <c r="H120" s="53"/>
      <c r="I120" s="73">
        <v>9.6</v>
      </c>
      <c r="J120" s="53"/>
      <c r="K120" s="57"/>
      <c r="L120" s="57"/>
      <c r="M120" s="59" t="s">
        <v>478</v>
      </c>
      <c r="N120" s="58">
        <f>VLOOKUP(E120,订单号!B:C,2,0)</f>
        <v>0</v>
      </c>
      <c r="O120" s="35" t="e">
        <f>VLOOKUP(C120,领导干部!B:B,1,0)</f>
        <v>#N/A</v>
      </c>
      <c r="Q120" s="118" t="s">
        <v>479</v>
      </c>
      <c r="R120">
        <v>157</v>
      </c>
      <c r="S120">
        <f t="array" ref="S120">VLOOKUP(Q120&amp;R120,IF({1,0},$B$2:$B$330&amp;$F$2:$F$330,$C$2:$C$330),2,)</f>
        <v>50323</v>
      </c>
      <c r="T120" t="str">
        <f t="array" ref="T120">VLOOKUP(Q120&amp;R120,IF({1,0},$B$2:$B$330&amp;$F$2:$F$330,$D$2:$D$330),2,)</f>
        <v>联络工程室</v>
      </c>
      <c r="U120" s="35" t="str">
        <f t="array" ref="U120">VLOOKUP(Q120&amp;R120,IF({1,0},$B$2:$B$330&amp;$F$2:$F$330,$E$2:$E$330),2,)</f>
        <v>工程支持</v>
      </c>
      <c r="V120" s="35">
        <f t="array" ref="V120">VLOOKUP(Q120&amp;R120,IF({1,0},$B$2:$B$330&amp;$F$2:$F$330,$N$2:$N$330),2,)</f>
        <v>10502</v>
      </c>
    </row>
    <row r="121" s="35" customFormat="1" customHeight="1" spans="1:22">
      <c r="A121" s="47">
        <f t="shared" si="2"/>
        <v>120</v>
      </c>
      <c r="B121" s="48" t="s">
        <v>440</v>
      </c>
      <c r="C121" s="49">
        <f>IFERROR(VLOOKUP(B121,[66]工程研发事业部人员名单!B:D,2,0),"")</f>
        <v>50716</v>
      </c>
      <c r="D121" s="50" t="str">
        <f>IFERROR(VLOOKUP(B121,[66]工程研发事业部人员名单!B:D,3,0),"")</f>
        <v>强度室</v>
      </c>
      <c r="E121" s="57" t="s">
        <v>194</v>
      </c>
      <c r="F121" s="52">
        <f t="shared" si="3"/>
        <v>5</v>
      </c>
      <c r="G121" s="53"/>
      <c r="H121" s="53"/>
      <c r="I121" s="73">
        <v>5</v>
      </c>
      <c r="J121" s="53"/>
      <c r="K121" s="57" t="s">
        <v>277</v>
      </c>
      <c r="L121" s="57"/>
      <c r="M121" s="65" t="s">
        <v>480</v>
      </c>
      <c r="N121" s="58">
        <f>VLOOKUP(E121,订单号!B:C,2,0)</f>
        <v>0</v>
      </c>
      <c r="O121" s="35" t="e">
        <f>VLOOKUP(C121,领导干部!B:B,1,0)</f>
        <v>#N/A</v>
      </c>
      <c r="Q121" s="118" t="s">
        <v>422</v>
      </c>
      <c r="R121">
        <v>190</v>
      </c>
      <c r="S121">
        <f t="array" ref="S121">VLOOKUP(Q121&amp;R121,IF({1,0},$B$2:$B$330&amp;$F$2:$F$330,$C$2:$C$330),2,)</f>
        <v>50065</v>
      </c>
      <c r="T121" t="str">
        <f t="array" ref="T121">VLOOKUP(Q121&amp;R121,IF({1,0},$B$2:$B$330&amp;$F$2:$F$330,$D$2:$D$330),2,)</f>
        <v>结构二室</v>
      </c>
      <c r="U121" s="35" t="str">
        <f t="array" ref="U121">VLOOKUP(Q121&amp;R121,IF({1,0},$B$2:$B$330&amp;$F$2:$F$330,$E$2:$E$330),2,)</f>
        <v>C929设计（2025年复材中心）</v>
      </c>
      <c r="V121" s="35" t="str">
        <f t="array" ref="V121">VLOOKUP(Q121&amp;R121,IF({1,0},$B$2:$B$330&amp;$F$2:$F$330,$N$2:$N$330),2,)</f>
        <v>YZ40000418</v>
      </c>
    </row>
    <row r="122" s="35" customFormat="1" customHeight="1" spans="1:22">
      <c r="A122" s="47">
        <f t="shared" si="2"/>
        <v>121</v>
      </c>
      <c r="B122" s="48" t="s">
        <v>313</v>
      </c>
      <c r="C122" s="49">
        <f>IFERROR(VLOOKUP(B122,[66]工程研发事业部人员名单!B:D,2,0),"")</f>
        <v>23524</v>
      </c>
      <c r="D122" s="50" t="str">
        <f>IFERROR(VLOOKUP(B122,[66]工程研发事业部人员名单!B:D,3,0),"")</f>
        <v>强度室</v>
      </c>
      <c r="E122" s="57" t="s">
        <v>194</v>
      </c>
      <c r="F122" s="52">
        <f t="shared" si="3"/>
        <v>15</v>
      </c>
      <c r="G122" s="53"/>
      <c r="H122" s="53"/>
      <c r="I122" s="73">
        <v>15</v>
      </c>
      <c r="J122" s="53"/>
      <c r="K122" s="57" t="s">
        <v>277</v>
      </c>
      <c r="L122" s="57"/>
      <c r="M122" s="59" t="s">
        <v>481</v>
      </c>
      <c r="N122" s="58">
        <f>VLOOKUP(E122,订单号!B:C,2,0)</f>
        <v>0</v>
      </c>
      <c r="O122" s="35" t="e">
        <f>VLOOKUP(C122,领导干部!B:B,1,0)</f>
        <v>#N/A</v>
      </c>
      <c r="Q122" s="118" t="s">
        <v>482</v>
      </c>
      <c r="R122">
        <v>160</v>
      </c>
      <c r="S122">
        <f t="array" ref="S122">VLOOKUP(Q122&amp;R122,IF({1,0},$B$2:$B$330&amp;$F$2:$F$330,$C$2:$C$330),2,)</f>
        <v>50832</v>
      </c>
      <c r="T122" t="str">
        <f t="array" ref="T122">VLOOKUP(Q122&amp;R122,IF({1,0},$B$2:$B$330&amp;$F$2:$F$330,$D$2:$D$330),2,)</f>
        <v>联络工程室</v>
      </c>
      <c r="U122" s="35" t="str">
        <f t="array" ref="U122">VLOOKUP(Q122&amp;R122,IF({1,0},$B$2:$B$330&amp;$F$2:$F$330,$E$2:$E$330),2,)</f>
        <v>工程支持</v>
      </c>
      <c r="V122" s="35">
        <f t="array" ref="V122">VLOOKUP(Q122&amp;R122,IF({1,0},$B$2:$B$330&amp;$F$2:$F$330,$N$2:$N$330),2,)</f>
        <v>10502</v>
      </c>
    </row>
    <row r="123" s="35" customFormat="1" customHeight="1" spans="1:22">
      <c r="A123" s="47">
        <f t="shared" si="2"/>
        <v>122</v>
      </c>
      <c r="B123" s="48" t="s">
        <v>286</v>
      </c>
      <c r="C123" s="49">
        <f>IFERROR(VLOOKUP(B123,[66]工程研发事业部人员名单!B:D,2,0),"")</f>
        <v>51158</v>
      </c>
      <c r="D123" s="50" t="str">
        <f>IFERROR(VLOOKUP(B123,[66]工程研发事业部人员名单!B:D,3,0),"")</f>
        <v>强度室</v>
      </c>
      <c r="E123" s="57" t="s">
        <v>194</v>
      </c>
      <c r="F123" s="52">
        <f t="shared" si="3"/>
        <v>2.5</v>
      </c>
      <c r="G123" s="53"/>
      <c r="H123" s="53"/>
      <c r="I123" s="73">
        <v>2.5</v>
      </c>
      <c r="J123" s="53"/>
      <c r="K123" s="57" t="s">
        <v>277</v>
      </c>
      <c r="L123" s="57"/>
      <c r="M123" s="59" t="s">
        <v>483</v>
      </c>
      <c r="N123" s="58">
        <f>VLOOKUP(E123,订单号!B:C,2,0)</f>
        <v>0</v>
      </c>
      <c r="O123" s="35" t="e">
        <f>VLOOKUP(C123,领导干部!B:B,1,0)</f>
        <v>#N/A</v>
      </c>
      <c r="Q123" s="118" t="s">
        <v>342</v>
      </c>
      <c r="R123">
        <v>112</v>
      </c>
      <c r="S123">
        <f t="array" ref="S123">VLOOKUP(Q123&amp;R123,IF({1,0},$B$2:$B$330&amp;$F$2:$F$330,$C$2:$C$330),2,)</f>
        <v>50702</v>
      </c>
      <c r="T123" t="str">
        <f t="array" ref="T123">VLOOKUP(Q123&amp;R123,IF({1,0},$B$2:$B$330&amp;$F$2:$F$330,$D$2:$D$330),2,)</f>
        <v>总体室</v>
      </c>
      <c r="U123" s="35" t="str">
        <f t="array" ref="U123">VLOOKUP(Q123&amp;R123,IF({1,0},$B$2:$B$330&amp;$F$2:$F$330,$E$2:$E$330),2,)</f>
        <v>WH1项目总体/系统/适航等其它专业</v>
      </c>
      <c r="V123" s="35" t="str">
        <f t="array" ref="V123">VLOOKUP(Q123&amp;R123,IF({1,0},$B$2:$B$330&amp;$F$2:$F$330,$N$2:$N$330),2,)</f>
        <v>YZ-RD202428</v>
      </c>
    </row>
    <row r="124" s="35" customFormat="1" customHeight="1" spans="1:22">
      <c r="A124" s="47">
        <f t="shared" si="2"/>
        <v>123</v>
      </c>
      <c r="B124" s="48" t="s">
        <v>57</v>
      </c>
      <c r="C124" s="49">
        <f>IFERROR(VLOOKUP(B124,[66]工程研发事业部人员名单!B:D,2,0),"")</f>
        <v>52153</v>
      </c>
      <c r="D124" s="50" t="str">
        <f>IFERROR(VLOOKUP(B124,[66]工程研发事业部人员名单!B:D,3,0),"")</f>
        <v>强度室</v>
      </c>
      <c r="E124" s="57" t="s">
        <v>194</v>
      </c>
      <c r="F124" s="52">
        <f t="shared" si="3"/>
        <v>12</v>
      </c>
      <c r="G124" s="53"/>
      <c r="H124" s="53"/>
      <c r="I124" s="73">
        <v>12</v>
      </c>
      <c r="J124" s="53"/>
      <c r="K124" s="57" t="s">
        <v>277</v>
      </c>
      <c r="L124" s="57"/>
      <c r="M124" s="59" t="s">
        <v>484</v>
      </c>
      <c r="N124" s="58">
        <f>VLOOKUP(E124,订单号!B:C,2,0)</f>
        <v>0</v>
      </c>
      <c r="O124" s="35" t="e">
        <f>VLOOKUP(C124,领导干部!B:B,1,0)</f>
        <v>#N/A</v>
      </c>
      <c r="Q124" s="118" t="s">
        <v>308</v>
      </c>
      <c r="R124">
        <v>210</v>
      </c>
      <c r="S124">
        <f t="array" ref="S124">VLOOKUP(Q124&amp;R124,IF({1,0},$B$2:$B$330&amp;$F$2:$F$330,$C$2:$C$330),2,)</f>
        <v>50022</v>
      </c>
      <c r="T124" t="str">
        <f t="array" ref="T124">VLOOKUP(Q124&amp;R124,IF({1,0},$B$2:$B$330&amp;$F$2:$F$330,$D$2:$D$330),2,)</f>
        <v>结构二室</v>
      </c>
      <c r="U124" s="35" t="str">
        <f t="array" ref="U124">VLOOKUP(Q124&amp;R124,IF({1,0},$B$2:$B$330&amp;$F$2:$F$330,$E$2:$E$330),2,)</f>
        <v>C919YJTD设计</v>
      </c>
      <c r="V124" s="35" t="str">
        <f t="array" ref="V124">VLOOKUP(Q124&amp;R124,IF({1,0},$B$2:$B$330&amp;$F$2:$F$330,$N$2:$N$330),2,)</f>
        <v>YZ40000410</v>
      </c>
    </row>
    <row r="125" s="35" customFormat="1" customHeight="1" spans="1:22">
      <c r="A125" s="47">
        <f t="shared" si="2"/>
        <v>124</v>
      </c>
      <c r="B125" s="48" t="s">
        <v>58</v>
      </c>
      <c r="C125" s="49">
        <f>IFERROR(VLOOKUP(B125,[66]工程研发事业部人员名单!B:D,2,0),"")</f>
        <v>53422</v>
      </c>
      <c r="D125" s="50" t="str">
        <f>IFERROR(VLOOKUP(B125,[66]工程研发事业部人员名单!B:D,3,0),"")</f>
        <v>强度室</v>
      </c>
      <c r="E125" s="57" t="s">
        <v>194</v>
      </c>
      <c r="F125" s="52">
        <f t="shared" si="3"/>
        <v>5.5</v>
      </c>
      <c r="G125" s="53"/>
      <c r="H125" s="53"/>
      <c r="I125" s="72">
        <v>5.5</v>
      </c>
      <c r="J125" s="53"/>
      <c r="K125" s="57" t="s">
        <v>277</v>
      </c>
      <c r="L125" s="57"/>
      <c r="M125" s="59" t="s">
        <v>485</v>
      </c>
      <c r="N125" s="58">
        <f>VLOOKUP(E125,订单号!B:C,2,0)</f>
        <v>0</v>
      </c>
      <c r="O125" s="35" t="e">
        <f>VLOOKUP(C125,领导干部!B:B,1,0)</f>
        <v>#N/A</v>
      </c>
      <c r="Q125" s="118" t="s">
        <v>486</v>
      </c>
      <c r="R125">
        <v>100</v>
      </c>
      <c r="S125">
        <f t="array" ref="S125">VLOOKUP(Q125&amp;R125,IF({1,0},$B$2:$B$330&amp;$F$2:$F$330,$C$2:$C$330),2,)</f>
        <v>28161</v>
      </c>
      <c r="T125" t="str">
        <f t="array" ref="T125">VLOOKUP(Q125&amp;R125,IF({1,0},$B$2:$B$330&amp;$F$2:$F$330,$D$2:$D$330),2,)</f>
        <v>强度室</v>
      </c>
      <c r="U125" s="35" t="str">
        <f t="array" ref="U125">VLOOKUP(Q125&amp;R125,IF({1,0},$B$2:$B$330&amp;$F$2:$F$330,$E$2:$E$330),2,)</f>
        <v>WH1项目结构强度综合</v>
      </c>
      <c r="V125" s="35" t="str">
        <f t="array" ref="V125">VLOOKUP(Q125&amp;R125,IF({1,0},$B$2:$B$330&amp;$F$2:$F$330,$N$2:$N$330),2,)</f>
        <v>YZ-RD202428</v>
      </c>
    </row>
    <row r="126" s="35" customFormat="1" customHeight="1" spans="1:22">
      <c r="A126" s="47">
        <f t="shared" si="2"/>
        <v>125</v>
      </c>
      <c r="B126" s="48" t="s">
        <v>380</v>
      </c>
      <c r="C126" s="49">
        <f>IFERROR(VLOOKUP(B126,[66]工程研发事业部人员名单!B:D,2,0),"")</f>
        <v>50722</v>
      </c>
      <c r="D126" s="50" t="str">
        <f>IFERROR(VLOOKUP(B126,[66]工程研发事业部人员名单!B:D,3,0),"")</f>
        <v>强度室</v>
      </c>
      <c r="E126" s="57" t="s">
        <v>194</v>
      </c>
      <c r="F126" s="52">
        <f t="shared" si="3"/>
        <v>0.5</v>
      </c>
      <c r="G126" s="53"/>
      <c r="H126" s="53"/>
      <c r="I126" s="72">
        <v>0.5</v>
      </c>
      <c r="J126" s="53"/>
      <c r="K126" s="57" t="s">
        <v>277</v>
      </c>
      <c r="L126" s="57"/>
      <c r="M126" s="59" t="s">
        <v>487</v>
      </c>
      <c r="N126" s="58">
        <f>VLOOKUP(E126,订单号!B:C,2,0)</f>
        <v>0</v>
      </c>
      <c r="O126" s="35" t="e">
        <f>VLOOKUP(C126,领导干部!B:B,1,0)</f>
        <v>#N/A</v>
      </c>
      <c r="Q126" s="118" t="s">
        <v>400</v>
      </c>
      <c r="R126">
        <v>120</v>
      </c>
      <c r="S126">
        <f t="array" ref="S126">VLOOKUP(Q126&amp;R126,IF({1,0},$B$2:$B$330&amp;$F$2:$F$330,$C$2:$C$330),2,)</f>
        <v>17725</v>
      </c>
      <c r="T126" t="str">
        <f t="array" ref="T126">VLOOKUP(Q126&amp;R126,IF({1,0},$B$2:$B$330&amp;$F$2:$F$330,$D$2:$D$330),2,)</f>
        <v>总体室</v>
      </c>
      <c r="U126" s="35" t="str">
        <f t="array" ref="U126">VLOOKUP(Q126&amp;R126,IF({1,0},$B$2:$B$330&amp;$F$2:$F$330,$E$2:$E$330),2,)</f>
        <v>巡飞无人机课题</v>
      </c>
      <c r="V126" s="35" t="str">
        <f t="array" ref="V126">VLOOKUP(Q126&amp;R126,IF({1,0},$B$2:$B$330&amp;$F$2:$F$330,$N$2:$N$330),2,)</f>
        <v>YZ40000403</v>
      </c>
    </row>
    <row r="127" s="35" customFormat="1" customHeight="1" spans="1:22">
      <c r="A127" s="47">
        <f t="shared" si="2"/>
        <v>126</v>
      </c>
      <c r="B127" s="48" t="s">
        <v>426</v>
      </c>
      <c r="C127" s="49">
        <f>IFERROR(VLOOKUP(B127,[66]工程研发事业部人员名单!B:D,2,0),"")</f>
        <v>51175</v>
      </c>
      <c r="D127" s="50" t="str">
        <f>IFERROR(VLOOKUP(B127,[66]工程研发事业部人员名单!B:D,3,0),"")</f>
        <v>强度室</v>
      </c>
      <c r="E127" s="57" t="s">
        <v>194</v>
      </c>
      <c r="F127" s="52">
        <f t="shared" si="3"/>
        <v>5</v>
      </c>
      <c r="G127" s="53"/>
      <c r="H127" s="53"/>
      <c r="I127" s="72">
        <v>5</v>
      </c>
      <c r="J127" s="53"/>
      <c r="K127" s="57" t="s">
        <v>277</v>
      </c>
      <c r="L127" s="57"/>
      <c r="M127" s="59" t="s">
        <v>488</v>
      </c>
      <c r="N127" s="58">
        <f>VLOOKUP(E127,订单号!B:C,2,0)</f>
        <v>0</v>
      </c>
      <c r="O127" s="35" t="e">
        <f>VLOOKUP(C127,领导干部!B:B,1,0)</f>
        <v>#N/A</v>
      </c>
      <c r="Q127" s="118" t="s">
        <v>275</v>
      </c>
      <c r="R127">
        <v>131</v>
      </c>
      <c r="S127">
        <f t="array" ref="S127">VLOOKUP(Q127&amp;R127,IF({1,0},$B$2:$B$330&amp;$F$2:$F$330,$C$2:$C$330),2,)</f>
        <v>26766</v>
      </c>
      <c r="T127" t="str">
        <f t="array" ref="T127">VLOOKUP(Q127&amp;R127,IF({1,0},$B$2:$B$330&amp;$F$2:$F$330,$D$2:$D$330),2,)</f>
        <v>强度室</v>
      </c>
      <c r="U127" s="35" t="str">
        <f t="array" ref="U127">VLOOKUP(Q127&amp;R127,IF({1,0},$B$2:$B$330&amp;$F$2:$F$330,$E$2:$E$330),2,)</f>
        <v>C919基本型设计（2025年上飞院）</v>
      </c>
      <c r="V127" s="35" t="str">
        <f t="array" ref="V127">VLOOKUP(Q127&amp;R127,IF({1,0},$B$2:$B$330&amp;$F$2:$F$330,$N$2:$N$330),2,)</f>
        <v>YZ40000419</v>
      </c>
    </row>
    <row r="128" s="35" customFormat="1" customHeight="1" spans="1:22">
      <c r="A128" s="47">
        <f t="shared" si="2"/>
        <v>127</v>
      </c>
      <c r="B128" s="48" t="s">
        <v>346</v>
      </c>
      <c r="C128" s="49">
        <f>IFERROR(VLOOKUP(B128,[66]工程研发事业部人员名单!B:D,2,0),"")</f>
        <v>52130</v>
      </c>
      <c r="D128" s="50" t="str">
        <f>IFERROR(VLOOKUP(B128,[66]工程研发事业部人员名单!B:D,3,0),"")</f>
        <v>强度室</v>
      </c>
      <c r="E128" s="57" t="s">
        <v>194</v>
      </c>
      <c r="F128" s="52">
        <f t="shared" si="3"/>
        <v>4.5</v>
      </c>
      <c r="G128" s="53"/>
      <c r="H128" s="53"/>
      <c r="I128" s="72">
        <v>4.5</v>
      </c>
      <c r="J128" s="53"/>
      <c r="K128" s="57" t="s">
        <v>277</v>
      </c>
      <c r="L128" s="57"/>
      <c r="M128" s="59" t="s">
        <v>489</v>
      </c>
      <c r="N128" s="58">
        <f>VLOOKUP(E128,订单号!B:C,2,0)</f>
        <v>0</v>
      </c>
      <c r="O128" s="35" t="e">
        <f>VLOOKUP(C128,领导干部!B:B,1,0)</f>
        <v>#N/A</v>
      </c>
      <c r="Q128" s="118" t="s">
        <v>347</v>
      </c>
      <c r="R128">
        <v>243</v>
      </c>
      <c r="S128">
        <f t="array" ref="S128">VLOOKUP(Q128&amp;R128,IF({1,0},$B$2:$B$330&amp;$F$2:$F$330,$C$2:$C$330),2,)</f>
        <v>51589</v>
      </c>
      <c r="T128" t="str">
        <f t="array" ref="T128">VLOOKUP(Q128&amp;R128,IF({1,0},$B$2:$B$330&amp;$F$2:$F$330,$D$2:$D$330),2,)</f>
        <v>强度室</v>
      </c>
      <c r="U128" s="35" t="str">
        <f t="array" ref="U128">VLOOKUP(Q128&amp;R128,IF({1,0},$B$2:$B$330&amp;$F$2:$F$330,$E$2:$E$330),2,)</f>
        <v>C919基本型设计（2025年上飞院）</v>
      </c>
      <c r="V128" s="35" t="str">
        <f t="array" ref="V128">VLOOKUP(Q128&amp;R128,IF({1,0},$B$2:$B$330&amp;$F$2:$F$330,$N$2:$N$330),2,)</f>
        <v>YZ40000419</v>
      </c>
    </row>
    <row r="129" s="35" customFormat="1" customHeight="1" spans="1:22">
      <c r="A129" s="47">
        <f t="shared" si="2"/>
        <v>128</v>
      </c>
      <c r="B129" s="48" t="s">
        <v>490</v>
      </c>
      <c r="C129" s="49">
        <f>IFERROR(VLOOKUP(B129,[66]工程研发事业部人员名单!B:D,2,0),"")</f>
        <v>51763</v>
      </c>
      <c r="D129" s="50" t="str">
        <f>IFERROR(VLOOKUP(B129,[66]工程研发事业部人员名单!B:D,3,0),"")</f>
        <v>强度室</v>
      </c>
      <c r="E129" s="57" t="s">
        <v>194</v>
      </c>
      <c r="F129" s="52">
        <f t="shared" si="3"/>
        <v>0.5</v>
      </c>
      <c r="G129" s="53"/>
      <c r="H129" s="53"/>
      <c r="I129" s="72">
        <v>0.5</v>
      </c>
      <c r="J129" s="53"/>
      <c r="K129" s="57" t="s">
        <v>277</v>
      </c>
      <c r="L129" s="57"/>
      <c r="M129" s="59" t="s">
        <v>487</v>
      </c>
      <c r="N129" s="58">
        <f>VLOOKUP(E129,订单号!B:C,2,0)</f>
        <v>0</v>
      </c>
      <c r="O129" s="35" t="e">
        <f>VLOOKUP(C129,领导干部!B:B,1,0)</f>
        <v>#N/A</v>
      </c>
      <c r="Q129" s="118" t="s">
        <v>491</v>
      </c>
      <c r="R129">
        <v>180</v>
      </c>
      <c r="S129" t="e">
        <f t="array" ref="S129">VLOOKUP(Q129&amp;R129,IF({1,0},$B$2:$B$330&amp;$F$2:$F$330,$C$2:$C$330),2,)</f>
        <v>#N/A</v>
      </c>
      <c r="T129" t="e">
        <f t="array" ref="T129">VLOOKUP(Q129&amp;R129,IF({1,0},$B$2:$B$330&amp;$F$2:$F$330,$D$2:$D$330),2,)</f>
        <v>#N/A</v>
      </c>
      <c r="U129" s="35" t="e">
        <f t="array" ref="U129">VLOOKUP(Q129&amp;R129,IF({1,0},$B$2:$B$330&amp;$F$2:$F$330,$E$2:$E$330),2,)</f>
        <v>#N/A</v>
      </c>
      <c r="V129" s="35" t="e">
        <f t="array" ref="V129">VLOOKUP(Q129&amp;R129,IF({1,0},$B$2:$B$330&amp;$F$2:$F$330,$N$2:$N$330),2,)</f>
        <v>#N/A</v>
      </c>
    </row>
    <row r="130" s="35" customFormat="1" customHeight="1" spans="1:22">
      <c r="A130" s="47">
        <f t="shared" ref="A130:A193" si="4">ROW()-1</f>
        <v>129</v>
      </c>
      <c r="B130" s="48" t="s">
        <v>62</v>
      </c>
      <c r="C130" s="49">
        <f>IFERROR(VLOOKUP(B130,[66]工程研发事业部人员名单!B:D,2,0),"")</f>
        <v>52581</v>
      </c>
      <c r="D130" s="50" t="str">
        <f>IFERROR(VLOOKUP(B130,[66]工程研发事业部人员名单!B:D,3,0),"")</f>
        <v>强度室</v>
      </c>
      <c r="E130" s="57" t="s">
        <v>194</v>
      </c>
      <c r="F130" s="52">
        <f t="shared" ref="F130:F193" si="5">G130+H130+I130+J130</f>
        <v>14</v>
      </c>
      <c r="G130" s="53"/>
      <c r="H130" s="53"/>
      <c r="I130" s="72">
        <v>14</v>
      </c>
      <c r="J130" s="53"/>
      <c r="K130" s="57" t="s">
        <v>277</v>
      </c>
      <c r="L130" s="57"/>
      <c r="M130" s="59" t="s">
        <v>492</v>
      </c>
      <c r="N130" s="58">
        <f>VLOOKUP(E130,订单号!B:C,2,0)</f>
        <v>0</v>
      </c>
      <c r="O130" s="35" t="e">
        <f>VLOOKUP(C130,领导干部!B:B,1,0)</f>
        <v>#N/A</v>
      </c>
      <c r="Q130" s="118" t="s">
        <v>493</v>
      </c>
      <c r="R130">
        <v>210</v>
      </c>
      <c r="S130" t="e">
        <f t="array" ref="S130">VLOOKUP(Q130&amp;R130,IF({1,0},$B$2:$B$330&amp;$F$2:$F$330,$C$2:$C$330),2,)</f>
        <v>#N/A</v>
      </c>
      <c r="T130" t="e">
        <f t="array" ref="T130">VLOOKUP(Q130&amp;R130,IF({1,0},$B$2:$B$330&amp;$F$2:$F$330,$D$2:$D$330),2,)</f>
        <v>#N/A</v>
      </c>
      <c r="U130" s="35" t="e">
        <f t="array" ref="U130">VLOOKUP(Q130&amp;R130,IF({1,0},$B$2:$B$330&amp;$F$2:$F$330,$E$2:$E$330),2,)</f>
        <v>#N/A</v>
      </c>
      <c r="V130" s="35" t="e">
        <f t="array" ref="V130">VLOOKUP(Q130&amp;R130,IF({1,0},$B$2:$B$330&amp;$F$2:$F$330,$N$2:$N$330),2,)</f>
        <v>#N/A</v>
      </c>
    </row>
    <row r="131" s="35" customFormat="1" customHeight="1" spans="1:22">
      <c r="A131" s="47">
        <f t="shared" si="4"/>
        <v>130</v>
      </c>
      <c r="B131" s="48" t="s">
        <v>274</v>
      </c>
      <c r="C131" s="49">
        <f>IFERROR(VLOOKUP(B131,[66]工程研发事业部人员名单!B:D,2,0),"")</f>
        <v>26689</v>
      </c>
      <c r="D131" s="50" t="str">
        <f>IFERROR(VLOOKUP(B131,[66]工程研发事业部人员名单!B:D,3,0),"")</f>
        <v>强度室</v>
      </c>
      <c r="E131" s="57" t="s">
        <v>194</v>
      </c>
      <c r="F131" s="52">
        <f t="shared" si="5"/>
        <v>6</v>
      </c>
      <c r="G131" s="53"/>
      <c r="H131" s="53"/>
      <c r="I131" s="72">
        <v>6</v>
      </c>
      <c r="J131" s="53"/>
      <c r="K131" s="57" t="s">
        <v>277</v>
      </c>
      <c r="L131" s="57"/>
      <c r="M131" s="59" t="s">
        <v>494</v>
      </c>
      <c r="N131" s="58">
        <f>VLOOKUP(E131,订单号!B:C,2,0)</f>
        <v>0</v>
      </c>
      <c r="O131" s="35" t="e">
        <f>VLOOKUP(C131,领导干部!B:B,1,0)</f>
        <v>#N/A</v>
      </c>
      <c r="Q131" s="118" t="s">
        <v>495</v>
      </c>
      <c r="R131">
        <v>170</v>
      </c>
      <c r="S131" t="e">
        <f t="array" ref="S131">VLOOKUP(Q131&amp;R131,IF({1,0},$B$2:$B$330&amp;$F$2:$F$330,$C$2:$C$330),2,)</f>
        <v>#N/A</v>
      </c>
      <c r="T131" t="e">
        <f t="array" ref="T131">VLOOKUP(Q131&amp;R131,IF({1,0},$B$2:$B$330&amp;$F$2:$F$330,$D$2:$D$330),2,)</f>
        <v>#N/A</v>
      </c>
      <c r="U131" s="35" t="e">
        <f t="array" ref="U131">VLOOKUP(Q131&amp;R131,IF({1,0},$B$2:$B$330&amp;$F$2:$F$330,$E$2:$E$330),2,)</f>
        <v>#N/A</v>
      </c>
      <c r="V131" s="35" t="e">
        <f t="array" ref="V131">VLOOKUP(Q131&amp;R131,IF({1,0},$B$2:$B$330&amp;$F$2:$F$330,$N$2:$N$330),2,)</f>
        <v>#N/A</v>
      </c>
    </row>
    <row r="132" s="35" customFormat="1" customHeight="1" spans="1:22">
      <c r="A132" s="47">
        <f t="shared" si="4"/>
        <v>131</v>
      </c>
      <c r="B132" s="48" t="s">
        <v>254</v>
      </c>
      <c r="C132" s="49">
        <f>IFERROR(VLOOKUP(B132,[66]工程研发事业部人员名单!B:D,2,0),"")</f>
        <v>52232</v>
      </c>
      <c r="D132" s="50" t="str">
        <f>IFERROR(VLOOKUP(B132,[66]工程研发事业部人员名单!B:D,3,0),"")</f>
        <v>结构二室</v>
      </c>
      <c r="E132" s="57" t="s">
        <v>194</v>
      </c>
      <c r="F132" s="52">
        <f t="shared" si="5"/>
        <v>100</v>
      </c>
      <c r="G132" s="53"/>
      <c r="H132" s="53"/>
      <c r="I132" s="75">
        <v>100</v>
      </c>
      <c r="J132" s="60"/>
      <c r="K132" s="57"/>
      <c r="L132" s="57"/>
      <c r="M132" s="59" t="s">
        <v>496</v>
      </c>
      <c r="N132" s="58">
        <f>VLOOKUP(E132,订单号!B:C,2,0)</f>
        <v>0</v>
      </c>
      <c r="O132" s="35" t="e">
        <f>VLOOKUP(C132,领导干部!B:B,1,0)</f>
        <v>#N/A</v>
      </c>
      <c r="Q132" s="118" t="s">
        <v>254</v>
      </c>
      <c r="R132">
        <v>100</v>
      </c>
      <c r="S132">
        <f t="array" ref="S132">VLOOKUP(Q132&amp;R132,IF({1,0},$B$2:$B$330&amp;$F$2:$F$330,$C$2:$C$330),2,)</f>
        <v>52232</v>
      </c>
      <c r="T132" t="str">
        <f t="array" ref="T132">VLOOKUP(Q132&amp;R132,IF({1,0},$B$2:$B$330&amp;$F$2:$F$330,$D$2:$D$330),2,)</f>
        <v>结构二室</v>
      </c>
      <c r="U132" s="35" t="str">
        <f t="array" ref="U132">VLOOKUP(Q132&amp;R132,IF({1,0},$B$2:$B$330&amp;$F$2:$F$330,$E$2:$E$330),2,)</f>
        <v>重点工作任务</v>
      </c>
      <c r="V132" s="35">
        <f t="array" ref="V132">VLOOKUP(Q132&amp;R132,IF({1,0},$B$2:$B$330&amp;$F$2:$F$330,$N$2:$N$330),2,)</f>
        <v>0</v>
      </c>
    </row>
    <row r="133" s="35" customFormat="1" customHeight="1" spans="1:22">
      <c r="A133" s="47">
        <f t="shared" si="4"/>
        <v>132</v>
      </c>
      <c r="B133" s="48" t="s">
        <v>376</v>
      </c>
      <c r="C133" s="49">
        <f>IFERROR(VLOOKUP(B133,[66]工程研发事业部人员名单!B:D,2,0),"")</f>
        <v>50872</v>
      </c>
      <c r="D133" s="50" t="str">
        <f>IFERROR(VLOOKUP(B133,[66]工程研发事业部人员名单!B:D,3,0),"")</f>
        <v>系统室</v>
      </c>
      <c r="E133" s="57" t="s">
        <v>194</v>
      </c>
      <c r="F133" s="52">
        <f t="shared" si="5"/>
        <v>17</v>
      </c>
      <c r="G133" s="53"/>
      <c r="H133" s="53"/>
      <c r="I133" s="72">
        <v>17</v>
      </c>
      <c r="J133" s="53"/>
      <c r="K133" s="57"/>
      <c r="L133" s="57"/>
      <c r="M133" s="114" t="s">
        <v>497</v>
      </c>
      <c r="N133" s="58">
        <f>VLOOKUP(E133,订单号!B:C,2,0)</f>
        <v>0</v>
      </c>
      <c r="O133" s="35" t="e">
        <f>VLOOKUP(C133,领导干部!B:B,1,0)</f>
        <v>#N/A</v>
      </c>
      <c r="Q133" s="118" t="s">
        <v>490</v>
      </c>
      <c r="R133">
        <v>210</v>
      </c>
      <c r="S133" t="e">
        <f t="array" ref="S133">VLOOKUP(Q133&amp;R133,IF({1,0},$B$2:$B$330&amp;$F$2:$F$330,$C$2:$C$330),2,)</f>
        <v>#N/A</v>
      </c>
      <c r="T133" t="e">
        <f t="array" ref="T133">VLOOKUP(Q133&amp;R133,IF({1,0},$B$2:$B$330&amp;$F$2:$F$330,$D$2:$D$330),2,)</f>
        <v>#N/A</v>
      </c>
      <c r="U133" s="35" t="e">
        <f t="array" ref="U133">VLOOKUP(Q133&amp;R133,IF({1,0},$B$2:$B$330&amp;$F$2:$F$330,$E$2:$E$330),2,)</f>
        <v>#N/A</v>
      </c>
      <c r="V133" s="35" t="e">
        <f t="array" ref="V133">VLOOKUP(Q133&amp;R133,IF({1,0},$B$2:$B$330&amp;$F$2:$F$330,$N$2:$N$330),2,)</f>
        <v>#N/A</v>
      </c>
    </row>
    <row r="134" s="35" customFormat="1" customHeight="1" spans="1:22">
      <c r="A134" s="47">
        <f t="shared" si="4"/>
        <v>133</v>
      </c>
      <c r="B134" s="48" t="s">
        <v>311</v>
      </c>
      <c r="C134" s="49">
        <f>IFERROR(VLOOKUP(B134,[66]工程研发事业部人员名单!B:D,2,0),"")</f>
        <v>51435</v>
      </c>
      <c r="D134" s="50" t="str">
        <f>IFERROR(VLOOKUP(B134,[66]工程研发事业部人员名单!B:D,3,0),"")</f>
        <v>系统室</v>
      </c>
      <c r="E134" s="57" t="s">
        <v>194</v>
      </c>
      <c r="F134" s="52">
        <f t="shared" si="5"/>
        <v>15</v>
      </c>
      <c r="G134" s="53"/>
      <c r="H134" s="53"/>
      <c r="I134" s="72">
        <v>15</v>
      </c>
      <c r="J134" s="53"/>
      <c r="K134" s="57"/>
      <c r="L134" s="57"/>
      <c r="M134" s="114" t="s">
        <v>498</v>
      </c>
      <c r="N134" s="58">
        <f>VLOOKUP(E134,订单号!B:C,2,0)</f>
        <v>0</v>
      </c>
      <c r="O134" s="35" t="e">
        <f>VLOOKUP(C134,领导干部!B:B,1,0)</f>
        <v>#N/A</v>
      </c>
      <c r="Q134" s="118" t="s">
        <v>57</v>
      </c>
      <c r="R134">
        <v>180</v>
      </c>
      <c r="S134">
        <f t="array" ref="S134">VLOOKUP(Q134&amp;R134,IF({1,0},$B$2:$B$330&amp;$F$2:$F$330,$C$2:$C$330),2,)</f>
        <v>52153</v>
      </c>
      <c r="T134" t="str">
        <f t="array" ref="T134">VLOOKUP(Q134&amp;R134,IF({1,0},$B$2:$B$330&amp;$F$2:$F$330,$D$2:$D$330),2,)</f>
        <v>强度室</v>
      </c>
      <c r="U134" s="35" t="str">
        <f t="array" ref="U134">VLOOKUP(Q134&amp;R134,IF({1,0},$B$2:$B$330&amp;$F$2:$F$330,$E$2:$E$330),2,)</f>
        <v>C929设计（2025年上飞院）</v>
      </c>
      <c r="V134" s="35" t="str">
        <f t="array" ref="V134">VLOOKUP(Q134&amp;R134,IF({1,0},$B$2:$B$330&amp;$F$2:$F$330,$N$2:$N$330),2,)</f>
        <v>YZ40000415</v>
      </c>
    </row>
    <row r="135" s="35" customFormat="1" customHeight="1" spans="1:22">
      <c r="A135" s="47">
        <f t="shared" si="4"/>
        <v>134</v>
      </c>
      <c r="B135" s="48" t="s">
        <v>321</v>
      </c>
      <c r="C135" s="49">
        <f>IFERROR(VLOOKUP(B135,[66]工程研发事业部人员名单!B:D,2,0),"")</f>
        <v>51430</v>
      </c>
      <c r="D135" s="50" t="str">
        <f>IFERROR(VLOOKUP(B135,[66]工程研发事业部人员名单!B:D,3,0),"")</f>
        <v>系统室</v>
      </c>
      <c r="E135" s="57" t="s">
        <v>194</v>
      </c>
      <c r="F135" s="52">
        <f t="shared" si="5"/>
        <v>7</v>
      </c>
      <c r="G135" s="53"/>
      <c r="H135" s="53"/>
      <c r="I135" s="72">
        <v>7</v>
      </c>
      <c r="J135" s="53"/>
      <c r="K135" s="57"/>
      <c r="L135" s="57"/>
      <c r="M135" s="59" t="s">
        <v>499</v>
      </c>
      <c r="N135" s="58">
        <f>VLOOKUP(E135,订单号!B:C,2,0)</f>
        <v>0</v>
      </c>
      <c r="O135" s="35" t="e">
        <f>VLOOKUP(C135,领导干部!B:B,1,0)</f>
        <v>#N/A</v>
      </c>
      <c r="Q135" s="118" t="s">
        <v>58</v>
      </c>
      <c r="R135">
        <v>170</v>
      </c>
      <c r="S135">
        <f t="array" ref="S135">VLOOKUP(Q135&amp;R135,IF({1,0},$B$2:$B$330&amp;$F$2:$F$330,$C$2:$C$330),2,)</f>
        <v>53422</v>
      </c>
      <c r="T135" t="str">
        <f t="array" ref="T135">VLOOKUP(Q135&amp;R135,IF({1,0},$B$2:$B$330&amp;$F$2:$F$330,$D$2:$D$330),2,)</f>
        <v>强度室</v>
      </c>
      <c r="U135" s="35" t="str">
        <f t="array" ref="U135">VLOOKUP(Q135&amp;R135,IF({1,0},$B$2:$B$330&amp;$F$2:$F$330,$E$2:$E$330),2,)</f>
        <v>C919基本型设计（2025年上飞院）</v>
      </c>
      <c r="V135" s="35" t="str">
        <f t="array" ref="V135">VLOOKUP(Q135&amp;R135,IF({1,0},$B$2:$B$330&amp;$F$2:$F$330,$N$2:$N$330),2,)</f>
        <v>YZ40000419</v>
      </c>
    </row>
    <row r="136" s="35" customFormat="1" customHeight="1" spans="1:22">
      <c r="A136" s="47">
        <f t="shared" si="4"/>
        <v>135</v>
      </c>
      <c r="B136" s="48" t="s">
        <v>30</v>
      </c>
      <c r="C136" s="49">
        <f>IFERROR(VLOOKUP(B136,[66]工程研发事业部人员名单!B:D,2,0),"")</f>
        <v>52587</v>
      </c>
      <c r="D136" s="50" t="str">
        <f>IFERROR(VLOOKUP(B136,[66]工程研发事业部人员名单!B:D,3,0),"")</f>
        <v>系统室</v>
      </c>
      <c r="E136" s="57" t="s">
        <v>194</v>
      </c>
      <c r="F136" s="52">
        <f t="shared" si="5"/>
        <v>20</v>
      </c>
      <c r="G136" s="53"/>
      <c r="H136" s="53"/>
      <c r="I136" s="72">
        <v>20</v>
      </c>
      <c r="J136" s="53"/>
      <c r="K136" s="57"/>
      <c r="L136" s="57"/>
      <c r="M136" s="59" t="s">
        <v>500</v>
      </c>
      <c r="N136" s="58">
        <f>VLOOKUP(E136,订单号!B:C,2,0)</f>
        <v>0</v>
      </c>
      <c r="O136" s="35" t="e">
        <f>VLOOKUP(C136,领导干部!B:B,1,0)</f>
        <v>#N/A</v>
      </c>
      <c r="Q136" s="118" t="s">
        <v>59</v>
      </c>
      <c r="R136">
        <v>200</v>
      </c>
      <c r="S136">
        <f t="array" ref="S136">VLOOKUP(Q136&amp;R136,IF({1,0},$B$2:$B$330&amp;$F$2:$F$330,$C$2:$C$330),2,)</f>
        <v>52256</v>
      </c>
      <c r="T136" t="str">
        <f t="array" ref="T136">VLOOKUP(Q136&amp;R136,IF({1,0},$B$2:$B$330&amp;$F$2:$F$330,$D$2:$D$330),2,)</f>
        <v>强度室</v>
      </c>
      <c r="U136" s="35" t="str">
        <f t="array" ref="U136">VLOOKUP(Q136&amp;R136,IF({1,0},$B$2:$B$330&amp;$F$2:$F$330,$E$2:$E$330),2,)</f>
        <v>C919基本型设计（2025年上飞院）</v>
      </c>
      <c r="V136" s="35" t="str">
        <f t="array" ref="V136">VLOOKUP(Q136&amp;R136,IF({1,0},$B$2:$B$330&amp;$F$2:$F$330,$N$2:$N$330),2,)</f>
        <v>YZ40000419</v>
      </c>
    </row>
    <row r="137" s="35" customFormat="1" customHeight="1" spans="1:22">
      <c r="A137" s="47">
        <f t="shared" si="4"/>
        <v>136</v>
      </c>
      <c r="B137" s="48" t="s">
        <v>360</v>
      </c>
      <c r="C137" s="49">
        <f>IFERROR(VLOOKUP(B137,[66]工程研发事业部人员名单!B:D,2,0),"")</f>
        <v>50713</v>
      </c>
      <c r="D137" s="50" t="str">
        <f>IFERROR(VLOOKUP(B137,[66]工程研发事业部人员名单!B:D,3,0),"")</f>
        <v>系统室</v>
      </c>
      <c r="E137" s="57" t="s">
        <v>194</v>
      </c>
      <c r="F137" s="52">
        <f t="shared" si="5"/>
        <v>12</v>
      </c>
      <c r="G137" s="53"/>
      <c r="H137" s="53"/>
      <c r="I137" s="72">
        <v>12</v>
      </c>
      <c r="J137" s="53"/>
      <c r="K137" s="57"/>
      <c r="L137" s="57"/>
      <c r="M137" s="59" t="s">
        <v>501</v>
      </c>
      <c r="N137" s="58">
        <f>VLOOKUP(E137,订单号!B:C,2,0)</f>
        <v>0</v>
      </c>
      <c r="O137" s="35" t="e">
        <f>VLOOKUP(C137,领导干部!B:B,1,0)</f>
        <v>#N/A</v>
      </c>
      <c r="Q137" s="118" t="s">
        <v>93</v>
      </c>
      <c r="R137">
        <v>200</v>
      </c>
      <c r="S137">
        <f t="array" ref="S137">VLOOKUP(Q137&amp;R137,IF({1,0},$B$2:$B$330&amp;$F$2:$F$330,$C$2:$C$330),2,)</f>
        <v>25078</v>
      </c>
      <c r="T137" t="str">
        <f t="array" ref="T137">VLOOKUP(Q137&amp;R137,IF({1,0},$B$2:$B$330&amp;$F$2:$F$330,$D$2:$D$330),2,)</f>
        <v>结构一室</v>
      </c>
      <c r="U137" s="35" t="str">
        <f t="array" ref="U137">VLOOKUP(Q137&amp;R137,IF({1,0},$B$2:$B$330&amp;$F$2:$F$330,$E$2:$E$330),2,)</f>
        <v>C929设计（2025年复材中心）</v>
      </c>
      <c r="V137" s="35" t="str">
        <f t="array" ref="V137">VLOOKUP(Q137&amp;R137,IF({1,0},$B$2:$B$330&amp;$F$2:$F$330,$N$2:$N$330),2,)</f>
        <v>YZ40000418</v>
      </c>
    </row>
    <row r="138" s="35" customFormat="1" customHeight="1" spans="1:22">
      <c r="A138" s="47">
        <f t="shared" si="4"/>
        <v>137</v>
      </c>
      <c r="B138" s="48" t="s">
        <v>358</v>
      </c>
      <c r="C138" s="49">
        <f>IFERROR(VLOOKUP(B138,[66]工程研发事业部人员名单!B:D,2,0),"")</f>
        <v>51387</v>
      </c>
      <c r="D138" s="50" t="str">
        <f>IFERROR(VLOOKUP(B138,[66]工程研发事业部人员名单!B:D,3,0),"")</f>
        <v>系统室</v>
      </c>
      <c r="E138" s="57" t="s">
        <v>194</v>
      </c>
      <c r="F138" s="52">
        <f t="shared" si="5"/>
        <v>20</v>
      </c>
      <c r="G138" s="53"/>
      <c r="H138" s="53"/>
      <c r="I138" s="72">
        <v>20</v>
      </c>
      <c r="J138" s="53"/>
      <c r="K138" s="57"/>
      <c r="L138" s="57"/>
      <c r="M138" s="59" t="s">
        <v>502</v>
      </c>
      <c r="N138" s="58">
        <f>VLOOKUP(E138,订单号!B:C,2,0)</f>
        <v>0</v>
      </c>
      <c r="O138" s="35" t="e">
        <f>VLOOKUP(C138,领导干部!B:B,1,0)</f>
        <v>#N/A</v>
      </c>
      <c r="Q138" s="118" t="s">
        <v>92</v>
      </c>
      <c r="R138">
        <v>190</v>
      </c>
      <c r="S138">
        <f t="array" ref="S138">VLOOKUP(Q138&amp;R138,IF({1,0},$B$2:$B$330&amp;$F$2:$F$330,$C$2:$C$330),2,)</f>
        <v>51647</v>
      </c>
      <c r="T138" t="str">
        <f t="array" ref="T138">VLOOKUP(Q138&amp;R138,IF({1,0},$B$2:$B$330&amp;$F$2:$F$330,$D$2:$D$330),2,)</f>
        <v>结构一室</v>
      </c>
      <c r="U138" s="35" t="str">
        <f t="array" ref="U138">VLOOKUP(Q138&amp;R138,IF({1,0},$B$2:$B$330&amp;$F$2:$F$330,$E$2:$E$330),2,)</f>
        <v>C929设计（2025年上飞院）</v>
      </c>
      <c r="V138" s="35" t="str">
        <f t="array" ref="V138">VLOOKUP(Q138&amp;R138,IF({1,0},$B$2:$B$330&amp;$F$2:$F$330,$N$2:$N$330),2,)</f>
        <v>YZ40000415</v>
      </c>
    </row>
    <row r="139" s="35" customFormat="1" customHeight="1" spans="1:22">
      <c r="A139" s="47">
        <f t="shared" si="4"/>
        <v>138</v>
      </c>
      <c r="B139" s="48" t="s">
        <v>298</v>
      </c>
      <c r="C139" s="49">
        <f>IFERROR(VLOOKUP(B139,[66]工程研发事业部人员名单!B:D,2,0),"")</f>
        <v>51517</v>
      </c>
      <c r="D139" s="50" t="str">
        <f>IFERROR(VLOOKUP(B139,[66]工程研发事业部人员名单!B:D,3,0),"")</f>
        <v>系统室</v>
      </c>
      <c r="E139" s="57" t="s">
        <v>194</v>
      </c>
      <c r="F139" s="52">
        <f t="shared" si="5"/>
        <v>10</v>
      </c>
      <c r="G139" s="53"/>
      <c r="H139" s="53"/>
      <c r="I139" s="72">
        <v>10</v>
      </c>
      <c r="J139" s="53"/>
      <c r="K139" s="57"/>
      <c r="L139" s="57"/>
      <c r="M139" s="59" t="s">
        <v>503</v>
      </c>
      <c r="N139" s="58">
        <f>VLOOKUP(E139,订单号!B:C,2,0)</f>
        <v>0</v>
      </c>
      <c r="O139" s="35" t="e">
        <f>VLOOKUP(C139,领导干部!B:B,1,0)</f>
        <v>#N/A</v>
      </c>
      <c r="Q139" s="118" t="s">
        <v>94</v>
      </c>
      <c r="R139">
        <v>160</v>
      </c>
      <c r="S139">
        <f t="array" ref="S139">VLOOKUP(Q139&amp;R139,IF({1,0},$B$2:$B$330&amp;$F$2:$F$330,$C$2:$C$330),2,)</f>
        <v>50735</v>
      </c>
      <c r="T139" t="str">
        <f t="array" ref="T139">VLOOKUP(Q139&amp;R139,IF({1,0},$B$2:$B$330&amp;$F$2:$F$330,$D$2:$D$330),2,)</f>
        <v>结构一室</v>
      </c>
      <c r="U139" s="35" t="str">
        <f t="array" ref="U139">VLOOKUP(Q139&amp;R139,IF({1,0},$B$2:$B$330&amp;$F$2:$F$330,$E$2:$E$330),2,)</f>
        <v>C929设计（2025年上飞院）</v>
      </c>
      <c r="V139" s="35" t="str">
        <f t="array" ref="V139">VLOOKUP(Q139&amp;R139,IF({1,0},$B$2:$B$330&amp;$F$2:$F$330,$N$2:$N$330),2,)</f>
        <v>YZ40000415</v>
      </c>
    </row>
    <row r="140" s="35" customFormat="1" customHeight="1" spans="1:22">
      <c r="A140" s="47">
        <f t="shared" si="4"/>
        <v>139</v>
      </c>
      <c r="B140" s="48" t="s">
        <v>338</v>
      </c>
      <c r="C140" s="49">
        <f>IFERROR(VLOOKUP(B140,[66]工程研发事业部人员名单!B:D,2,0),"")</f>
        <v>52156</v>
      </c>
      <c r="D140" s="50" t="str">
        <f>IFERROR(VLOOKUP(B140,[66]工程研发事业部人员名单!B:D,3,0),"")</f>
        <v>系统室</v>
      </c>
      <c r="E140" s="57" t="s">
        <v>194</v>
      </c>
      <c r="F140" s="52">
        <f t="shared" si="5"/>
        <v>10</v>
      </c>
      <c r="G140" s="53"/>
      <c r="H140" s="53"/>
      <c r="I140" s="72">
        <v>10</v>
      </c>
      <c r="J140" s="53"/>
      <c r="K140" s="57"/>
      <c r="L140" s="57"/>
      <c r="M140" s="59" t="s">
        <v>504</v>
      </c>
      <c r="N140" s="58">
        <f>VLOOKUP(E140,订单号!B:C,2,0)</f>
        <v>0</v>
      </c>
      <c r="O140" s="35" t="e">
        <f>VLOOKUP(C140,领导干部!B:B,1,0)</f>
        <v>#N/A</v>
      </c>
      <c r="Q140" s="118" t="s">
        <v>505</v>
      </c>
      <c r="R140">
        <v>0</v>
      </c>
      <c r="S140" t="e">
        <f t="array" ref="S140">VLOOKUP(Q140&amp;R140,IF({1,0},$B$2:$B$330&amp;$F$2:$F$330,$C$2:$C$330),2,)</f>
        <v>#N/A</v>
      </c>
      <c r="T140" t="e">
        <f t="array" ref="T140">VLOOKUP(Q140&amp;R140,IF({1,0},$B$2:$B$330&amp;$F$2:$F$330,$D$2:$D$330),2,)</f>
        <v>#N/A</v>
      </c>
      <c r="U140" s="35" t="e">
        <f t="array" ref="U140">VLOOKUP(Q140&amp;R140,IF({1,0},$B$2:$B$330&amp;$F$2:$F$330,$E$2:$E$330),2,)</f>
        <v>#N/A</v>
      </c>
      <c r="V140" s="35" t="e">
        <f t="array" ref="V140">VLOOKUP(Q140&amp;R140,IF({1,0},$B$2:$B$330&amp;$F$2:$F$330,$N$2:$N$330),2,)</f>
        <v>#N/A</v>
      </c>
    </row>
    <row r="141" s="35" customFormat="1" customHeight="1" spans="1:22">
      <c r="A141" s="47">
        <f t="shared" si="4"/>
        <v>140</v>
      </c>
      <c r="B141" s="48" t="s">
        <v>295</v>
      </c>
      <c r="C141" s="49">
        <f>IFERROR(VLOOKUP(B141,[66]工程研发事业部人员名单!B:D,2,0),"")</f>
        <v>51951</v>
      </c>
      <c r="D141" s="50" t="str">
        <f>IFERROR(VLOOKUP(B141,[66]工程研发事业部人员名单!B:D,3,0),"")</f>
        <v>系统室</v>
      </c>
      <c r="E141" s="57" t="s">
        <v>194</v>
      </c>
      <c r="F141" s="52">
        <f t="shared" si="5"/>
        <v>16</v>
      </c>
      <c r="G141" s="53"/>
      <c r="H141" s="53"/>
      <c r="I141" s="72">
        <v>16</v>
      </c>
      <c r="J141" s="53"/>
      <c r="K141" s="57"/>
      <c r="L141" s="57"/>
      <c r="M141" s="59" t="s">
        <v>506</v>
      </c>
      <c r="N141" s="58">
        <f>VLOOKUP(E141,订单号!B:C,2,0)</f>
        <v>0</v>
      </c>
      <c r="O141" s="35" t="e">
        <f>VLOOKUP(C141,领导干部!B:B,1,0)</f>
        <v>#N/A</v>
      </c>
      <c r="Q141" s="118" t="s">
        <v>126</v>
      </c>
      <c r="R141">
        <v>100</v>
      </c>
      <c r="S141">
        <f t="array" ref="S141">VLOOKUP(Q141&amp;R141,IF({1,0},$B$2:$B$330&amp;$F$2:$F$330,$C$2:$C$330),2,)</f>
        <v>52570</v>
      </c>
      <c r="T141" t="str">
        <f t="array" ref="T141">VLOOKUP(Q141&amp;R141,IF({1,0},$B$2:$B$330&amp;$F$2:$F$330,$D$2:$D$330),2,)</f>
        <v>工程项目室 /适航工程室</v>
      </c>
      <c r="U141" s="35" t="str">
        <f t="array" ref="U141">VLOOKUP(Q141&amp;R141,IF({1,0},$B$2:$B$330&amp;$F$2:$F$330,$E$2:$E$330),2,)</f>
        <v>C919高原型设计（2025年上飞院）</v>
      </c>
      <c r="V141" s="35" t="str">
        <f t="array" ref="V141">VLOOKUP(Q141&amp;R141,IF({1,0},$B$2:$B$330&amp;$F$2:$F$330,$N$2:$N$330),2,)</f>
        <v>YZ40000417</v>
      </c>
    </row>
    <row r="142" s="35" customFormat="1" customHeight="1" spans="1:22">
      <c r="A142" s="47">
        <f t="shared" si="4"/>
        <v>141</v>
      </c>
      <c r="B142" s="48" t="s">
        <v>292</v>
      </c>
      <c r="C142" s="49">
        <f>IFERROR(VLOOKUP(B142,[66]工程研发事业部人员名单!B:D,2,0),"")</f>
        <v>51385</v>
      </c>
      <c r="D142" s="50" t="str">
        <f>IFERROR(VLOOKUP(B142,[66]工程研发事业部人员名单!B:D,3,0),"")</f>
        <v>系统室</v>
      </c>
      <c r="E142" s="57" t="s">
        <v>194</v>
      </c>
      <c r="F142" s="52">
        <f t="shared" si="5"/>
        <v>20</v>
      </c>
      <c r="G142" s="53"/>
      <c r="H142" s="53"/>
      <c r="I142" s="72">
        <v>20</v>
      </c>
      <c r="J142" s="53"/>
      <c r="K142" s="57"/>
      <c r="L142" s="57"/>
      <c r="M142" s="59" t="s">
        <v>507</v>
      </c>
      <c r="N142" s="58">
        <f>VLOOKUP(E142,订单号!B:C,2,0)</f>
        <v>0</v>
      </c>
      <c r="O142" s="35" t="e">
        <f>VLOOKUP(C142,领导干部!B:B,1,0)</f>
        <v>#N/A</v>
      </c>
      <c r="Q142" s="118" t="s">
        <v>119</v>
      </c>
      <c r="R142">
        <v>170</v>
      </c>
      <c r="S142">
        <f t="array" ref="S142">VLOOKUP(Q142&amp;R142,IF({1,0},$B$2:$B$330&amp;$F$2:$F$330,$C$2:$C$330),2,)</f>
        <v>52341</v>
      </c>
      <c r="T142" t="str">
        <f t="array" ref="T142">VLOOKUP(Q142&amp;R142,IF({1,0},$B$2:$B$330&amp;$F$2:$F$330,$D$2:$D$330),2,)</f>
        <v>结构二室</v>
      </c>
      <c r="U142" s="35" t="str">
        <f t="array" ref="U142">VLOOKUP(Q142&amp;R142,IF({1,0},$B$2:$B$330&amp;$F$2:$F$330,$E$2:$E$330),2,)</f>
        <v>C929设计（2025年上飞院）</v>
      </c>
      <c r="V142" s="35" t="str">
        <f t="array" ref="V142">VLOOKUP(Q142&amp;R142,IF({1,0},$B$2:$B$330&amp;$F$2:$F$330,$N$2:$N$330),2,)</f>
        <v>YZ40000415</v>
      </c>
    </row>
    <row r="143" s="35" customFormat="1" customHeight="1" spans="1:22">
      <c r="A143" s="47">
        <f t="shared" si="4"/>
        <v>142</v>
      </c>
      <c r="B143" s="48" t="s">
        <v>305</v>
      </c>
      <c r="C143" s="49">
        <f>IFERROR(VLOOKUP(B143,[66]工程研发事业部人员名单!B:D,2,0),"")</f>
        <v>51389</v>
      </c>
      <c r="D143" s="50" t="str">
        <f>IFERROR(VLOOKUP(B143,[66]工程研发事业部人员名单!B:D,3,0),"")</f>
        <v>系统室</v>
      </c>
      <c r="E143" s="57" t="s">
        <v>194</v>
      </c>
      <c r="F143" s="52">
        <f t="shared" si="5"/>
        <v>5</v>
      </c>
      <c r="G143" s="53"/>
      <c r="H143" s="53"/>
      <c r="I143" s="72">
        <v>5</v>
      </c>
      <c r="J143" s="53"/>
      <c r="K143" s="57"/>
      <c r="L143" s="57"/>
      <c r="M143" s="59" t="s">
        <v>508</v>
      </c>
      <c r="N143" s="58">
        <f>VLOOKUP(E143,订单号!B:C,2,0)</f>
        <v>0</v>
      </c>
      <c r="O143" s="35" t="e">
        <f>VLOOKUP(C143,领导干部!B:B,1,0)</f>
        <v>#N/A</v>
      </c>
      <c r="Q143" s="118" t="s">
        <v>61</v>
      </c>
      <c r="R143">
        <v>170</v>
      </c>
      <c r="S143">
        <f t="array" ref="S143">VLOOKUP(Q143&amp;R143,IF({1,0},$B$2:$B$330&amp;$F$2:$F$330,$C$2:$C$330),2,)</f>
        <v>52569</v>
      </c>
      <c r="T143" t="str">
        <f t="array" ref="T143">VLOOKUP(Q143&amp;R143,IF({1,0},$B$2:$B$330&amp;$F$2:$F$330,$D$2:$D$330),2,)</f>
        <v>强度室</v>
      </c>
      <c r="U143" s="35" t="str">
        <f t="array" ref="U143">VLOOKUP(Q143&amp;R143,IF({1,0},$B$2:$B$330&amp;$F$2:$F$330,$E$2:$E$330),2,)</f>
        <v>C929设计（2025年上飞院）</v>
      </c>
      <c r="V143" s="35" t="str">
        <f t="array" ref="V143">VLOOKUP(Q143&amp;R143,IF({1,0},$B$2:$B$330&amp;$F$2:$F$330,$N$2:$N$330),2,)</f>
        <v>YZ40000415</v>
      </c>
    </row>
    <row r="144" s="35" customFormat="1" customHeight="1" spans="1:22">
      <c r="A144" s="47">
        <f t="shared" si="4"/>
        <v>143</v>
      </c>
      <c r="B144" s="48" t="s">
        <v>31</v>
      </c>
      <c r="C144" s="49">
        <f>IFERROR(VLOOKUP(B144,[66]工程研发事业部人员名单!B:D,2,0),"")</f>
        <v>52585</v>
      </c>
      <c r="D144" s="50" t="str">
        <f>IFERROR(VLOOKUP(B144,[66]工程研发事业部人员名单!B:D,3,0),"")</f>
        <v>系统室</v>
      </c>
      <c r="E144" s="57" t="s">
        <v>194</v>
      </c>
      <c r="F144" s="52">
        <f t="shared" si="5"/>
        <v>6</v>
      </c>
      <c r="G144" s="53"/>
      <c r="H144" s="53"/>
      <c r="I144" s="72">
        <v>6</v>
      </c>
      <c r="J144" s="53"/>
      <c r="K144" s="57"/>
      <c r="L144" s="57"/>
      <c r="M144" s="59" t="s">
        <v>509</v>
      </c>
      <c r="N144" s="58">
        <f>VLOOKUP(E144,订单号!B:C,2,0)</f>
        <v>0</v>
      </c>
      <c r="O144" s="35" t="e">
        <f>VLOOKUP(C144,领导干部!B:B,1,0)</f>
        <v>#N/A</v>
      </c>
      <c r="Q144" s="118" t="s">
        <v>95</v>
      </c>
      <c r="R144">
        <v>180</v>
      </c>
      <c r="S144">
        <f t="array" ref="S144">VLOOKUP(Q144&amp;R144,IF({1,0},$B$2:$B$330&amp;$F$2:$F$330,$C$2:$C$330),2,)</f>
        <v>52579</v>
      </c>
      <c r="T144" t="str">
        <f t="array" ref="T144">VLOOKUP(Q144&amp;R144,IF({1,0},$B$2:$B$330&amp;$F$2:$F$330,$D$2:$D$330),2,)</f>
        <v>结构一室</v>
      </c>
      <c r="U144" s="35" t="str">
        <f t="array" ref="U144">VLOOKUP(Q144&amp;R144,IF({1,0},$B$2:$B$330&amp;$F$2:$F$330,$E$2:$E$330),2,)</f>
        <v>C929设计（2025年复材中心）</v>
      </c>
      <c r="V144" s="35" t="str">
        <f t="array" ref="V144">VLOOKUP(Q144&amp;R144,IF({1,0},$B$2:$B$330&amp;$F$2:$F$330,$N$2:$N$330),2,)</f>
        <v>YZ40000418</v>
      </c>
    </row>
    <row r="145" s="35" customFormat="1" customHeight="1" spans="1:22">
      <c r="A145" s="47">
        <f t="shared" si="4"/>
        <v>144</v>
      </c>
      <c r="B145" s="48" t="s">
        <v>445</v>
      </c>
      <c r="C145" s="49">
        <f>IFERROR(VLOOKUP(B145,[66]工程研发事业部人员名单!B:D,2,0),"")</f>
        <v>51194</v>
      </c>
      <c r="D145" s="50" t="str">
        <f>IFERROR(VLOOKUP(B145,[66]工程研发事业部人员名单!B:D,3,0),"")</f>
        <v>强度室</v>
      </c>
      <c r="E145" s="51" t="s">
        <v>510</v>
      </c>
      <c r="F145" s="52">
        <f t="shared" si="5"/>
        <v>213</v>
      </c>
      <c r="G145" s="53"/>
      <c r="H145" s="53"/>
      <c r="I145" s="119">
        <v>213</v>
      </c>
      <c r="J145" s="53"/>
      <c r="K145" s="48" t="s">
        <v>277</v>
      </c>
      <c r="L145" s="57" t="s">
        <v>511</v>
      </c>
      <c r="M145" s="82" t="s">
        <v>512</v>
      </c>
      <c r="N145" s="58" t="str">
        <f>VLOOKUP(E145,订单号!B:C,2,0)</f>
        <v>YZ-RD202428</v>
      </c>
      <c r="O145" s="35" t="e">
        <f>VLOOKUP(C145,领导干部!B:B,1,0)</f>
        <v>#N/A</v>
      </c>
      <c r="Q145" s="118" t="s">
        <v>451</v>
      </c>
      <c r="R145">
        <v>150</v>
      </c>
      <c r="S145">
        <f t="array" ref="S145">VLOOKUP(Q145&amp;R145,IF({1,0},$B$2:$B$330&amp;$F$2:$F$330,$C$2:$C$330),2,)</f>
        <v>50245</v>
      </c>
      <c r="T145" t="str">
        <f t="array" ref="T145">VLOOKUP(Q145&amp;R145,IF({1,0},$B$2:$B$330&amp;$F$2:$F$330,$D$2:$D$330),2,)</f>
        <v>联络工程室</v>
      </c>
      <c r="U145" s="35" t="str">
        <f t="array" ref="U145">VLOOKUP(Q145&amp;R145,IF({1,0},$B$2:$B$330&amp;$F$2:$F$330,$E$2:$E$330),2,)</f>
        <v>工程支持</v>
      </c>
      <c r="V145" s="35">
        <f t="array" ref="V145">VLOOKUP(Q145&amp;R145,IF({1,0},$B$2:$B$330&amp;$F$2:$F$330,$N$2:$N$330),2,)</f>
        <v>10502</v>
      </c>
    </row>
    <row r="146" s="35" customFormat="1" customHeight="1" spans="1:22">
      <c r="A146" s="47">
        <f t="shared" si="4"/>
        <v>145</v>
      </c>
      <c r="B146" s="48" t="s">
        <v>468</v>
      </c>
      <c r="C146" s="49">
        <f>IFERROR(VLOOKUP(B146,[66]工程研发事业部人员名单!B:D,2,0),"")</f>
        <v>23527</v>
      </c>
      <c r="D146" s="50" t="str">
        <f>IFERROR(VLOOKUP(B146,[66]工程研发事业部人员名单!B:D,3,0),"")</f>
        <v>强度室</v>
      </c>
      <c r="E146" s="51" t="s">
        <v>510</v>
      </c>
      <c r="F146" s="52">
        <f t="shared" si="5"/>
        <v>195</v>
      </c>
      <c r="G146" s="53"/>
      <c r="H146" s="53"/>
      <c r="I146" s="119">
        <v>195</v>
      </c>
      <c r="J146" s="53"/>
      <c r="K146" s="48" t="s">
        <v>277</v>
      </c>
      <c r="L146" s="57" t="s">
        <v>511</v>
      </c>
      <c r="M146" s="82" t="s">
        <v>513</v>
      </c>
      <c r="N146" s="58" t="str">
        <f>VLOOKUP(E146,订单号!B:C,2,0)</f>
        <v>YZ-RD202428</v>
      </c>
      <c r="O146" s="35" t="e">
        <f>VLOOKUP(C146,领导干部!B:B,1,0)</f>
        <v>#N/A</v>
      </c>
      <c r="Q146" s="118" t="s">
        <v>514</v>
      </c>
      <c r="R146">
        <v>120</v>
      </c>
      <c r="S146">
        <f t="array" ref="S146">VLOOKUP(Q146&amp;R146,IF({1,0},$B$2:$B$330&amp;$F$2:$F$330,$C$2:$C$330),2,)</f>
        <v>17787</v>
      </c>
      <c r="T146" t="str">
        <f t="array" ref="T146">VLOOKUP(Q146&amp;R146,IF({1,0},$B$2:$B$330&amp;$F$2:$F$330,$D$2:$D$330),2,)</f>
        <v>综合技术室</v>
      </c>
      <c r="U146" s="35" t="str">
        <f t="array" ref="U146">VLOOKUP(Q146&amp;R146,IF({1,0},$B$2:$B$330&amp;$F$2:$F$330,$E$2:$E$330),2,)</f>
        <v>工程支持</v>
      </c>
      <c r="V146" s="35">
        <f t="array" ref="V146">VLOOKUP(Q146&amp;R146,IF({1,0},$B$2:$B$330&amp;$F$2:$F$330,$N$2:$N$330),2,)</f>
        <v>10502</v>
      </c>
    </row>
    <row r="147" s="35" customFormat="1" customHeight="1" spans="1:22">
      <c r="A147" s="47">
        <f t="shared" si="4"/>
        <v>146</v>
      </c>
      <c r="B147" s="48" t="s">
        <v>341</v>
      </c>
      <c r="C147" s="49">
        <f>IFERROR(VLOOKUP(B147,[66]工程研发事业部人员名单!B:D,2,0),"")</f>
        <v>51793</v>
      </c>
      <c r="D147" s="50" t="str">
        <f>IFERROR(VLOOKUP(B147,[66]工程研发事业部人员名单!B:D,3,0),"")</f>
        <v>强度室</v>
      </c>
      <c r="E147" s="51" t="s">
        <v>510</v>
      </c>
      <c r="F147" s="52">
        <f t="shared" si="5"/>
        <v>191</v>
      </c>
      <c r="G147" s="53"/>
      <c r="H147" s="53"/>
      <c r="I147" s="119">
        <v>191</v>
      </c>
      <c r="J147" s="53"/>
      <c r="K147" s="48" t="s">
        <v>277</v>
      </c>
      <c r="L147" s="57" t="s">
        <v>511</v>
      </c>
      <c r="M147" s="82" t="s">
        <v>515</v>
      </c>
      <c r="N147" s="58" t="str">
        <f>VLOOKUP(E147,订单号!B:C,2,0)</f>
        <v>YZ-RD202428</v>
      </c>
      <c r="O147" s="35" t="e">
        <f>VLOOKUP(C147,领导干部!B:B,1,0)</f>
        <v>#N/A</v>
      </c>
      <c r="Q147" s="118" t="s">
        <v>62</v>
      </c>
      <c r="R147">
        <v>115</v>
      </c>
      <c r="S147">
        <f t="array" ref="S147">VLOOKUP(Q147&amp;R147,IF({1,0},$B$2:$B$330&amp;$F$2:$F$330,$C$2:$C$330),2,)</f>
        <v>52581</v>
      </c>
      <c r="T147" t="str">
        <f t="array" ref="T147">VLOOKUP(Q147&amp;R147,IF({1,0},$B$2:$B$330&amp;$F$2:$F$330,$D$2:$D$330),2,)</f>
        <v>强度室</v>
      </c>
      <c r="U147" s="35" t="str">
        <f t="array" ref="U147">VLOOKUP(Q147&amp;R147,IF({1,0},$B$2:$B$330&amp;$F$2:$F$330,$E$2:$E$330),2,)</f>
        <v>C929设计（2025年复材中心）</v>
      </c>
      <c r="V147" s="35" t="str">
        <f t="array" ref="V147">VLOOKUP(Q147&amp;R147,IF({1,0},$B$2:$B$330&amp;$F$2:$F$330,$N$2:$N$330),2,)</f>
        <v>YZ40000418</v>
      </c>
    </row>
    <row r="148" s="35" customFormat="1" customHeight="1" spans="1:22">
      <c r="A148" s="47">
        <f t="shared" si="4"/>
        <v>147</v>
      </c>
      <c r="B148" s="48" t="s">
        <v>486</v>
      </c>
      <c r="C148" s="49">
        <f>IFERROR(VLOOKUP(B148,[66]工程研发事业部人员名单!B:D,2,0),"")</f>
        <v>28161</v>
      </c>
      <c r="D148" s="50" t="str">
        <f>IFERROR(VLOOKUP(B148,[66]工程研发事业部人员名单!B:D,3,0),"")</f>
        <v>强度室</v>
      </c>
      <c r="E148" s="51" t="s">
        <v>510</v>
      </c>
      <c r="F148" s="52">
        <f t="shared" si="5"/>
        <v>100</v>
      </c>
      <c r="G148" s="53"/>
      <c r="H148" s="53"/>
      <c r="I148" s="119">
        <v>100</v>
      </c>
      <c r="J148" s="53"/>
      <c r="K148" s="48" t="s">
        <v>277</v>
      </c>
      <c r="L148" s="57" t="s">
        <v>511</v>
      </c>
      <c r="M148" s="82" t="s">
        <v>516</v>
      </c>
      <c r="N148" s="58" t="str">
        <f>VLOOKUP(E148,订单号!B:C,2,0)</f>
        <v>YZ-RD202428</v>
      </c>
      <c r="O148" s="35" t="e">
        <f>VLOOKUP(C148,领导干部!B:B,1,0)</f>
        <v>#N/A</v>
      </c>
      <c r="Q148" s="118" t="s">
        <v>31</v>
      </c>
      <c r="R148">
        <v>96.5</v>
      </c>
      <c r="S148">
        <f t="array" ref="S148">VLOOKUP(Q148&amp;R148,IF({1,0},$B$2:$B$330&amp;$F$2:$F$330,$C$2:$C$330),2,)</f>
        <v>52585</v>
      </c>
      <c r="T148" t="str">
        <f t="array" ref="T148">VLOOKUP(Q148&amp;R148,IF({1,0},$B$2:$B$330&amp;$F$2:$F$330,$D$2:$D$330),2,)</f>
        <v>系统室</v>
      </c>
      <c r="U148" s="35" t="str">
        <f t="array" ref="U148">VLOOKUP(Q148&amp;R148,IF({1,0},$B$2:$B$330&amp;$F$2:$F$330,$E$2:$E$330),2,)</f>
        <v>WH1项目总体/系统/适航等其它专业</v>
      </c>
      <c r="V148" s="35" t="str">
        <f t="array" ref="V148">VLOOKUP(Q148&amp;R148,IF({1,0},$B$2:$B$330&amp;$F$2:$F$330,$N$2:$N$330),2,)</f>
        <v>YZ-RD202428</v>
      </c>
    </row>
    <row r="149" s="35" customFormat="1" customHeight="1" spans="1:22">
      <c r="A149" s="47">
        <f t="shared" si="4"/>
        <v>148</v>
      </c>
      <c r="B149" s="48" t="s">
        <v>282</v>
      </c>
      <c r="C149" s="49">
        <f>IFERROR(VLOOKUP(B149,[66]工程研发事业部人员名单!B:D,2,0),"")</f>
        <v>52342</v>
      </c>
      <c r="D149" s="50" t="str">
        <f>IFERROR(VLOOKUP(B149,[66]工程研发事业部人员名单!B:D,3,0),"")</f>
        <v>强度室</v>
      </c>
      <c r="E149" s="51" t="s">
        <v>510</v>
      </c>
      <c r="F149" s="52">
        <f t="shared" si="5"/>
        <v>170</v>
      </c>
      <c r="G149" s="53"/>
      <c r="H149" s="53"/>
      <c r="I149" s="119">
        <v>170</v>
      </c>
      <c r="J149" s="53"/>
      <c r="K149" s="48" t="s">
        <v>277</v>
      </c>
      <c r="L149" s="57" t="s">
        <v>511</v>
      </c>
      <c r="M149" s="82" t="s">
        <v>517</v>
      </c>
      <c r="N149" s="58" t="str">
        <f>VLOOKUP(E149,订单号!B:C,2,0)</f>
        <v>YZ-RD202428</v>
      </c>
      <c r="O149" s="35" t="e">
        <f>VLOOKUP(C149,领导干部!B:B,1,0)</f>
        <v>#N/A</v>
      </c>
      <c r="Q149" s="118" t="s">
        <v>30</v>
      </c>
      <c r="R149">
        <v>65</v>
      </c>
      <c r="S149">
        <f t="array" ref="S149">VLOOKUP(Q149&amp;R149,IF({1,0},$B$2:$B$330&amp;$F$2:$F$330,$C$2:$C$330),2,)</f>
        <v>52587</v>
      </c>
      <c r="T149" t="str">
        <f t="array" ref="T149">VLOOKUP(Q149&amp;R149,IF({1,0},$B$2:$B$330&amp;$F$2:$F$330,$D$2:$D$330),2,)</f>
        <v>系统室</v>
      </c>
      <c r="U149" s="35" t="str">
        <f t="array" ref="U149">VLOOKUP(Q149&amp;R149,IF({1,0},$B$2:$B$330&amp;$F$2:$F$330,$E$2:$E$330),2,)</f>
        <v>培训工作</v>
      </c>
      <c r="V149" s="35">
        <f t="array" ref="V149">VLOOKUP(Q149&amp;R149,IF({1,0},$B$2:$B$330&amp;$F$2:$F$330,$N$2:$N$330),2,)</f>
        <v>0</v>
      </c>
    </row>
    <row r="150" s="35" customFormat="1" customHeight="1" spans="1:22">
      <c r="A150" s="47">
        <f t="shared" si="4"/>
        <v>149</v>
      </c>
      <c r="B150" s="48" t="s">
        <v>410</v>
      </c>
      <c r="C150" s="49">
        <f>IFERROR(VLOOKUP(B150,[66]工程研发事业部人员名单!B:D,2,0),"")</f>
        <v>51196</v>
      </c>
      <c r="D150" s="50" t="str">
        <f>IFERROR(VLOOKUP(B150,[66]工程研发事业部人员名单!B:D,3,0),"")</f>
        <v>强度室</v>
      </c>
      <c r="E150" s="51" t="s">
        <v>510</v>
      </c>
      <c r="F150" s="52">
        <f t="shared" si="5"/>
        <v>190</v>
      </c>
      <c r="G150" s="53"/>
      <c r="H150" s="53"/>
      <c r="I150" s="119">
        <v>190</v>
      </c>
      <c r="J150" s="53"/>
      <c r="K150" s="48" t="s">
        <v>277</v>
      </c>
      <c r="L150" s="57" t="s">
        <v>511</v>
      </c>
      <c r="M150" s="82" t="s">
        <v>518</v>
      </c>
      <c r="N150" s="58" t="str">
        <f>VLOOKUP(E150,订单号!B:C,2,0)</f>
        <v>YZ-RD202428</v>
      </c>
      <c r="O150" s="35" t="e">
        <f>VLOOKUP(C150,领导干部!B:B,1,0)</f>
        <v>#N/A</v>
      </c>
      <c r="Q150" s="118" t="s">
        <v>468</v>
      </c>
      <c r="R150">
        <v>195</v>
      </c>
      <c r="S150">
        <f t="array" ref="S150">VLOOKUP(Q150&amp;R150,IF({1,0},$B$2:$B$330&amp;$F$2:$F$330,$C$2:$C$330),2,)</f>
        <v>23527</v>
      </c>
      <c r="T150" t="str">
        <f t="array" ref="T150">VLOOKUP(Q150&amp;R150,IF({1,0},$B$2:$B$330&amp;$F$2:$F$330,$D$2:$D$330),2,)</f>
        <v>强度室</v>
      </c>
      <c r="U150" s="35" t="str">
        <f t="array" ref="U150">VLOOKUP(Q150&amp;R150,IF({1,0},$B$2:$B$330&amp;$F$2:$F$330,$E$2:$E$330),2,)</f>
        <v>WH1项目结构强度综合</v>
      </c>
      <c r="V150" s="35" t="str">
        <f t="array" ref="V150">VLOOKUP(Q150&amp;R150,IF({1,0},$B$2:$B$330&amp;$F$2:$F$330,$N$2:$N$330),2,)</f>
        <v>YZ-RD202428</v>
      </c>
    </row>
    <row r="151" s="35" customFormat="1" customHeight="1" spans="1:22">
      <c r="A151" s="47">
        <f t="shared" si="4"/>
        <v>150</v>
      </c>
      <c r="B151" s="48" t="s">
        <v>447</v>
      </c>
      <c r="C151" s="49">
        <f>IFERROR(VLOOKUP(B151,[66]工程研发事业部人员名单!B:D,2,0),"")</f>
        <v>52347</v>
      </c>
      <c r="D151" s="50" t="str">
        <f>IFERROR(VLOOKUP(B151,[66]工程研发事业部人员名单!B:D,3,0),"")</f>
        <v>强度室</v>
      </c>
      <c r="E151" s="51" t="s">
        <v>510</v>
      </c>
      <c r="F151" s="52">
        <f t="shared" si="5"/>
        <v>180</v>
      </c>
      <c r="G151" s="53"/>
      <c r="H151" s="53"/>
      <c r="I151" s="119">
        <v>180</v>
      </c>
      <c r="J151" s="53"/>
      <c r="K151" s="48" t="s">
        <v>277</v>
      </c>
      <c r="L151" s="57" t="s">
        <v>511</v>
      </c>
      <c r="M151" s="82" t="s">
        <v>519</v>
      </c>
      <c r="N151" s="58" t="str">
        <f>VLOOKUP(E151,订单号!B:C,2,0)</f>
        <v>YZ-RD202428</v>
      </c>
      <c r="O151" s="35" t="e">
        <f>VLOOKUP(C151,领导干部!B:B,1,0)</f>
        <v>#N/A</v>
      </c>
      <c r="Q151" s="118" t="s">
        <v>443</v>
      </c>
      <c r="R151">
        <v>4.8</v>
      </c>
      <c r="S151">
        <f t="array" ref="S151">VLOOKUP(Q151&amp;R151,IF({1,0},$B$2:$B$330&amp;$F$2:$F$330,$C$2:$C$330),2,)</f>
        <v>14901</v>
      </c>
      <c r="T151" t="str">
        <f t="array" ref="T151">VLOOKUP(Q151&amp;R151,IF({1,0},$B$2:$B$330&amp;$F$2:$F$330,$D$2:$D$330),2,)</f>
        <v>联络工程室</v>
      </c>
      <c r="U151" s="35" t="str">
        <f t="array" ref="U151">VLOOKUP(Q151&amp;R151,IF({1,0},$B$2:$B$330&amp;$F$2:$F$330,$E$2:$E$330),2,)</f>
        <v>培训工作</v>
      </c>
      <c r="V151" s="35">
        <f t="array" ref="V151">VLOOKUP(Q151&amp;R151,IF({1,0},$B$2:$B$330&amp;$F$2:$F$330,$N$2:$N$330),2,)</f>
        <v>0</v>
      </c>
    </row>
    <row r="152" s="35" customFormat="1" customHeight="1" spans="1:22">
      <c r="A152" s="47">
        <f t="shared" si="4"/>
        <v>151</v>
      </c>
      <c r="B152" s="48" t="s">
        <v>269</v>
      </c>
      <c r="C152" s="49">
        <f>IFERROR(VLOOKUP(B152,[66]工程研发事业部人员名单!B:D,2,0),"")</f>
        <v>50871</v>
      </c>
      <c r="D152" s="50" t="str">
        <f>IFERROR(VLOOKUP(B152,[66]工程研发事业部人员名单!B:D,3,0),"")</f>
        <v>强度室</v>
      </c>
      <c r="E152" s="51" t="s">
        <v>510</v>
      </c>
      <c r="F152" s="52">
        <f t="shared" si="5"/>
        <v>190</v>
      </c>
      <c r="G152" s="53"/>
      <c r="H152" s="53"/>
      <c r="I152" s="119">
        <v>190</v>
      </c>
      <c r="J152" s="53"/>
      <c r="K152" s="48" t="s">
        <v>277</v>
      </c>
      <c r="L152" s="57" t="s">
        <v>511</v>
      </c>
      <c r="M152" s="82" t="s">
        <v>520</v>
      </c>
      <c r="N152" s="58" t="str">
        <f>VLOOKUP(E152,订单号!B:C,2,0)</f>
        <v>YZ-RD202428</v>
      </c>
      <c r="O152" s="35" t="e">
        <f>VLOOKUP(C152,领导干部!B:B,1,0)</f>
        <v>#N/A</v>
      </c>
      <c r="Q152" s="118" t="s">
        <v>460</v>
      </c>
      <c r="R152">
        <v>14.4</v>
      </c>
      <c r="S152">
        <f t="array" ref="S152">VLOOKUP(Q152&amp;R152,IF({1,0},$B$2:$B$330&amp;$F$2:$F$330,$C$2:$C$330),2,)</f>
        <v>22296</v>
      </c>
      <c r="T152" t="str">
        <f t="array" ref="T152">VLOOKUP(Q152&amp;R152,IF({1,0},$B$2:$B$330&amp;$F$2:$F$330,$D$2:$D$330),2,)</f>
        <v>强度室</v>
      </c>
      <c r="U152" s="35" t="str">
        <f t="array" ref="U152">VLOOKUP(Q152&amp;R152,IF({1,0},$B$2:$B$330&amp;$F$2:$F$330,$E$2:$E$330),2,)</f>
        <v>培训工作</v>
      </c>
      <c r="V152" s="35">
        <f t="array" ref="V152">VLOOKUP(Q152&amp;R152,IF({1,0},$B$2:$B$330&amp;$F$2:$F$330,$N$2:$N$330),2,)</f>
        <v>0</v>
      </c>
    </row>
    <row r="153" s="35" customFormat="1" customHeight="1" spans="1:22">
      <c r="A153" s="47">
        <f t="shared" si="4"/>
        <v>152</v>
      </c>
      <c r="B153" s="120" t="s">
        <v>137</v>
      </c>
      <c r="C153" s="49">
        <f>IFERROR(VLOOKUP(B153,[66]工程研发事业部人员名单!B:D,2,0),"")</f>
        <v>50686</v>
      </c>
      <c r="D153" s="50" t="str">
        <f>IFERROR(VLOOKUP(B153,[66]工程研发事业部人员名单!B:D,3,0),"")</f>
        <v>综合技术室</v>
      </c>
      <c r="E153" s="51" t="s">
        <v>510</v>
      </c>
      <c r="F153" s="52">
        <f t="shared" si="5"/>
        <v>70</v>
      </c>
      <c r="G153" s="53"/>
      <c r="H153" s="53"/>
      <c r="I153" s="119">
        <v>70</v>
      </c>
      <c r="J153" s="53"/>
      <c r="K153" s="57" t="s">
        <v>250</v>
      </c>
      <c r="L153" s="57" t="s">
        <v>511</v>
      </c>
      <c r="M153" s="59" t="s">
        <v>521</v>
      </c>
      <c r="N153" s="58" t="str">
        <f>VLOOKUP(E153,订单号!B:C,2,0)</f>
        <v>YZ-RD202428</v>
      </c>
      <c r="O153" s="35" t="e">
        <f>VLOOKUP(C153,领导干部!B:B,1,0)</f>
        <v>#N/A</v>
      </c>
      <c r="Q153" s="118" t="s">
        <v>436</v>
      </c>
      <c r="R153">
        <v>4.8</v>
      </c>
      <c r="S153">
        <f t="array" ref="S153">VLOOKUP(Q153&amp;R153,IF({1,0},$B$2:$B$330&amp;$F$2:$F$330,$C$2:$C$330),2,)</f>
        <v>17242</v>
      </c>
      <c r="T153" t="str">
        <f t="array" ref="T153">VLOOKUP(Q153&amp;R153,IF({1,0},$B$2:$B$330&amp;$F$2:$F$330,$D$2:$D$330),2,)</f>
        <v>办公室</v>
      </c>
      <c r="U153" s="35" t="str">
        <f t="array" ref="U153">VLOOKUP(Q153&amp;R153,IF({1,0},$B$2:$B$330&amp;$F$2:$F$330,$E$2:$E$330),2,)</f>
        <v>培训工作</v>
      </c>
      <c r="V153" s="35">
        <f t="array" ref="V153">VLOOKUP(Q153&amp;R153,IF({1,0},$B$2:$B$330&amp;$F$2:$F$330,$N$2:$N$330),2,)</f>
        <v>0</v>
      </c>
    </row>
    <row r="154" s="35" customFormat="1" customHeight="1" spans="1:22">
      <c r="A154" s="47">
        <f t="shared" si="4"/>
        <v>153</v>
      </c>
      <c r="B154" s="120" t="s">
        <v>138</v>
      </c>
      <c r="C154" s="49">
        <f>IFERROR(VLOOKUP(B154,[66]工程研发事业部人员名单!B:D,2,0),"")</f>
        <v>51160</v>
      </c>
      <c r="D154" s="50" t="str">
        <f>IFERROR(VLOOKUP(B154,[66]工程研发事业部人员名单!B:D,3,0),"")</f>
        <v>综合技术室</v>
      </c>
      <c r="E154" s="51" t="s">
        <v>510</v>
      </c>
      <c r="F154" s="52">
        <f t="shared" si="5"/>
        <v>90</v>
      </c>
      <c r="G154" s="53"/>
      <c r="H154" s="53"/>
      <c r="I154" s="119">
        <v>90</v>
      </c>
      <c r="J154" s="53"/>
      <c r="K154" s="57" t="s">
        <v>250</v>
      </c>
      <c r="L154" s="57" t="s">
        <v>511</v>
      </c>
      <c r="M154" s="59" t="s">
        <v>522</v>
      </c>
      <c r="N154" s="58" t="str">
        <f>VLOOKUP(E154,订单号!B:C,2,0)</f>
        <v>YZ-RD202428</v>
      </c>
      <c r="O154" s="35" t="e">
        <f>VLOOKUP(C154,领导干部!B:B,1,0)</f>
        <v>#N/A</v>
      </c>
      <c r="Q154" s="118" t="s">
        <v>441</v>
      </c>
      <c r="R154">
        <v>3.6</v>
      </c>
      <c r="S154">
        <f t="array" ref="S154">VLOOKUP(Q154&amp;R154,IF({1,0},$B$2:$B$330&amp;$F$2:$F$330,$C$2:$C$330),2,)</f>
        <v>50709</v>
      </c>
      <c r="T154" t="str">
        <f t="array" ref="T154">VLOOKUP(Q154&amp;R154,IF({1,0},$B$2:$B$330&amp;$F$2:$F$330,$D$2:$D$330),2,)</f>
        <v>系统室</v>
      </c>
      <c r="U154" s="35" t="str">
        <f t="array" ref="U154">VLOOKUP(Q154&amp;R154,IF({1,0},$B$2:$B$330&amp;$F$2:$F$330,$E$2:$E$330),2,)</f>
        <v>培训工作</v>
      </c>
      <c r="V154" s="35">
        <f t="array" ref="V154">VLOOKUP(Q154&amp;R154,IF({1,0},$B$2:$B$330&amp;$F$2:$F$330,$N$2:$N$330),2,)</f>
        <v>0</v>
      </c>
    </row>
    <row r="155" s="35" customFormat="1" customHeight="1" spans="1:22">
      <c r="A155" s="47">
        <f t="shared" si="4"/>
        <v>154</v>
      </c>
      <c r="B155" s="120" t="s">
        <v>139</v>
      </c>
      <c r="C155" s="49">
        <f>IFERROR(VLOOKUP(B155,[66]工程研发事业部人员名单!B:D,2,0),"")</f>
        <v>51151</v>
      </c>
      <c r="D155" s="50" t="str">
        <f>IFERROR(VLOOKUP(B155,[66]工程研发事业部人员名单!B:D,3,0),"")</f>
        <v>综合技术室</v>
      </c>
      <c r="E155" s="51" t="s">
        <v>510</v>
      </c>
      <c r="F155" s="52">
        <f t="shared" si="5"/>
        <v>70</v>
      </c>
      <c r="G155" s="53"/>
      <c r="H155" s="53"/>
      <c r="I155" s="119">
        <v>70</v>
      </c>
      <c r="J155" s="53"/>
      <c r="K155" s="57" t="s">
        <v>250</v>
      </c>
      <c r="L155" s="57" t="s">
        <v>511</v>
      </c>
      <c r="M155" s="59" t="s">
        <v>521</v>
      </c>
      <c r="N155" s="58" t="str">
        <f>VLOOKUP(E155,订单号!B:C,2,0)</f>
        <v>YZ-RD202428</v>
      </c>
      <c r="O155" s="35" t="e">
        <f>VLOOKUP(C155,领导干部!B:B,1,0)</f>
        <v>#N/A</v>
      </c>
      <c r="Q155" s="118" t="s">
        <v>475</v>
      </c>
      <c r="R155">
        <v>4.8</v>
      </c>
      <c r="S155">
        <f t="array" ref="S155">VLOOKUP(Q155&amp;R155,IF({1,0},$B$2:$B$330&amp;$F$2:$F$330,$C$2:$C$330),2,)</f>
        <v>51184</v>
      </c>
      <c r="T155" t="str">
        <f t="array" ref="T155">VLOOKUP(Q155&amp;R155,IF({1,0},$B$2:$B$330&amp;$F$2:$F$330,$D$2:$D$330),2,)</f>
        <v>办公室</v>
      </c>
      <c r="U155" s="35" t="str">
        <f t="array" ref="U155">VLOOKUP(Q155&amp;R155,IF({1,0},$B$2:$B$330&amp;$F$2:$F$330,$E$2:$E$330),2,)</f>
        <v>培训工作</v>
      </c>
      <c r="V155" s="35">
        <f t="array" ref="V155">VLOOKUP(Q155&amp;R155,IF({1,0},$B$2:$B$330&amp;$F$2:$F$330,$N$2:$N$330),2,)</f>
        <v>0</v>
      </c>
    </row>
    <row r="156" s="35" customFormat="1" customHeight="1" spans="1:22">
      <c r="A156" s="47">
        <f t="shared" si="4"/>
        <v>155</v>
      </c>
      <c r="B156" s="121" t="s">
        <v>300</v>
      </c>
      <c r="C156" s="49">
        <f>IFERROR(VLOOKUP(B156,[66]工程研发事业部人员名单!B:D,2,0),"")</f>
        <v>51429</v>
      </c>
      <c r="D156" s="50" t="str">
        <f>IFERROR(VLOOKUP(B156,[66]工程研发事业部人员名单!B:D,3,0),"")</f>
        <v>综合技术室</v>
      </c>
      <c r="E156" s="51" t="s">
        <v>510</v>
      </c>
      <c r="F156" s="52">
        <f t="shared" si="5"/>
        <v>70</v>
      </c>
      <c r="G156" s="53"/>
      <c r="H156" s="53"/>
      <c r="I156" s="119">
        <v>70</v>
      </c>
      <c r="J156" s="53"/>
      <c r="K156" s="57" t="s">
        <v>250</v>
      </c>
      <c r="L156" s="57" t="s">
        <v>511</v>
      </c>
      <c r="M156" s="59" t="s">
        <v>521</v>
      </c>
      <c r="N156" s="58" t="str">
        <f>VLOOKUP(E156,订单号!B:C,2,0)</f>
        <v>YZ-RD202428</v>
      </c>
      <c r="O156" s="35" t="e">
        <f>VLOOKUP(C156,领导干部!B:B,1,0)</f>
        <v>#N/A</v>
      </c>
      <c r="Q156" s="118" t="s">
        <v>523</v>
      </c>
      <c r="R156">
        <v>243</v>
      </c>
      <c r="S156" t="e">
        <f t="array" ref="S156">VLOOKUP(Q156&amp;R156,IF({1,0},$B$2:$B$330&amp;$F$2:$F$330,$C$2:$C$330),2,)</f>
        <v>#N/A</v>
      </c>
      <c r="T156" t="e">
        <f t="array" ref="T156">VLOOKUP(Q156&amp;R156,IF({1,0},$B$2:$B$330&amp;$F$2:$F$330,$D$2:$D$330),2,)</f>
        <v>#N/A</v>
      </c>
      <c r="U156" s="35" t="e">
        <f t="array" ref="U156">VLOOKUP(Q156&amp;R156,IF({1,0},$B$2:$B$330&amp;$F$2:$F$330,$E$2:$E$330),2,)</f>
        <v>#N/A</v>
      </c>
      <c r="V156" s="35" t="e">
        <f t="array" ref="V156">VLOOKUP(Q156&amp;R156,IF({1,0},$B$2:$B$330&amp;$F$2:$F$330,$N$2:$N$330),2,)</f>
        <v>#N/A</v>
      </c>
    </row>
    <row r="157" s="35" customFormat="1" customHeight="1" spans="1:22">
      <c r="A157" s="47">
        <f t="shared" si="4"/>
        <v>156</v>
      </c>
      <c r="B157" s="48" t="s">
        <v>453</v>
      </c>
      <c r="C157" s="49">
        <f>IFERROR(VLOOKUP(B157,[66]工程研发事业部人员名单!B:D,2,0),"")</f>
        <v>26828</v>
      </c>
      <c r="D157" s="50" t="str">
        <f>IFERROR(VLOOKUP(B157,[66]工程研发事业部人员名单!B:D,3,0),"")</f>
        <v>综合技术室</v>
      </c>
      <c r="E157" s="51" t="s">
        <v>510</v>
      </c>
      <c r="F157" s="52">
        <f t="shared" si="5"/>
        <v>90</v>
      </c>
      <c r="G157" s="53"/>
      <c r="H157" s="53"/>
      <c r="I157" s="119">
        <v>90</v>
      </c>
      <c r="J157" s="53"/>
      <c r="K157" s="57" t="s">
        <v>250</v>
      </c>
      <c r="L157" s="57" t="s">
        <v>511</v>
      </c>
      <c r="M157" s="59" t="s">
        <v>522</v>
      </c>
      <c r="N157" s="58" t="str">
        <f>VLOOKUP(E157,订单号!B:C,2,0)</f>
        <v>YZ-RD202428</v>
      </c>
      <c r="O157" s="35" t="e">
        <f>VLOOKUP(C157,领导干部!B:B,1,0)</f>
        <v>#N/A</v>
      </c>
      <c r="Q157"/>
      <c r="R157"/>
      <c r="S157" t="e">
        <f t="array" ref="S157">VLOOKUP(Q157&amp;R157,IF({1,0},$B$2:$B$330&amp;$F$2:$F$330,$C$2:$C$330),2,)</f>
        <v>#N/A</v>
      </c>
      <c r="T157" t="e">
        <f t="array" ref="T157">VLOOKUP(Q157&amp;R157,IF({1,0},$B$2:$B$330&amp;$F$2:$F$330,$D$2:$D$330),2,)</f>
        <v>#N/A</v>
      </c>
      <c r="U157" s="35" t="e">
        <f t="array" ref="U157">VLOOKUP(Q157&amp;R157,IF({1,0},$B$2:$B$330&amp;$F$2:$F$330,$E$2:$E$330),2,)</f>
        <v>#N/A</v>
      </c>
      <c r="V157" s="35" t="e">
        <f t="array" ref="V157">VLOOKUP(Q157&amp;R157,IF({1,0},$B$2:$B$330&amp;$F$2:$F$330,$N$2:$N$330),2,)</f>
        <v>#N/A</v>
      </c>
    </row>
    <row r="158" s="35" customFormat="1" customHeight="1" spans="1:22">
      <c r="A158" s="47">
        <f t="shared" si="4"/>
        <v>157</v>
      </c>
      <c r="B158" s="48" t="s">
        <v>514</v>
      </c>
      <c r="C158" s="49">
        <f>IFERROR(VLOOKUP(B158,[66]工程研发事业部人员名单!B:D,2,0),"")</f>
        <v>17787</v>
      </c>
      <c r="D158" s="50" t="str">
        <f>IFERROR(VLOOKUP(B158,[66]工程研发事业部人员名单!B:D,3,0),"")</f>
        <v>综合技术室</v>
      </c>
      <c r="E158" s="51" t="s">
        <v>510</v>
      </c>
      <c r="F158" s="52">
        <f t="shared" si="5"/>
        <v>60</v>
      </c>
      <c r="G158" s="53"/>
      <c r="H158" s="53"/>
      <c r="I158" s="119">
        <v>60</v>
      </c>
      <c r="J158" s="53"/>
      <c r="K158" s="57" t="s">
        <v>250</v>
      </c>
      <c r="L158" s="57" t="s">
        <v>511</v>
      </c>
      <c r="M158" s="59" t="s">
        <v>524</v>
      </c>
      <c r="N158" s="58" t="str">
        <f>VLOOKUP(E158,订单号!B:C,2,0)</f>
        <v>YZ-RD202428</v>
      </c>
      <c r="O158" s="35" t="e">
        <f>VLOOKUP(C158,领导干部!B:B,1,0)</f>
        <v>#N/A</v>
      </c>
      <c r="Q158"/>
      <c r="R158"/>
      <c r="S158" t="e">
        <f t="array" ref="S158">VLOOKUP(Q158&amp;R158,IF({1,0},$B$2:$B$330&amp;$F$2:$F$330,$C$2:$C$330),2,)</f>
        <v>#N/A</v>
      </c>
      <c r="T158" t="e">
        <f t="array" ref="T158">VLOOKUP(Q158&amp;R158,IF({1,0},$B$2:$B$330&amp;$F$2:$F$330,$D$2:$D$330),2,)</f>
        <v>#N/A</v>
      </c>
      <c r="U158" s="35" t="e">
        <f t="array" ref="U158">VLOOKUP(Q158&amp;R158,IF({1,0},$B$2:$B$330&amp;$F$2:$F$330,$E$2:$E$330),2,)</f>
        <v>#N/A</v>
      </c>
      <c r="V158" s="35" t="e">
        <f t="array" ref="V158">VLOOKUP(Q158&amp;R158,IF({1,0},$B$2:$B$330&amp;$F$2:$F$330,$N$2:$N$330),2,)</f>
        <v>#N/A</v>
      </c>
    </row>
    <row r="159" s="35" customFormat="1" customHeight="1" spans="1:18">
      <c r="A159" s="47">
        <f t="shared" si="4"/>
        <v>158</v>
      </c>
      <c r="B159" s="54" t="s">
        <v>388</v>
      </c>
      <c r="C159" s="49">
        <f>IFERROR(VLOOKUP(B159,[66]工程研发事业部人员名单!B:D,2,0),"")</f>
        <v>50864</v>
      </c>
      <c r="D159" s="50" t="str">
        <f>IFERROR(VLOOKUP(B159,[66]工程研发事业部人员名单!B:D,3,0),"")</f>
        <v>综合技术室</v>
      </c>
      <c r="E159" s="51" t="s">
        <v>510</v>
      </c>
      <c r="F159" s="52">
        <f t="shared" si="5"/>
        <v>50</v>
      </c>
      <c r="G159" s="53"/>
      <c r="H159" s="53"/>
      <c r="I159" s="122">
        <v>50</v>
      </c>
      <c r="J159" s="53"/>
      <c r="K159" s="57" t="s">
        <v>250</v>
      </c>
      <c r="L159" s="57" t="s">
        <v>511</v>
      </c>
      <c r="M159" s="59" t="s">
        <v>525</v>
      </c>
      <c r="N159" s="58" t="str">
        <f>VLOOKUP(E159,订单号!B:C,2,0)</f>
        <v>YZ-RD202428</v>
      </c>
      <c r="O159" s="35" t="e">
        <f>VLOOKUP(C159,领导干部!B:B,1,0)</f>
        <v>#N/A</v>
      </c>
      <c r="Q159"/>
      <c r="R159"/>
    </row>
    <row r="160" s="35" customFormat="1" customHeight="1" spans="1:18">
      <c r="A160" s="47">
        <f t="shared" si="4"/>
        <v>159</v>
      </c>
      <c r="B160" s="48" t="s">
        <v>429</v>
      </c>
      <c r="C160" s="49">
        <f>IFERROR(VLOOKUP(B160,[66]工程研发事业部人员名单!B:D,2,0),"")</f>
        <v>51226</v>
      </c>
      <c r="D160" s="50" t="str">
        <f>IFERROR(VLOOKUP(B160,[66]工程研发事业部人员名单!B:D,3,0),"")</f>
        <v>综合技术室</v>
      </c>
      <c r="E160" s="51" t="s">
        <v>510</v>
      </c>
      <c r="F160" s="52">
        <f t="shared" si="5"/>
        <v>50</v>
      </c>
      <c r="G160" s="53"/>
      <c r="H160" s="53"/>
      <c r="I160" s="119">
        <v>50</v>
      </c>
      <c r="J160" s="53"/>
      <c r="K160" s="57" t="s">
        <v>250</v>
      </c>
      <c r="L160" s="57" t="s">
        <v>511</v>
      </c>
      <c r="M160" s="59" t="s">
        <v>525</v>
      </c>
      <c r="N160" s="58" t="str">
        <f>VLOOKUP(E160,订单号!B:C,2,0)</f>
        <v>YZ-RD202428</v>
      </c>
      <c r="O160" s="35" t="e">
        <f>VLOOKUP(C160,领导干部!B:B,1,0)</f>
        <v>#N/A</v>
      </c>
      <c r="Q160"/>
      <c r="R160"/>
    </row>
    <row r="161" s="35" customFormat="1" customHeight="1" spans="1:15">
      <c r="A161" s="47">
        <f t="shared" si="4"/>
        <v>160</v>
      </c>
      <c r="B161" s="48" t="s">
        <v>262</v>
      </c>
      <c r="C161" s="49">
        <f>IFERROR(VLOOKUP(B161,[66]工程研发事业部人员名单!B:D,2,0),"")</f>
        <v>22294</v>
      </c>
      <c r="D161" s="50" t="str">
        <f>IFERROR(VLOOKUP(B161,[66]工程研发事业部人员名单!B:D,3,0),"")</f>
        <v>结构一室</v>
      </c>
      <c r="E161" s="51" t="s">
        <v>510</v>
      </c>
      <c r="F161" s="52">
        <f t="shared" si="5"/>
        <v>200</v>
      </c>
      <c r="G161" s="53"/>
      <c r="H161" s="53"/>
      <c r="I161" s="72">
        <v>200</v>
      </c>
      <c r="J161" s="60"/>
      <c r="K161" s="48" t="s">
        <v>255</v>
      </c>
      <c r="L161" s="48"/>
      <c r="M161" s="82" t="s">
        <v>526</v>
      </c>
      <c r="N161" s="58" t="str">
        <f>VLOOKUP(E161,订单号!B:C,2,0)</f>
        <v>YZ-RD202428</v>
      </c>
      <c r="O161" s="35" t="e">
        <f>VLOOKUP(C161,领导干部!B:B,1,0)</f>
        <v>#N/A</v>
      </c>
    </row>
    <row r="162" s="35" customFormat="1" customHeight="1" spans="1:15">
      <c r="A162" s="47">
        <f t="shared" si="4"/>
        <v>161</v>
      </c>
      <c r="B162" s="48" t="s">
        <v>236</v>
      </c>
      <c r="C162" s="49">
        <f>IFERROR(VLOOKUP(B162,[66]工程研发事业部人员名单!B:D,2,0),"")</f>
        <v>51211</v>
      </c>
      <c r="D162" s="50" t="str">
        <f>IFERROR(VLOOKUP(B162,[66]工程研发事业部人员名单!B:D,3,0),"")</f>
        <v>结构一室</v>
      </c>
      <c r="E162" s="51" t="s">
        <v>510</v>
      </c>
      <c r="F162" s="52">
        <f t="shared" si="5"/>
        <v>155</v>
      </c>
      <c r="G162" s="53"/>
      <c r="H162" s="53"/>
      <c r="I162" s="72">
        <v>155</v>
      </c>
      <c r="J162" s="53"/>
      <c r="K162" s="48" t="s">
        <v>255</v>
      </c>
      <c r="L162" s="48"/>
      <c r="M162" s="82" t="s">
        <v>527</v>
      </c>
      <c r="N162" s="58" t="str">
        <f>VLOOKUP(E162,订单号!B:C,2,0)</f>
        <v>YZ-RD202428</v>
      </c>
      <c r="O162" s="35" t="e">
        <f>VLOOKUP(C162,领导干部!B:B,1,0)</f>
        <v>#N/A</v>
      </c>
    </row>
    <row r="163" s="35" customFormat="1" customHeight="1" spans="1:15">
      <c r="A163" s="47">
        <f t="shared" si="4"/>
        <v>162</v>
      </c>
      <c r="B163" s="48" t="s">
        <v>432</v>
      </c>
      <c r="C163" s="49">
        <f>IFERROR(VLOOKUP(B163,[66]工程研发事业部人员名单!B:D,2,0),"")</f>
        <v>25599</v>
      </c>
      <c r="D163" s="50" t="str">
        <f>IFERROR(VLOOKUP(B163,[66]工程研发事业部人员名单!B:D,3,0),"")</f>
        <v>联络工程室</v>
      </c>
      <c r="E163" s="51" t="s">
        <v>510</v>
      </c>
      <c r="F163" s="52">
        <f t="shared" si="5"/>
        <v>155</v>
      </c>
      <c r="G163" s="53"/>
      <c r="H163" s="53"/>
      <c r="I163" s="72">
        <v>155</v>
      </c>
      <c r="J163" s="60"/>
      <c r="K163" s="48" t="s">
        <v>255</v>
      </c>
      <c r="L163" s="48"/>
      <c r="M163" s="82" t="s">
        <v>528</v>
      </c>
      <c r="N163" s="58" t="str">
        <f>VLOOKUP(E163,订单号!B:C,2,0)</f>
        <v>YZ-RD202428</v>
      </c>
      <c r="O163" s="35" t="e">
        <f>VLOOKUP(C163,领导干部!B:B,1,0)</f>
        <v>#N/A</v>
      </c>
    </row>
    <row r="164" s="35" customFormat="1" customHeight="1" spans="1:15">
      <c r="A164" s="47">
        <f t="shared" si="4"/>
        <v>163</v>
      </c>
      <c r="B164" s="48" t="s">
        <v>257</v>
      </c>
      <c r="C164" s="49">
        <f>IFERROR(VLOOKUP(B164,[66]工程研发事业部人员名单!B:D,2,0),"")</f>
        <v>51410</v>
      </c>
      <c r="D164" s="50" t="str">
        <f>IFERROR(VLOOKUP(B164,[66]工程研发事业部人员名单!B:D,3,0),"")</f>
        <v>结构一室</v>
      </c>
      <c r="E164" s="51" t="s">
        <v>510</v>
      </c>
      <c r="F164" s="52">
        <f t="shared" si="5"/>
        <v>120</v>
      </c>
      <c r="G164" s="53"/>
      <c r="H164" s="53"/>
      <c r="I164" s="72">
        <v>120</v>
      </c>
      <c r="J164" s="60"/>
      <c r="K164" s="48" t="s">
        <v>255</v>
      </c>
      <c r="L164" s="48"/>
      <c r="M164" s="82" t="s">
        <v>529</v>
      </c>
      <c r="N164" s="58" t="str">
        <f>VLOOKUP(E164,订单号!B:C,2,0)</f>
        <v>YZ-RD202428</v>
      </c>
      <c r="O164" s="35" t="e">
        <f>VLOOKUP(C164,领导干部!B:B,1,0)</f>
        <v>#N/A</v>
      </c>
    </row>
    <row r="165" s="35" customFormat="1" customHeight="1" spans="1:15">
      <c r="A165" s="47">
        <f t="shared" si="4"/>
        <v>164</v>
      </c>
      <c r="B165" s="48" t="s">
        <v>464</v>
      </c>
      <c r="C165" s="49">
        <f>IFERROR(VLOOKUP(B165,[66]工程研发事业部人员名单!B:D,2,0),"")</f>
        <v>18548</v>
      </c>
      <c r="D165" s="50" t="str">
        <f>IFERROR(VLOOKUP(B165,[66]工程研发事业部人员名单!B:D,3,0),"")</f>
        <v>结构二室</v>
      </c>
      <c r="E165" s="51" t="s">
        <v>510</v>
      </c>
      <c r="F165" s="52">
        <f t="shared" si="5"/>
        <v>155</v>
      </c>
      <c r="G165" s="53"/>
      <c r="H165" s="53"/>
      <c r="I165" s="72">
        <v>155</v>
      </c>
      <c r="J165" s="60"/>
      <c r="K165" s="48" t="s">
        <v>255</v>
      </c>
      <c r="L165" s="48"/>
      <c r="M165" s="82" t="s">
        <v>530</v>
      </c>
      <c r="N165" s="58" t="str">
        <f>VLOOKUP(E165,订单号!B:C,2,0)</f>
        <v>YZ-RD202428</v>
      </c>
      <c r="O165" s="35" t="e">
        <f>VLOOKUP(C165,领导干部!B:B,1,0)</f>
        <v>#N/A</v>
      </c>
    </row>
    <row r="166" s="35" customFormat="1" customHeight="1" spans="1:15">
      <c r="A166" s="47">
        <f t="shared" si="4"/>
        <v>165</v>
      </c>
      <c r="B166" s="48" t="s">
        <v>272</v>
      </c>
      <c r="C166" s="49">
        <f>IFERROR(VLOOKUP(B166,[66]工程研发事业部人员名单!B:D,2,0),"")</f>
        <v>50730</v>
      </c>
      <c r="D166" s="50" t="str">
        <f>IFERROR(VLOOKUP(B166,[66]工程研发事业部人员名单!B:D,3,0),"")</f>
        <v>结构一室</v>
      </c>
      <c r="E166" s="51" t="s">
        <v>510</v>
      </c>
      <c r="F166" s="52">
        <f t="shared" si="5"/>
        <v>30</v>
      </c>
      <c r="G166" s="53"/>
      <c r="H166" s="53"/>
      <c r="I166" s="72">
        <v>30</v>
      </c>
      <c r="J166" s="53"/>
      <c r="K166" s="48" t="s">
        <v>255</v>
      </c>
      <c r="L166" s="48"/>
      <c r="M166" s="82" t="s">
        <v>531</v>
      </c>
      <c r="N166" s="58" t="str">
        <f>VLOOKUP(E166,订单号!B:C,2,0)</f>
        <v>YZ-RD202428</v>
      </c>
      <c r="O166" s="35" t="e">
        <f>VLOOKUP(C166,领导干部!B:B,1,0)</f>
        <v>#N/A</v>
      </c>
    </row>
    <row r="167" s="35" customFormat="1" customHeight="1" spans="1:15">
      <c r="A167" s="47">
        <f t="shared" si="4"/>
        <v>166</v>
      </c>
      <c r="B167" s="48" t="s">
        <v>335</v>
      </c>
      <c r="C167" s="49">
        <f>IFERROR(VLOOKUP(B167,[66]工程研发事业部人员名单!B:D,2,0),"")</f>
        <v>51641</v>
      </c>
      <c r="D167" s="50" t="str">
        <f>IFERROR(VLOOKUP(B167,[66]工程研发事业部人员名单!B:D,3,0),"")</f>
        <v>结构二室</v>
      </c>
      <c r="E167" s="51" t="s">
        <v>510</v>
      </c>
      <c r="F167" s="52">
        <f t="shared" si="5"/>
        <v>155</v>
      </c>
      <c r="G167" s="53"/>
      <c r="H167" s="53"/>
      <c r="I167" s="72">
        <v>155</v>
      </c>
      <c r="J167" s="53"/>
      <c r="K167" s="48" t="s">
        <v>255</v>
      </c>
      <c r="L167" s="48"/>
      <c r="M167" s="82" t="s">
        <v>532</v>
      </c>
      <c r="N167" s="58" t="str">
        <f>VLOOKUP(E167,订单号!B:C,2,0)</f>
        <v>YZ-RD202428</v>
      </c>
      <c r="O167" s="35" t="e">
        <f>VLOOKUP(C167,领导干部!B:B,1,0)</f>
        <v>#N/A</v>
      </c>
    </row>
    <row r="168" s="35" customFormat="1" customHeight="1" spans="1:15">
      <c r="A168" s="47">
        <f t="shared" si="4"/>
        <v>167</v>
      </c>
      <c r="B168" s="48" t="s">
        <v>371</v>
      </c>
      <c r="C168" s="49">
        <f>IFERROR(VLOOKUP(B168,[66]工程研发事业部人员名单!B:D,2,0),"")</f>
        <v>51640</v>
      </c>
      <c r="D168" s="50" t="str">
        <f>IFERROR(VLOOKUP(B168,[66]工程研发事业部人员名单!B:D,3,0),"")</f>
        <v>结构一室</v>
      </c>
      <c r="E168" s="51" t="s">
        <v>533</v>
      </c>
      <c r="F168" s="52">
        <f t="shared" si="5"/>
        <v>25</v>
      </c>
      <c r="G168" s="53"/>
      <c r="H168" s="53"/>
      <c r="I168" s="72">
        <v>25</v>
      </c>
      <c r="J168" s="53"/>
      <c r="K168" s="48" t="s">
        <v>255</v>
      </c>
      <c r="L168" s="48"/>
      <c r="M168" s="82" t="s">
        <v>534</v>
      </c>
      <c r="N168" s="58" t="str">
        <f>VLOOKUP(E168,订单号!B:C,2,0)</f>
        <v>YZ-RD202428</v>
      </c>
      <c r="O168" s="35" t="e">
        <f>VLOOKUP(C168,领导干部!B:B,1,0)</f>
        <v>#N/A</v>
      </c>
    </row>
    <row r="169" s="35" customFormat="1" customHeight="1" spans="1:15">
      <c r="A169" s="47">
        <f t="shared" si="4"/>
        <v>168</v>
      </c>
      <c r="B169" s="48" t="s">
        <v>219</v>
      </c>
      <c r="C169" s="49">
        <f>IFERROR(VLOOKUP(B169,[66]工程研发事业部人员名单!B:D,2,0),"")</f>
        <v>25600</v>
      </c>
      <c r="D169" s="50" t="str">
        <f>IFERROR(VLOOKUP(B169,[66]工程研发事业部人员名单!B:D,3,0),"")</f>
        <v>结构二室</v>
      </c>
      <c r="E169" s="51" t="s">
        <v>510</v>
      </c>
      <c r="F169" s="52">
        <f t="shared" si="5"/>
        <v>155</v>
      </c>
      <c r="G169" s="53"/>
      <c r="H169" s="53"/>
      <c r="I169" s="72">
        <v>155</v>
      </c>
      <c r="J169" s="53"/>
      <c r="K169" s="48" t="s">
        <v>255</v>
      </c>
      <c r="L169" s="48"/>
      <c r="M169" s="82" t="s">
        <v>535</v>
      </c>
      <c r="N169" s="58" t="str">
        <f>VLOOKUP(E169,订单号!B:C,2,0)</f>
        <v>YZ-RD202428</v>
      </c>
      <c r="O169" s="35" t="e">
        <f>VLOOKUP(C169,领导干部!B:B,1,0)</f>
        <v>#N/A</v>
      </c>
    </row>
    <row r="170" s="35" customFormat="1" customHeight="1" spans="1:15">
      <c r="A170" s="47">
        <f t="shared" si="4"/>
        <v>169</v>
      </c>
      <c r="B170" s="48" t="s">
        <v>351</v>
      </c>
      <c r="C170" s="49">
        <f>IFERROR(VLOOKUP(B170,[66]工程研发事业部人员名单!B:D,2,0),"")</f>
        <v>51190</v>
      </c>
      <c r="D170" s="50" t="str">
        <f>IFERROR(VLOOKUP(B170,[66]工程研发事业部人员名单!B:D,3,0),"")</f>
        <v>结构二室</v>
      </c>
      <c r="E170" s="51" t="s">
        <v>510</v>
      </c>
      <c r="F170" s="52">
        <f t="shared" si="5"/>
        <v>155</v>
      </c>
      <c r="G170" s="53"/>
      <c r="H170" s="53"/>
      <c r="I170" s="72">
        <v>155</v>
      </c>
      <c r="J170" s="53"/>
      <c r="K170" s="48" t="s">
        <v>255</v>
      </c>
      <c r="L170" s="48"/>
      <c r="M170" s="82" t="s">
        <v>536</v>
      </c>
      <c r="N170" s="58" t="str">
        <f>VLOOKUP(E170,订单号!B:C,2,0)</f>
        <v>YZ-RD202428</v>
      </c>
      <c r="O170" s="35" t="e">
        <f>VLOOKUP(C170,领导干部!B:B,1,0)</f>
        <v>#N/A</v>
      </c>
    </row>
    <row r="171" s="35" customFormat="1" customHeight="1" spans="1:15">
      <c r="A171" s="47">
        <f t="shared" si="4"/>
        <v>170</v>
      </c>
      <c r="B171" s="48" t="s">
        <v>322</v>
      </c>
      <c r="C171" s="49">
        <f>IFERROR(VLOOKUP(B171,[66]工程研发事业部人员名单!B:D,2,0),"")</f>
        <v>51186</v>
      </c>
      <c r="D171" s="50" t="str">
        <f>IFERROR(VLOOKUP(B171,[66]工程研发事业部人员名单!B:D,3,0),"")</f>
        <v>结构二室</v>
      </c>
      <c r="E171" s="51" t="s">
        <v>510</v>
      </c>
      <c r="F171" s="52">
        <f t="shared" si="5"/>
        <v>140</v>
      </c>
      <c r="G171" s="53"/>
      <c r="H171" s="53"/>
      <c r="I171" s="72">
        <v>140</v>
      </c>
      <c r="J171" s="53"/>
      <c r="K171" s="48" t="s">
        <v>255</v>
      </c>
      <c r="L171" s="48"/>
      <c r="M171" s="82" t="s">
        <v>537</v>
      </c>
      <c r="N171" s="58" t="str">
        <f>VLOOKUP(E171,订单号!B:C,2,0)</f>
        <v>YZ-RD202428</v>
      </c>
      <c r="O171" s="35" t="e">
        <f>VLOOKUP(C171,领导干部!B:B,1,0)</f>
        <v>#N/A</v>
      </c>
    </row>
    <row r="172" s="35" customFormat="1" customHeight="1" spans="1:15">
      <c r="A172" s="47">
        <f t="shared" si="4"/>
        <v>171</v>
      </c>
      <c r="B172" s="48" t="s">
        <v>384</v>
      </c>
      <c r="C172" s="49">
        <f>IFERROR(VLOOKUP(B172,[66]工程研发事业部人员名单!B:D,2,0),"")</f>
        <v>50710</v>
      </c>
      <c r="D172" s="50" t="str">
        <f>IFERROR(VLOOKUP(B172,[66]工程研发事业部人员名单!B:D,3,0),"")</f>
        <v>结构二室</v>
      </c>
      <c r="E172" s="51" t="s">
        <v>510</v>
      </c>
      <c r="F172" s="52">
        <f t="shared" si="5"/>
        <v>155</v>
      </c>
      <c r="G172" s="53"/>
      <c r="H172" s="53"/>
      <c r="I172" s="72">
        <v>155</v>
      </c>
      <c r="J172" s="53"/>
      <c r="K172" s="48" t="s">
        <v>255</v>
      </c>
      <c r="L172" s="48"/>
      <c r="M172" s="82" t="s">
        <v>538</v>
      </c>
      <c r="N172" s="58" t="str">
        <f>VLOOKUP(E172,订单号!B:C,2,0)</f>
        <v>YZ-RD202428</v>
      </c>
      <c r="O172" s="35" t="e">
        <f>VLOOKUP(C172,领导干部!B:B,1,0)</f>
        <v>#N/A</v>
      </c>
    </row>
    <row r="173" s="35" customFormat="1" customHeight="1" spans="1:15">
      <c r="A173" s="47">
        <f t="shared" si="4"/>
        <v>172</v>
      </c>
      <c r="B173" s="48" t="s">
        <v>302</v>
      </c>
      <c r="C173" s="49">
        <f>IFERROR(VLOOKUP(B173,[66]工程研发事业部人员名单!B:D,2,0),"")</f>
        <v>17238</v>
      </c>
      <c r="D173" s="50" t="str">
        <f>IFERROR(VLOOKUP(B173,[66]工程研发事业部人员名单!B:D,3,0),"")</f>
        <v>结构二室</v>
      </c>
      <c r="E173" s="51" t="s">
        <v>510</v>
      </c>
      <c r="F173" s="52">
        <f t="shared" si="5"/>
        <v>135</v>
      </c>
      <c r="G173" s="53"/>
      <c r="H173" s="53"/>
      <c r="I173" s="119">
        <v>135</v>
      </c>
      <c r="J173" s="53"/>
      <c r="K173" s="48" t="s">
        <v>255</v>
      </c>
      <c r="L173" s="48"/>
      <c r="M173" s="82" t="s">
        <v>539</v>
      </c>
      <c r="N173" s="58" t="str">
        <f>VLOOKUP(E173,订单号!B:C,2,0)</f>
        <v>YZ-RD202428</v>
      </c>
      <c r="O173" s="35" t="e">
        <f>VLOOKUP(C173,领导干部!B:B,1,0)</f>
        <v>#N/A</v>
      </c>
    </row>
    <row r="174" s="35" customFormat="1" customHeight="1" spans="1:15">
      <c r="A174" s="47">
        <f t="shared" si="4"/>
        <v>173</v>
      </c>
      <c r="B174" s="48" t="s">
        <v>430</v>
      </c>
      <c r="C174" s="49">
        <f>IFERROR(VLOOKUP(B174,[66]工程研发事业部人员名单!B:D,2,0),"")</f>
        <v>25071</v>
      </c>
      <c r="D174" s="50" t="str">
        <f>IFERROR(VLOOKUP(B174,[66]工程研发事业部人员名单!B:D,3,0),"")</f>
        <v>结构一室</v>
      </c>
      <c r="E174" s="51" t="s">
        <v>510</v>
      </c>
      <c r="F174" s="52">
        <f t="shared" si="5"/>
        <v>155</v>
      </c>
      <c r="G174" s="53"/>
      <c r="H174" s="53"/>
      <c r="I174" s="72">
        <v>155</v>
      </c>
      <c r="J174" s="53"/>
      <c r="K174" s="48" t="s">
        <v>255</v>
      </c>
      <c r="L174" s="48"/>
      <c r="M174" s="82" t="s">
        <v>540</v>
      </c>
      <c r="N174" s="58" t="str">
        <f>VLOOKUP(E174,订单号!B:C,2,0)</f>
        <v>YZ-RD202428</v>
      </c>
      <c r="O174" s="35" t="e">
        <f>VLOOKUP(C174,领导干部!B:B,1,0)</f>
        <v>#N/A</v>
      </c>
    </row>
    <row r="175" s="35" customFormat="1" customHeight="1" spans="1:15">
      <c r="A175" s="47">
        <f t="shared" si="4"/>
        <v>174</v>
      </c>
      <c r="B175" s="48" t="s">
        <v>357</v>
      </c>
      <c r="C175" s="49">
        <f>IFERROR(VLOOKUP(B175,[66]工程研发事业部人员名单!B:D,2,0),"")</f>
        <v>51781</v>
      </c>
      <c r="D175" s="50" t="str">
        <f>IFERROR(VLOOKUP(B175,[66]工程研发事业部人员名单!B:D,3,0),"")</f>
        <v>结构一室</v>
      </c>
      <c r="E175" s="51" t="s">
        <v>510</v>
      </c>
      <c r="F175" s="52">
        <f t="shared" si="5"/>
        <v>155</v>
      </c>
      <c r="G175" s="53"/>
      <c r="H175" s="53"/>
      <c r="I175" s="72">
        <v>155</v>
      </c>
      <c r="J175" s="53"/>
      <c r="K175" s="48" t="s">
        <v>255</v>
      </c>
      <c r="L175" s="48"/>
      <c r="M175" s="82" t="s">
        <v>541</v>
      </c>
      <c r="N175" s="58" t="str">
        <f>VLOOKUP(E175,订单号!B:C,2,0)</f>
        <v>YZ-RD202428</v>
      </c>
      <c r="O175" s="35" t="e">
        <f>VLOOKUP(C175,领导干部!B:B,1,0)</f>
        <v>#N/A</v>
      </c>
    </row>
    <row r="176" s="35" customFormat="1" customHeight="1" spans="1:15">
      <c r="A176" s="47">
        <f t="shared" si="4"/>
        <v>175</v>
      </c>
      <c r="B176" s="48" t="s">
        <v>288</v>
      </c>
      <c r="C176" s="49">
        <f>IFERROR(VLOOKUP(B176,[66]工程研发事业部人员名单!B:D,2,0),"")</f>
        <v>52132</v>
      </c>
      <c r="D176" s="50" t="str">
        <f>IFERROR(VLOOKUP(B176,[66]工程研发事业部人员名单!B:D,3,0),"")</f>
        <v>结构二室</v>
      </c>
      <c r="E176" s="51" t="s">
        <v>510</v>
      </c>
      <c r="F176" s="52">
        <f t="shared" si="5"/>
        <v>50</v>
      </c>
      <c r="G176" s="53"/>
      <c r="H176" s="53"/>
      <c r="I176" s="119">
        <v>50</v>
      </c>
      <c r="J176" s="53"/>
      <c r="K176" s="48" t="s">
        <v>255</v>
      </c>
      <c r="L176" s="48"/>
      <c r="M176" s="82" t="s">
        <v>542</v>
      </c>
      <c r="N176" s="58" t="str">
        <f>VLOOKUP(E176,订单号!B:C,2,0)</f>
        <v>YZ-RD202428</v>
      </c>
      <c r="O176" s="35" t="e">
        <f>VLOOKUP(C176,领导干部!B:B,1,0)</f>
        <v>#N/A</v>
      </c>
    </row>
    <row r="177" s="35" customFormat="1" customHeight="1" spans="1:15">
      <c r="A177" s="47">
        <f t="shared" si="4"/>
        <v>176</v>
      </c>
      <c r="B177" s="48" t="s">
        <v>298</v>
      </c>
      <c r="C177" s="49">
        <f>IFERROR(VLOOKUP(B177,[66]工程研发事业部人员名单!B:D,2,0),"")</f>
        <v>51517</v>
      </c>
      <c r="D177" s="50" t="str">
        <f>IFERROR(VLOOKUP(B177,[66]工程研发事业部人员名单!B:D,3,0),"")</f>
        <v>系统室</v>
      </c>
      <c r="E177" s="51" t="s">
        <v>237</v>
      </c>
      <c r="F177" s="52">
        <f t="shared" si="5"/>
        <v>15</v>
      </c>
      <c r="G177" s="53"/>
      <c r="H177" s="53"/>
      <c r="I177" s="115">
        <v>15</v>
      </c>
      <c r="J177" s="53"/>
      <c r="K177" s="57"/>
      <c r="L177" s="57"/>
      <c r="M177" s="123" t="s">
        <v>543</v>
      </c>
      <c r="N177" s="58" t="str">
        <f>VLOOKUP(E177,订单号!B:C,2,0)</f>
        <v>YZ-RD202428</v>
      </c>
      <c r="O177" s="35" t="e">
        <f>VLOOKUP(C177,领导干部!B:B,1,0)</f>
        <v>#N/A</v>
      </c>
    </row>
    <row r="178" s="35" customFormat="1" customHeight="1" spans="1:15">
      <c r="A178" s="47">
        <f t="shared" si="4"/>
        <v>177</v>
      </c>
      <c r="B178" s="48" t="s">
        <v>399</v>
      </c>
      <c r="C178" s="49">
        <f>IFERROR(VLOOKUP(B178,[66]工程研发事业部人员名单!B:D,2,0),"")</f>
        <v>27100</v>
      </c>
      <c r="D178" s="50" t="str">
        <f>IFERROR(VLOOKUP(B178,[66]工程研发事业部人员名单!B:D,3,0),"")</f>
        <v>综合技术室</v>
      </c>
      <c r="E178" s="51" t="s">
        <v>237</v>
      </c>
      <c r="F178" s="52">
        <f t="shared" si="5"/>
        <v>195</v>
      </c>
      <c r="G178" s="53"/>
      <c r="H178" s="53"/>
      <c r="I178" s="115">
        <v>195</v>
      </c>
      <c r="J178" s="53"/>
      <c r="K178" s="57"/>
      <c r="L178" s="57"/>
      <c r="M178" s="123" t="s">
        <v>544</v>
      </c>
      <c r="N178" s="58" t="str">
        <f>VLOOKUP(E178,订单号!B:C,2,0)</f>
        <v>YZ-RD202428</v>
      </c>
      <c r="O178" s="35" t="e">
        <f>VLOOKUP(C178,领导干部!B:B,1,0)</f>
        <v>#N/A</v>
      </c>
    </row>
    <row r="179" s="35" customFormat="1" customHeight="1" spans="1:15">
      <c r="A179" s="47">
        <f t="shared" si="4"/>
        <v>178</v>
      </c>
      <c r="B179" s="48" t="s">
        <v>305</v>
      </c>
      <c r="C179" s="49">
        <f>IFERROR(VLOOKUP(B179,[66]工程研发事业部人员名单!B:D,2,0),"")</f>
        <v>51389</v>
      </c>
      <c r="D179" s="50" t="str">
        <f>IFERROR(VLOOKUP(B179,[66]工程研发事业部人员名单!B:D,3,0),"")</f>
        <v>系统室</v>
      </c>
      <c r="E179" s="51" t="s">
        <v>237</v>
      </c>
      <c r="F179" s="52">
        <f t="shared" si="5"/>
        <v>35</v>
      </c>
      <c r="G179" s="53"/>
      <c r="H179" s="53"/>
      <c r="I179" s="115">
        <v>35</v>
      </c>
      <c r="J179" s="53"/>
      <c r="K179" s="57"/>
      <c r="L179" s="57"/>
      <c r="M179" s="123" t="s">
        <v>545</v>
      </c>
      <c r="N179" s="58" t="str">
        <f>VLOOKUP(E179,订单号!B:C,2,0)</f>
        <v>YZ-RD202428</v>
      </c>
      <c r="O179" s="35" t="e">
        <f>VLOOKUP(C179,领导干部!B:B,1,0)</f>
        <v>#N/A</v>
      </c>
    </row>
    <row r="180" s="35" customFormat="1" customHeight="1" spans="1:15">
      <c r="A180" s="47">
        <f t="shared" si="4"/>
        <v>179</v>
      </c>
      <c r="B180" s="48" t="s">
        <v>31</v>
      </c>
      <c r="C180" s="49">
        <f>IFERROR(VLOOKUP(B180,[66]工程研发事业部人员名单!B:D,2,0),"")</f>
        <v>52585</v>
      </c>
      <c r="D180" s="50" t="str">
        <f>IFERROR(VLOOKUP(B180,[66]工程研发事业部人员名单!B:D,3,0),"")</f>
        <v>系统室</v>
      </c>
      <c r="E180" s="51" t="s">
        <v>237</v>
      </c>
      <c r="F180" s="52">
        <f t="shared" si="5"/>
        <v>96.5</v>
      </c>
      <c r="G180" s="53"/>
      <c r="H180" s="53"/>
      <c r="I180" s="115">
        <v>96.5</v>
      </c>
      <c r="J180" s="53"/>
      <c r="K180" s="57"/>
      <c r="L180" s="57"/>
      <c r="M180" s="123" t="s">
        <v>546</v>
      </c>
      <c r="N180" s="58" t="str">
        <f>VLOOKUP(E180,订单号!B:C,2,0)</f>
        <v>YZ-RD202428</v>
      </c>
      <c r="O180" s="35" t="e">
        <f>VLOOKUP(C180,领导干部!B:B,1,0)</f>
        <v>#N/A</v>
      </c>
    </row>
    <row r="181" s="35" customFormat="1" customHeight="1" spans="1:15">
      <c r="A181" s="47">
        <f t="shared" si="4"/>
        <v>180</v>
      </c>
      <c r="B181" s="48" t="s">
        <v>360</v>
      </c>
      <c r="C181" s="49">
        <f>IFERROR(VLOOKUP(B181,[66]工程研发事业部人员名单!B:D,2,0),"")</f>
        <v>50713</v>
      </c>
      <c r="D181" s="50" t="str">
        <f>IFERROR(VLOOKUP(B181,[66]工程研发事业部人员名单!B:D,3,0),"")</f>
        <v>系统室</v>
      </c>
      <c r="E181" s="51" t="s">
        <v>237</v>
      </c>
      <c r="F181" s="52">
        <f t="shared" si="5"/>
        <v>30</v>
      </c>
      <c r="G181" s="53"/>
      <c r="H181" s="53"/>
      <c r="I181" s="115">
        <v>30</v>
      </c>
      <c r="J181" s="53"/>
      <c r="K181" s="57"/>
      <c r="L181" s="57"/>
      <c r="M181" s="123" t="s">
        <v>547</v>
      </c>
      <c r="N181" s="58" t="str">
        <f>VLOOKUP(E181,订单号!B:C,2,0)</f>
        <v>YZ-RD202428</v>
      </c>
      <c r="O181" s="35" t="e">
        <f>VLOOKUP(C181,领导干部!B:B,1,0)</f>
        <v>#N/A</v>
      </c>
    </row>
    <row r="182" s="35" customFormat="1" customHeight="1" spans="1:15">
      <c r="A182" s="47">
        <f t="shared" si="4"/>
        <v>181</v>
      </c>
      <c r="B182" s="48" t="s">
        <v>295</v>
      </c>
      <c r="C182" s="49">
        <f>IFERROR(VLOOKUP(B182,[66]工程研发事业部人员名单!B:D,2,0),"")</f>
        <v>51951</v>
      </c>
      <c r="D182" s="50" t="str">
        <f>IFERROR(VLOOKUP(B182,[66]工程研发事业部人员名单!B:D,3,0),"")</f>
        <v>系统室</v>
      </c>
      <c r="E182" s="51" t="s">
        <v>237</v>
      </c>
      <c r="F182" s="52">
        <f t="shared" si="5"/>
        <v>50</v>
      </c>
      <c r="G182" s="53"/>
      <c r="H182" s="53"/>
      <c r="I182" s="115">
        <v>50</v>
      </c>
      <c r="J182" s="53"/>
      <c r="K182" s="57"/>
      <c r="L182" s="57"/>
      <c r="M182" s="123" t="s">
        <v>548</v>
      </c>
      <c r="N182" s="58" t="str">
        <f>VLOOKUP(E182,订单号!B:C,2,0)</f>
        <v>YZ-RD202428</v>
      </c>
      <c r="O182" s="35" t="e">
        <f>VLOOKUP(C182,领导干部!B:B,1,0)</f>
        <v>#N/A</v>
      </c>
    </row>
    <row r="183" s="35" customFormat="1" customHeight="1" spans="1:15">
      <c r="A183" s="47">
        <f t="shared" si="4"/>
        <v>182</v>
      </c>
      <c r="B183" s="48" t="s">
        <v>342</v>
      </c>
      <c r="C183" s="49">
        <f>IFERROR(VLOOKUP(B183,[66]工程研发事业部人员名单!B:D,2,0),"")</f>
        <v>50702</v>
      </c>
      <c r="D183" s="50" t="str">
        <f>IFERROR(VLOOKUP(B183,[66]工程研发事业部人员名单!B:D,3,0),"")</f>
        <v>总体室</v>
      </c>
      <c r="E183" s="51" t="s">
        <v>237</v>
      </c>
      <c r="F183" s="52">
        <f t="shared" si="5"/>
        <v>112</v>
      </c>
      <c r="G183" s="53"/>
      <c r="H183" s="53"/>
      <c r="I183" s="115">
        <v>112</v>
      </c>
      <c r="J183" s="53"/>
      <c r="K183" s="57"/>
      <c r="L183" s="57"/>
      <c r="M183" s="123" t="s">
        <v>549</v>
      </c>
      <c r="N183" s="58" t="str">
        <f>VLOOKUP(E183,订单号!B:C,2,0)</f>
        <v>YZ-RD202428</v>
      </c>
      <c r="O183" s="35" t="e">
        <f>VLOOKUP(C183,领导干部!B:B,1,0)</f>
        <v>#N/A</v>
      </c>
    </row>
    <row r="184" s="35" customFormat="1" customHeight="1" spans="1:15">
      <c r="A184" s="47">
        <f t="shared" si="4"/>
        <v>183</v>
      </c>
      <c r="B184" s="48" t="s">
        <v>400</v>
      </c>
      <c r="C184" s="49">
        <f>IFERROR(VLOOKUP(B184,[66]工程研发事业部人员名单!B:D,2,0),"")</f>
        <v>17725</v>
      </c>
      <c r="D184" s="50" t="str">
        <f>IFERROR(VLOOKUP(B184,[66]工程研发事业部人员名单!B:D,3,0),"")</f>
        <v>总体室</v>
      </c>
      <c r="E184" s="51" t="s">
        <v>237</v>
      </c>
      <c r="F184" s="52">
        <f t="shared" si="5"/>
        <v>60</v>
      </c>
      <c r="G184" s="53"/>
      <c r="H184" s="53"/>
      <c r="I184" s="124">
        <v>60</v>
      </c>
      <c r="J184" s="53"/>
      <c r="K184" s="57"/>
      <c r="L184" s="57"/>
      <c r="M184" s="123" t="s">
        <v>550</v>
      </c>
      <c r="N184" s="58" t="str">
        <f>VLOOKUP(E184,订单号!B:C,2,0)</f>
        <v>YZ-RD202428</v>
      </c>
      <c r="O184" s="35" t="e">
        <f>VLOOKUP(C184,领导干部!B:B,1,0)</f>
        <v>#N/A</v>
      </c>
    </row>
    <row r="185" s="35" customFormat="1" customHeight="1" spans="1:15">
      <c r="A185" s="47">
        <f t="shared" si="4"/>
        <v>184</v>
      </c>
      <c r="B185" s="48" t="s">
        <v>324</v>
      </c>
      <c r="C185" s="49">
        <f>IFERROR(VLOOKUP(B185,[66]工程研发事业部人员名单!B:D,2,0),"")</f>
        <v>51860</v>
      </c>
      <c r="D185" s="50" t="str">
        <f>IFERROR(VLOOKUP(B185,[66]工程研发事业部人员名单!B:D,3,0),"")</f>
        <v>总体室</v>
      </c>
      <c r="E185" s="51" t="s">
        <v>237</v>
      </c>
      <c r="F185" s="52">
        <f t="shared" si="5"/>
        <v>15</v>
      </c>
      <c r="G185" s="53"/>
      <c r="H185" s="53"/>
      <c r="I185" s="115">
        <v>15</v>
      </c>
      <c r="J185" s="53"/>
      <c r="K185" s="57"/>
      <c r="L185" s="57"/>
      <c r="M185" s="123" t="s">
        <v>551</v>
      </c>
      <c r="N185" s="58" t="str">
        <f>VLOOKUP(E185,订单号!B:C,2,0)</f>
        <v>YZ-RD202428</v>
      </c>
      <c r="O185" s="35" t="e">
        <f>VLOOKUP(C185,领导干部!B:B,1,0)</f>
        <v>#N/A</v>
      </c>
    </row>
    <row r="186" s="35" customFormat="1" customHeight="1" spans="1:15">
      <c r="A186" s="47">
        <f t="shared" si="4"/>
        <v>185</v>
      </c>
      <c r="B186" s="48" t="s">
        <v>326</v>
      </c>
      <c r="C186" s="49">
        <f>IFERROR(VLOOKUP(B186,[66]工程研发事业部人员名单!B:D,2,0),"")</f>
        <v>52018</v>
      </c>
      <c r="D186" s="50" t="str">
        <f>IFERROR(VLOOKUP(B186,[66]工程研发事业部人员名单!B:D,3,0),"")</f>
        <v>总体室</v>
      </c>
      <c r="E186" s="51" t="s">
        <v>237</v>
      </c>
      <c r="F186" s="52">
        <f t="shared" si="5"/>
        <v>215</v>
      </c>
      <c r="G186" s="53"/>
      <c r="H186" s="53"/>
      <c r="I186" s="115">
        <v>215</v>
      </c>
      <c r="J186" s="53"/>
      <c r="K186" s="57"/>
      <c r="L186" s="57"/>
      <c r="M186" s="123" t="s">
        <v>552</v>
      </c>
      <c r="N186" s="58" t="str">
        <f>VLOOKUP(E186,订单号!B:C,2,0)</f>
        <v>YZ-RD202428</v>
      </c>
      <c r="O186" s="35" t="e">
        <f>VLOOKUP(C186,领导干部!B:B,1,0)</f>
        <v>#N/A</v>
      </c>
    </row>
    <row r="187" s="35" customFormat="1" customHeight="1" spans="1:15">
      <c r="A187" s="47">
        <f t="shared" si="4"/>
        <v>186</v>
      </c>
      <c r="B187" s="48" t="s">
        <v>131</v>
      </c>
      <c r="C187" s="49">
        <f>IFERROR(VLOOKUP(B187,[66]工程研发事业部人员名单!B:D,2,0),"")</f>
        <v>17787</v>
      </c>
      <c r="D187" s="50" t="str">
        <f>IFERROR(VLOOKUP(B187,[66]工程研发事业部人员名单!B:D,3,0),"")</f>
        <v>综合技术室</v>
      </c>
      <c r="E187" s="51" t="s">
        <v>191</v>
      </c>
      <c r="F187" s="52">
        <f t="shared" si="5"/>
        <v>120</v>
      </c>
      <c r="G187" s="53"/>
      <c r="H187" s="53"/>
      <c r="I187" s="115">
        <v>120</v>
      </c>
      <c r="J187" s="53"/>
      <c r="K187" s="57"/>
      <c r="L187" s="57"/>
      <c r="M187" s="123" t="s">
        <v>553</v>
      </c>
      <c r="N187" s="58">
        <f>VLOOKUP(E187,订单号!B:C,2,0)</f>
        <v>10502</v>
      </c>
      <c r="O187" s="35" t="e">
        <f>VLOOKUP(C187,领导干部!B:B,1,0)</f>
        <v>#N/A</v>
      </c>
    </row>
    <row r="188" s="35" customFormat="1" customHeight="1" spans="1:15">
      <c r="A188" s="47">
        <f t="shared" si="4"/>
        <v>187</v>
      </c>
      <c r="B188" s="48" t="s">
        <v>132</v>
      </c>
      <c r="C188" s="49">
        <f>IFERROR(VLOOKUP(B188,[66]工程研发事业部人员名单!B:D,2,0),"")</f>
        <v>22291</v>
      </c>
      <c r="D188" s="50" t="str">
        <f>IFERROR(VLOOKUP(B188,[66]工程研发事业部人员名单!B:D,3,0),"")</f>
        <v>综合技术室</v>
      </c>
      <c r="E188" s="51" t="s">
        <v>191</v>
      </c>
      <c r="F188" s="52">
        <f t="shared" si="5"/>
        <v>13</v>
      </c>
      <c r="G188" s="53"/>
      <c r="H188" s="53"/>
      <c r="I188" s="115">
        <v>13</v>
      </c>
      <c r="J188" s="53"/>
      <c r="K188" s="57"/>
      <c r="L188" s="57"/>
      <c r="M188" s="123" t="s">
        <v>554</v>
      </c>
      <c r="N188" s="58">
        <f>VLOOKUP(E188,订单号!B:C,2,0)</f>
        <v>10502</v>
      </c>
      <c r="O188" s="35" t="e">
        <f>VLOOKUP(C188,领导干部!B:B,1,0)</f>
        <v>#N/A</v>
      </c>
    </row>
    <row r="189" s="35" customFormat="1" customHeight="1" spans="1:15">
      <c r="A189" s="47">
        <f t="shared" si="4"/>
        <v>188</v>
      </c>
      <c r="B189" s="48" t="s">
        <v>133</v>
      </c>
      <c r="C189" s="49">
        <f>IFERROR(VLOOKUP(B189,[66]工程研发事业部人员名单!B:D,2,0),"")</f>
        <v>51226</v>
      </c>
      <c r="D189" s="50" t="str">
        <f>IFERROR(VLOOKUP(B189,[66]工程研发事业部人员名单!B:D,3,0),"")</f>
        <v>综合技术室</v>
      </c>
      <c r="E189" s="51" t="s">
        <v>191</v>
      </c>
      <c r="F189" s="52">
        <f t="shared" si="5"/>
        <v>80</v>
      </c>
      <c r="G189" s="53"/>
      <c r="H189" s="53"/>
      <c r="I189" s="115">
        <v>80</v>
      </c>
      <c r="J189" s="53"/>
      <c r="K189" s="57"/>
      <c r="L189" s="57"/>
      <c r="M189" s="123" t="s">
        <v>555</v>
      </c>
      <c r="N189" s="58">
        <f>VLOOKUP(E189,订单号!B:C,2,0)</f>
        <v>10502</v>
      </c>
      <c r="O189" s="35" t="e">
        <f>VLOOKUP(C189,领导干部!B:B,1,0)</f>
        <v>#N/A</v>
      </c>
    </row>
    <row r="190" s="35" customFormat="1" customHeight="1" spans="1:15">
      <c r="A190" s="47">
        <f t="shared" si="4"/>
        <v>189</v>
      </c>
      <c r="B190" s="48" t="s">
        <v>137</v>
      </c>
      <c r="C190" s="49">
        <f>IFERROR(VLOOKUP(B190,[66]工程研发事业部人员名单!B:D,2,0),"")</f>
        <v>50686</v>
      </c>
      <c r="D190" s="50" t="str">
        <f>IFERROR(VLOOKUP(B190,[66]工程研发事业部人员名单!B:D,3,0),"")</f>
        <v>综合技术室</v>
      </c>
      <c r="E190" s="51" t="s">
        <v>191</v>
      </c>
      <c r="F190" s="52">
        <f t="shared" si="5"/>
        <v>100</v>
      </c>
      <c r="G190" s="53"/>
      <c r="H190" s="53"/>
      <c r="I190" s="115">
        <v>100</v>
      </c>
      <c r="J190" s="53"/>
      <c r="K190" s="57"/>
      <c r="L190" s="57"/>
      <c r="M190" s="123" t="s">
        <v>555</v>
      </c>
      <c r="N190" s="58">
        <f>VLOOKUP(E190,订单号!B:C,2,0)</f>
        <v>10502</v>
      </c>
      <c r="O190" s="35" t="e">
        <f>VLOOKUP(C190,领导干部!B:B,1,0)</f>
        <v>#N/A</v>
      </c>
    </row>
    <row r="191" s="35" customFormat="1" customHeight="1" spans="1:15">
      <c r="A191" s="47">
        <f t="shared" si="4"/>
        <v>190</v>
      </c>
      <c r="B191" s="48" t="s">
        <v>138</v>
      </c>
      <c r="C191" s="49">
        <f>IFERROR(VLOOKUP(B191,[66]工程研发事业部人员名单!B:D,2,0),"")</f>
        <v>51160</v>
      </c>
      <c r="D191" s="50" t="str">
        <f>IFERROR(VLOOKUP(B191,[66]工程研发事业部人员名单!B:D,3,0),"")</f>
        <v>综合技术室</v>
      </c>
      <c r="E191" s="51" t="s">
        <v>191</v>
      </c>
      <c r="F191" s="52">
        <f t="shared" si="5"/>
        <v>70</v>
      </c>
      <c r="G191" s="53"/>
      <c r="H191" s="53"/>
      <c r="I191" s="115">
        <v>70</v>
      </c>
      <c r="J191" s="53"/>
      <c r="K191" s="57"/>
      <c r="L191" s="57"/>
      <c r="M191" s="123" t="s">
        <v>556</v>
      </c>
      <c r="N191" s="58">
        <f>VLOOKUP(E191,订单号!B:C,2,0)</f>
        <v>10502</v>
      </c>
      <c r="O191" s="35" t="e">
        <f>VLOOKUP(C191,领导干部!B:B,1,0)</f>
        <v>#N/A</v>
      </c>
    </row>
    <row r="192" s="35" customFormat="1" customHeight="1" spans="1:15">
      <c r="A192" s="47">
        <f t="shared" si="4"/>
        <v>191</v>
      </c>
      <c r="B192" s="48" t="s">
        <v>139</v>
      </c>
      <c r="C192" s="49">
        <f>IFERROR(VLOOKUP(B192,[66]工程研发事业部人员名单!B:D,2,0),"")</f>
        <v>51151</v>
      </c>
      <c r="D192" s="50" t="str">
        <f>IFERROR(VLOOKUP(B192,[66]工程研发事业部人员名单!B:D,3,0),"")</f>
        <v>综合技术室</v>
      </c>
      <c r="E192" s="51" t="s">
        <v>191</v>
      </c>
      <c r="F192" s="52">
        <f t="shared" si="5"/>
        <v>110</v>
      </c>
      <c r="G192" s="53"/>
      <c r="H192" s="53"/>
      <c r="I192" s="115">
        <v>110</v>
      </c>
      <c r="J192" s="53"/>
      <c r="K192" s="57"/>
      <c r="L192" s="57"/>
      <c r="M192" s="123" t="s">
        <v>555</v>
      </c>
      <c r="N192" s="58">
        <f>VLOOKUP(E192,订单号!B:C,2,0)</f>
        <v>10502</v>
      </c>
      <c r="O192" s="35" t="e">
        <f>VLOOKUP(C192,领导干部!B:B,1,0)</f>
        <v>#N/A</v>
      </c>
    </row>
    <row r="193" s="35" customFormat="1" customHeight="1" spans="1:15">
      <c r="A193" s="47">
        <f t="shared" si="4"/>
        <v>192</v>
      </c>
      <c r="B193" s="48" t="s">
        <v>140</v>
      </c>
      <c r="C193" s="49">
        <f>IFERROR(VLOOKUP(B193,[66]工程研发事业部人员名单!B:D,2,0),"")</f>
        <v>51429</v>
      </c>
      <c r="D193" s="50" t="str">
        <f>IFERROR(VLOOKUP(B193,[66]工程研发事业部人员名单!B:D,3,0),"")</f>
        <v>综合技术室</v>
      </c>
      <c r="E193" s="51" t="s">
        <v>191</v>
      </c>
      <c r="F193" s="52">
        <f t="shared" si="5"/>
        <v>70</v>
      </c>
      <c r="G193" s="53"/>
      <c r="H193" s="53"/>
      <c r="I193" s="115">
        <v>70</v>
      </c>
      <c r="J193" s="53"/>
      <c r="K193" s="57"/>
      <c r="L193" s="57"/>
      <c r="M193" s="123" t="s">
        <v>557</v>
      </c>
      <c r="N193" s="58">
        <f>VLOOKUP(E193,订单号!B:C,2,0)</f>
        <v>10502</v>
      </c>
      <c r="O193" s="35" t="e">
        <f>VLOOKUP(C193,领导干部!B:B,1,0)</f>
        <v>#N/A</v>
      </c>
    </row>
    <row r="194" s="35" customFormat="1" customHeight="1" spans="1:15">
      <c r="A194" s="47">
        <f t="shared" ref="A194:A257" si="6">ROW()-1</f>
        <v>193</v>
      </c>
      <c r="B194" s="48" t="s">
        <v>453</v>
      </c>
      <c r="C194" s="49">
        <f>IFERROR(VLOOKUP(B194,[66]工程研发事业部人员名单!B:D,2,0),"")</f>
        <v>26828</v>
      </c>
      <c r="D194" s="50" t="str">
        <f>IFERROR(VLOOKUP(B194,[66]工程研发事业部人员名单!B:D,3,0),"")</f>
        <v>综合技术室</v>
      </c>
      <c r="E194" s="51" t="s">
        <v>191</v>
      </c>
      <c r="F194" s="52">
        <f t="shared" ref="F194:F257" si="7">G194+H194+I194+J194</f>
        <v>30</v>
      </c>
      <c r="G194" s="53"/>
      <c r="H194" s="53"/>
      <c r="I194" s="115">
        <v>30</v>
      </c>
      <c r="J194" s="53"/>
      <c r="K194" s="57"/>
      <c r="L194" s="57"/>
      <c r="M194" s="123" t="s">
        <v>558</v>
      </c>
      <c r="N194" s="58">
        <f>VLOOKUP(E194,订单号!B:C,2,0)</f>
        <v>10502</v>
      </c>
      <c r="O194" s="35" t="e">
        <f>VLOOKUP(C194,领导干部!B:B,1,0)</f>
        <v>#N/A</v>
      </c>
    </row>
    <row r="195" s="35" customFormat="1" customHeight="1" spans="1:15">
      <c r="A195" s="47">
        <f t="shared" si="6"/>
        <v>194</v>
      </c>
      <c r="B195" s="48" t="s">
        <v>451</v>
      </c>
      <c r="C195" s="49">
        <f>IFERROR(VLOOKUP(B195,[66]工程研发事业部人员名单!B:D,2,0),"")</f>
        <v>50245</v>
      </c>
      <c r="D195" s="50" t="str">
        <f>IFERROR(VLOOKUP(B195,[66]工程研发事业部人员名单!B:D,3,0),"")</f>
        <v>联络工程室</v>
      </c>
      <c r="E195" s="51" t="s">
        <v>191</v>
      </c>
      <c r="F195" s="52">
        <f t="shared" si="7"/>
        <v>150</v>
      </c>
      <c r="G195" s="53"/>
      <c r="H195" s="53"/>
      <c r="I195" s="115">
        <v>150</v>
      </c>
      <c r="J195" s="53"/>
      <c r="K195" s="57"/>
      <c r="L195" s="57"/>
      <c r="M195" s="123"/>
      <c r="N195" s="58">
        <f>VLOOKUP(E195,订单号!B:C,2,0)</f>
        <v>10502</v>
      </c>
      <c r="O195" s="35" t="e">
        <f>VLOOKUP(C195,领导干部!B:B,1,0)</f>
        <v>#N/A</v>
      </c>
    </row>
    <row r="196" s="35" customFormat="1" customHeight="1" spans="1:15">
      <c r="A196" s="47">
        <f t="shared" si="6"/>
        <v>195</v>
      </c>
      <c r="B196" s="48" t="s">
        <v>253</v>
      </c>
      <c r="C196" s="49">
        <f>IFERROR(VLOOKUP(B196,[66]工程研发事业部人员名单!B:D,2,0),"")</f>
        <v>17732</v>
      </c>
      <c r="D196" s="50" t="str">
        <f>IFERROR(VLOOKUP(B196,[66]工程研发事业部人员名单!B:D,3,0),"")</f>
        <v>联络工程室</v>
      </c>
      <c r="E196" s="51" t="s">
        <v>191</v>
      </c>
      <c r="F196" s="52">
        <f t="shared" si="7"/>
        <v>157</v>
      </c>
      <c r="G196" s="53"/>
      <c r="H196" s="53"/>
      <c r="I196" s="115">
        <v>157</v>
      </c>
      <c r="J196" s="53"/>
      <c r="K196" s="57"/>
      <c r="L196" s="57"/>
      <c r="M196" s="123"/>
      <c r="N196" s="58">
        <f>VLOOKUP(E196,订单号!B:C,2,0)</f>
        <v>10502</v>
      </c>
      <c r="O196" s="35" t="e">
        <f>VLOOKUP(C196,领导干部!B:B,1,0)</f>
        <v>#N/A</v>
      </c>
    </row>
    <row r="197" s="35" customFormat="1" customHeight="1" spans="1:15">
      <c r="A197" s="47">
        <f t="shared" si="6"/>
        <v>196</v>
      </c>
      <c r="B197" s="48" t="s">
        <v>427</v>
      </c>
      <c r="C197" s="49">
        <f>IFERROR(VLOOKUP(B197,[66]工程研发事业部人员名单!B:D,2,0),"")</f>
        <v>18672</v>
      </c>
      <c r="D197" s="50" t="str">
        <f>IFERROR(VLOOKUP(B197,[66]工程研发事业部人员名单!B:D,3,0),"")</f>
        <v>联络工程室</v>
      </c>
      <c r="E197" s="51" t="s">
        <v>191</v>
      </c>
      <c r="F197" s="52">
        <f t="shared" si="7"/>
        <v>157</v>
      </c>
      <c r="G197" s="53"/>
      <c r="H197" s="53"/>
      <c r="I197" s="115">
        <v>157</v>
      </c>
      <c r="J197" s="53"/>
      <c r="K197" s="57"/>
      <c r="L197" s="57"/>
      <c r="M197" s="123"/>
      <c r="N197" s="58">
        <f>VLOOKUP(E197,订单号!B:C,2,0)</f>
        <v>10502</v>
      </c>
      <c r="O197" s="35" t="e">
        <f>VLOOKUP(C197,领导干部!B:B,1,0)</f>
        <v>#N/A</v>
      </c>
    </row>
    <row r="198" s="35" customFormat="1" customHeight="1" spans="1:15">
      <c r="A198" s="47">
        <f t="shared" si="6"/>
        <v>197</v>
      </c>
      <c r="B198" s="48" t="s">
        <v>307</v>
      </c>
      <c r="C198" s="49">
        <f>IFERROR(VLOOKUP(B198,[66]工程研发事业部人员名单!B:D,2,0),"")</f>
        <v>50019</v>
      </c>
      <c r="D198" s="50" t="str">
        <f>IFERROR(VLOOKUP(B198,[66]工程研发事业部人员名单!B:D,3,0),"")</f>
        <v>联络工程室</v>
      </c>
      <c r="E198" s="51" t="s">
        <v>191</v>
      </c>
      <c r="F198" s="52">
        <f t="shared" si="7"/>
        <v>168.05</v>
      </c>
      <c r="G198" s="53"/>
      <c r="H198" s="53"/>
      <c r="I198" s="115">
        <v>168.05</v>
      </c>
      <c r="J198" s="53"/>
      <c r="K198" s="57"/>
      <c r="L198" s="57"/>
      <c r="M198" s="123"/>
      <c r="N198" s="58">
        <f>VLOOKUP(E198,订单号!B:C,2,0)</f>
        <v>10502</v>
      </c>
      <c r="O198" s="35" t="e">
        <f>VLOOKUP(C198,领导干部!B:B,1,0)</f>
        <v>#N/A</v>
      </c>
    </row>
    <row r="199" s="35" customFormat="1" customHeight="1" spans="1:15">
      <c r="A199" s="47">
        <f t="shared" si="6"/>
        <v>198</v>
      </c>
      <c r="B199" s="48" t="s">
        <v>261</v>
      </c>
      <c r="C199" s="49">
        <f>IFERROR(VLOOKUP(B199,[66]工程研发事业部人员名单!B:D,2,0),"")</f>
        <v>50027</v>
      </c>
      <c r="D199" s="50" t="str">
        <f>IFERROR(VLOOKUP(B199,[66]工程研发事业部人员名单!B:D,3,0),"")</f>
        <v>联络工程室</v>
      </c>
      <c r="E199" s="51" t="s">
        <v>191</v>
      </c>
      <c r="F199" s="52">
        <f t="shared" si="7"/>
        <v>150.2</v>
      </c>
      <c r="G199" s="53"/>
      <c r="H199" s="53"/>
      <c r="I199" s="115">
        <v>150.2</v>
      </c>
      <c r="J199" s="53"/>
      <c r="K199" s="57"/>
      <c r="L199" s="57"/>
      <c r="M199" s="123"/>
      <c r="N199" s="58">
        <f>VLOOKUP(E199,订单号!B:C,2,0)</f>
        <v>10502</v>
      </c>
      <c r="O199" s="35" t="e">
        <f>VLOOKUP(C199,领导干部!B:B,1,0)</f>
        <v>#N/A</v>
      </c>
    </row>
    <row r="200" s="35" customFormat="1" customHeight="1" spans="1:15">
      <c r="A200" s="47">
        <f t="shared" si="6"/>
        <v>199</v>
      </c>
      <c r="B200" s="48" t="s">
        <v>316</v>
      </c>
      <c r="C200" s="49">
        <f>IFERROR(VLOOKUP(B200,[66]工程研发事业部人员名单!B:D,2,0),"")</f>
        <v>50316</v>
      </c>
      <c r="D200" s="50" t="str">
        <f>IFERROR(VLOOKUP(B200,[66]工程研发事业部人员名单!B:D,3,0),"")</f>
        <v>联络工程室</v>
      </c>
      <c r="E200" s="51" t="s">
        <v>191</v>
      </c>
      <c r="F200" s="52">
        <f t="shared" si="7"/>
        <v>150</v>
      </c>
      <c r="G200" s="53"/>
      <c r="H200" s="53"/>
      <c r="I200" s="115">
        <v>150</v>
      </c>
      <c r="J200" s="53"/>
      <c r="K200" s="57"/>
      <c r="L200" s="57"/>
      <c r="M200" s="123"/>
      <c r="N200" s="58">
        <f>VLOOKUP(E200,订单号!B:C,2,0)</f>
        <v>10502</v>
      </c>
      <c r="O200" s="35" t="e">
        <f>VLOOKUP(C200,领导干部!B:B,1,0)</f>
        <v>#N/A</v>
      </c>
    </row>
    <row r="201" s="35" customFormat="1" customHeight="1" spans="1:15">
      <c r="A201" s="47">
        <f t="shared" si="6"/>
        <v>200</v>
      </c>
      <c r="B201" s="48" t="s">
        <v>479</v>
      </c>
      <c r="C201" s="49">
        <f>IFERROR(VLOOKUP(B201,[66]工程研发事业部人员名单!B:D,2,0),"")</f>
        <v>50323</v>
      </c>
      <c r="D201" s="50" t="str">
        <f>IFERROR(VLOOKUP(B201,[66]工程研发事业部人员名单!B:D,3,0),"")</f>
        <v>联络工程室</v>
      </c>
      <c r="E201" s="51" t="s">
        <v>191</v>
      </c>
      <c r="F201" s="52">
        <f t="shared" si="7"/>
        <v>157</v>
      </c>
      <c r="G201" s="53"/>
      <c r="H201" s="53"/>
      <c r="I201" s="115">
        <v>157</v>
      </c>
      <c r="J201" s="53"/>
      <c r="K201" s="57"/>
      <c r="L201" s="57"/>
      <c r="M201" s="123"/>
      <c r="N201" s="58">
        <f>VLOOKUP(E201,订单号!B:C,2,0)</f>
        <v>10502</v>
      </c>
      <c r="O201" s="35" t="e">
        <f>VLOOKUP(C201,领导干部!B:B,1,0)</f>
        <v>#N/A</v>
      </c>
    </row>
    <row r="202" s="35" customFormat="1" customHeight="1" spans="1:15">
      <c r="A202" s="47">
        <f t="shared" si="6"/>
        <v>201</v>
      </c>
      <c r="B202" s="48" t="s">
        <v>482</v>
      </c>
      <c r="C202" s="49">
        <f>IFERROR(VLOOKUP(B202,[66]工程研发事业部人员名单!B:D,2,0),"")</f>
        <v>50832</v>
      </c>
      <c r="D202" s="50" t="str">
        <f>IFERROR(VLOOKUP(B202,[66]工程研发事业部人员名单!B:D,3,0),"")</f>
        <v>联络工程室</v>
      </c>
      <c r="E202" s="51" t="s">
        <v>191</v>
      </c>
      <c r="F202" s="52">
        <f t="shared" si="7"/>
        <v>160</v>
      </c>
      <c r="G202" s="53"/>
      <c r="H202" s="53"/>
      <c r="I202" s="115">
        <v>160</v>
      </c>
      <c r="J202" s="53"/>
      <c r="K202" s="57"/>
      <c r="L202" s="57"/>
      <c r="M202" s="123"/>
      <c r="N202" s="58">
        <f>VLOOKUP(E202,订单号!B:C,2,0)</f>
        <v>10502</v>
      </c>
      <c r="O202" s="35" t="e">
        <f>VLOOKUP(C202,领导干部!B:B,1,0)</f>
        <v>#N/A</v>
      </c>
    </row>
    <row r="203" s="35" customFormat="1" customHeight="1" spans="1:15">
      <c r="A203" s="47">
        <f t="shared" si="6"/>
        <v>202</v>
      </c>
      <c r="B203" s="48" t="s">
        <v>353</v>
      </c>
      <c r="C203" s="49">
        <f>IFERROR(VLOOKUP(B203,[66]工程研发事业部人员名单!B:D,2,0),"")</f>
        <v>51395</v>
      </c>
      <c r="D203" s="50" t="str">
        <f>IFERROR(VLOOKUP(B203,[66]工程研发事业部人员名单!B:D,3,0),"")</f>
        <v>联络工程室</v>
      </c>
      <c r="E203" s="51" t="s">
        <v>191</v>
      </c>
      <c r="F203" s="52">
        <f t="shared" si="7"/>
        <v>157</v>
      </c>
      <c r="G203" s="53"/>
      <c r="H203" s="53"/>
      <c r="I203" s="115">
        <v>157</v>
      </c>
      <c r="J203" s="53"/>
      <c r="K203" s="57"/>
      <c r="L203" s="57"/>
      <c r="M203" s="123"/>
      <c r="N203" s="58">
        <f>VLOOKUP(E203,订单号!B:C,2,0)</f>
        <v>10502</v>
      </c>
      <c r="O203" s="35" t="e">
        <f>VLOOKUP(C203,领导干部!B:B,1,0)</f>
        <v>#N/A</v>
      </c>
    </row>
    <row r="204" s="35" customFormat="1" customHeight="1" spans="1:15">
      <c r="A204" s="47">
        <f t="shared" si="6"/>
        <v>203</v>
      </c>
      <c r="B204" s="48" t="s">
        <v>419</v>
      </c>
      <c r="C204" s="49">
        <f>IFERROR(VLOOKUP(B204,[66]工程研发事业部人员名单!B:D,2,0),"")</f>
        <v>51396</v>
      </c>
      <c r="D204" s="50" t="str">
        <f>IFERROR(VLOOKUP(B204,[66]工程研发事业部人员名单!B:D,3,0),"")</f>
        <v>联络工程室</v>
      </c>
      <c r="E204" s="51" t="s">
        <v>191</v>
      </c>
      <c r="F204" s="52">
        <f t="shared" si="7"/>
        <v>151.48</v>
      </c>
      <c r="G204" s="53"/>
      <c r="H204" s="53"/>
      <c r="I204" s="115">
        <v>151.48</v>
      </c>
      <c r="J204" s="53"/>
      <c r="K204" s="57"/>
      <c r="L204" s="57"/>
      <c r="M204" s="123"/>
      <c r="N204" s="58">
        <f>VLOOKUP(E204,订单号!B:C,2,0)</f>
        <v>10502</v>
      </c>
      <c r="O204" s="35" t="e">
        <f>VLOOKUP(C204,领导干部!B:B,1,0)</f>
        <v>#N/A</v>
      </c>
    </row>
    <row r="205" s="35" customFormat="1" customHeight="1" spans="1:15">
      <c r="A205" s="47">
        <f t="shared" si="6"/>
        <v>204</v>
      </c>
      <c r="B205" s="48" t="s">
        <v>474</v>
      </c>
      <c r="C205" s="49">
        <f>IFERROR(VLOOKUP(B205,[66]工程研发事业部人员名单!B:D,2,0),"")</f>
        <v>50853</v>
      </c>
      <c r="D205" s="50" t="str">
        <f>IFERROR(VLOOKUP(B205,[66]工程研发事业部人员名单!B:D,3,0),"")</f>
        <v>联络工程室</v>
      </c>
      <c r="E205" s="51" t="s">
        <v>191</v>
      </c>
      <c r="F205" s="52">
        <f t="shared" si="7"/>
        <v>132</v>
      </c>
      <c r="G205" s="53"/>
      <c r="H205" s="53"/>
      <c r="I205" s="115">
        <v>132</v>
      </c>
      <c r="J205" s="53"/>
      <c r="K205" s="57"/>
      <c r="L205" s="57"/>
      <c r="M205" s="123"/>
      <c r="N205" s="58">
        <f>VLOOKUP(E205,订单号!B:C,2,0)</f>
        <v>10502</v>
      </c>
      <c r="O205" s="35" t="e">
        <f>VLOOKUP(C205,领导干部!B:B,1,0)</f>
        <v>#N/A</v>
      </c>
    </row>
    <row r="206" s="35" customFormat="1" customHeight="1" spans="1:15">
      <c r="A206" s="47">
        <f t="shared" si="6"/>
        <v>205</v>
      </c>
      <c r="B206" s="48" t="s">
        <v>462</v>
      </c>
      <c r="C206" s="49">
        <f>IFERROR(VLOOKUP(B206,[66]工程研发事业部人员名单!B:D,2,0),"")</f>
        <v>51428</v>
      </c>
      <c r="D206" s="50" t="str">
        <f>IFERROR(VLOOKUP(B206,[66]工程研发事业部人员名单!B:D,3,0),"")</f>
        <v>联络工程室</v>
      </c>
      <c r="E206" s="51" t="s">
        <v>191</v>
      </c>
      <c r="F206" s="52">
        <f t="shared" si="7"/>
        <v>150.41</v>
      </c>
      <c r="G206" s="53"/>
      <c r="H206" s="53"/>
      <c r="I206" s="115">
        <v>150.41</v>
      </c>
      <c r="J206" s="53"/>
      <c r="K206" s="57"/>
      <c r="L206" s="57"/>
      <c r="M206" s="123"/>
      <c r="N206" s="58">
        <f>VLOOKUP(E206,订单号!B:C,2,0)</f>
        <v>10502</v>
      </c>
      <c r="O206" s="35" t="e">
        <f>VLOOKUP(C206,领导干部!B:B,1,0)</f>
        <v>#N/A</v>
      </c>
    </row>
    <row r="207" s="35" customFormat="1" customHeight="1" spans="1:15">
      <c r="A207" s="47">
        <f t="shared" si="6"/>
        <v>206</v>
      </c>
      <c r="B207" s="48" t="s">
        <v>424</v>
      </c>
      <c r="C207" s="49">
        <f>IFERROR(VLOOKUP(B207,[66]工程研发事业部人员名单!B:D,2,0),"")</f>
        <v>50317</v>
      </c>
      <c r="D207" s="50" t="str">
        <f>IFERROR(VLOOKUP(B207,[66]工程研发事业部人员名单!B:D,3,0),"")</f>
        <v>联络工程室</v>
      </c>
      <c r="E207" s="51" t="s">
        <v>191</v>
      </c>
      <c r="F207" s="52">
        <f t="shared" si="7"/>
        <v>160.638</v>
      </c>
      <c r="G207" s="53"/>
      <c r="H207" s="53"/>
      <c r="I207" s="115">
        <v>160.638</v>
      </c>
      <c r="J207" s="53"/>
      <c r="K207" s="57"/>
      <c r="L207" s="57"/>
      <c r="M207" s="123"/>
      <c r="N207" s="58">
        <f>VLOOKUP(E207,订单号!B:C,2,0)</f>
        <v>10502</v>
      </c>
      <c r="O207" s="35" t="e">
        <f>VLOOKUP(C207,领导干部!B:B,1,0)</f>
        <v>#N/A</v>
      </c>
    </row>
    <row r="208" s="35" customFormat="1" customHeight="1" spans="1:15">
      <c r="A208" s="47">
        <f t="shared" si="6"/>
        <v>207</v>
      </c>
      <c r="B208" s="48" t="s">
        <v>369</v>
      </c>
      <c r="C208" s="49">
        <f>IFERROR(VLOOKUP(B208,[66]工程研发事业部人员名单!B:D,2,0),"")</f>
        <v>51665</v>
      </c>
      <c r="D208" s="50" t="str">
        <f>IFERROR(VLOOKUP(B208,[66]工程研发事业部人员名单!B:D,3,0),"")</f>
        <v>联络工程室</v>
      </c>
      <c r="E208" s="51" t="s">
        <v>191</v>
      </c>
      <c r="F208" s="52">
        <f t="shared" si="7"/>
        <v>137.25</v>
      </c>
      <c r="G208" s="53"/>
      <c r="H208" s="53"/>
      <c r="I208" s="115">
        <v>137.25</v>
      </c>
      <c r="J208" s="53"/>
      <c r="K208" s="57"/>
      <c r="L208" s="57"/>
      <c r="M208" s="123"/>
      <c r="N208" s="58">
        <f>VLOOKUP(E208,订单号!B:C,2,0)</f>
        <v>10502</v>
      </c>
      <c r="O208" s="35" t="e">
        <f>VLOOKUP(C208,领导干部!B:B,1,0)</f>
        <v>#N/A</v>
      </c>
    </row>
    <row r="209" s="35" customFormat="1" customHeight="1" spans="1:15">
      <c r="A209" s="47">
        <f t="shared" si="6"/>
        <v>208</v>
      </c>
      <c r="B209" s="48" t="s">
        <v>450</v>
      </c>
      <c r="C209" s="49">
        <f>IFERROR(VLOOKUP(B209,[66]工程研发事业部人员名单!B:D,2,0),"")</f>
        <v>51570</v>
      </c>
      <c r="D209" s="50" t="str">
        <f>IFERROR(VLOOKUP(B209,[66]工程研发事业部人员名单!B:D,3,0),"")</f>
        <v>联络工程室</v>
      </c>
      <c r="E209" s="51" t="s">
        <v>191</v>
      </c>
      <c r="F209" s="52">
        <f t="shared" si="7"/>
        <v>140</v>
      </c>
      <c r="G209" s="53"/>
      <c r="H209" s="53"/>
      <c r="I209" s="115">
        <v>140</v>
      </c>
      <c r="J209" s="53"/>
      <c r="K209" s="57"/>
      <c r="L209" s="57"/>
      <c r="M209" s="123"/>
      <c r="N209" s="58">
        <f>VLOOKUP(E209,订单号!B:C,2,0)</f>
        <v>10502</v>
      </c>
      <c r="O209" s="35" t="e">
        <f>VLOOKUP(C209,领导干部!B:B,1,0)</f>
        <v>#N/A</v>
      </c>
    </row>
    <row r="210" s="35" customFormat="1" customHeight="1" spans="1:15">
      <c r="A210" s="47">
        <f t="shared" si="6"/>
        <v>209</v>
      </c>
      <c r="B210" s="48" t="s">
        <v>222</v>
      </c>
      <c r="C210" s="49">
        <f>IFERROR(VLOOKUP(B210,[66]工程研发事业部人员名单!B:D,2,0),"")</f>
        <v>51576</v>
      </c>
      <c r="D210" s="50" t="str">
        <f>IFERROR(VLOOKUP(B210,[66]工程研发事业部人员名单!B:D,3,0),"")</f>
        <v>联络工程室</v>
      </c>
      <c r="E210" s="51" t="s">
        <v>191</v>
      </c>
      <c r="F210" s="52">
        <f t="shared" si="7"/>
        <v>140</v>
      </c>
      <c r="G210" s="53"/>
      <c r="H210" s="53"/>
      <c r="I210" s="115">
        <v>140</v>
      </c>
      <c r="J210" s="53"/>
      <c r="K210" s="57"/>
      <c r="L210" s="57"/>
      <c r="M210" s="123"/>
      <c r="N210" s="58">
        <f>VLOOKUP(E210,订单号!B:C,2,0)</f>
        <v>10502</v>
      </c>
      <c r="O210" s="35" t="e">
        <f>VLOOKUP(C210,领导干部!B:B,1,0)</f>
        <v>#N/A</v>
      </c>
    </row>
    <row r="211" s="35" customFormat="1" customHeight="1" spans="1:15">
      <c r="A211" s="47">
        <f t="shared" si="6"/>
        <v>210</v>
      </c>
      <c r="B211" s="48" t="s">
        <v>242</v>
      </c>
      <c r="C211" s="49">
        <f>IFERROR(VLOOKUP(B211,[66]工程研发事业部人员名单!B:D,2,0),"")</f>
        <v>25549</v>
      </c>
      <c r="D211" s="50" t="str">
        <f>IFERROR(VLOOKUP(B211,[66]工程研发事业部人员名单!B:D,3,0),"")</f>
        <v>联络工程室</v>
      </c>
      <c r="E211" s="51" t="s">
        <v>191</v>
      </c>
      <c r="F211" s="52">
        <f t="shared" si="7"/>
        <v>164.88</v>
      </c>
      <c r="G211" s="53"/>
      <c r="H211" s="53"/>
      <c r="I211" s="115">
        <v>164.88</v>
      </c>
      <c r="J211" s="53"/>
      <c r="K211" s="57"/>
      <c r="L211" s="57"/>
      <c r="M211" s="123"/>
      <c r="N211" s="58">
        <f>VLOOKUP(E211,订单号!B:C,2,0)</f>
        <v>10502</v>
      </c>
      <c r="O211" s="35" t="e">
        <f>VLOOKUP(C211,领导干部!B:B,1,0)</f>
        <v>#N/A</v>
      </c>
    </row>
    <row r="212" s="35" customFormat="1" customHeight="1" spans="1:15">
      <c r="A212" s="47">
        <f t="shared" si="6"/>
        <v>211</v>
      </c>
      <c r="B212" s="48" t="s">
        <v>412</v>
      </c>
      <c r="C212" s="49">
        <f>IFERROR(VLOOKUP(B212,[66]工程研发事业部人员名单!B:D,2,0),"")</f>
        <v>22250</v>
      </c>
      <c r="D212" s="50" t="str">
        <f>IFERROR(VLOOKUP(B212,[66]工程研发事业部人员名单!B:D,3,0),"")</f>
        <v>联络工程室</v>
      </c>
      <c r="E212" s="51" t="s">
        <v>191</v>
      </c>
      <c r="F212" s="52">
        <f t="shared" si="7"/>
        <v>139</v>
      </c>
      <c r="G212" s="53"/>
      <c r="H212" s="53"/>
      <c r="I212" s="115">
        <v>139</v>
      </c>
      <c r="J212" s="53"/>
      <c r="K212" s="57"/>
      <c r="L212" s="57"/>
      <c r="M212" s="123"/>
      <c r="N212" s="58">
        <f>VLOOKUP(E212,订单号!B:C,2,0)</f>
        <v>10502</v>
      </c>
      <c r="O212" s="35" t="e">
        <f>VLOOKUP(C212,领导干部!B:B,1,0)</f>
        <v>#N/A</v>
      </c>
    </row>
    <row r="213" s="35" customFormat="1" customHeight="1" spans="1:15">
      <c r="A213" s="47">
        <f t="shared" si="6"/>
        <v>212</v>
      </c>
      <c r="B213" s="48" t="s">
        <v>232</v>
      </c>
      <c r="C213" s="49">
        <f>IFERROR(VLOOKUP(B213,[66]工程研发事业部人员名单!B:D,2,0),"")</f>
        <v>22253</v>
      </c>
      <c r="D213" s="50" t="str">
        <f>IFERROR(VLOOKUP(B213,[66]工程研发事业部人员名单!B:D,3,0),"")</f>
        <v>联络工程室</v>
      </c>
      <c r="E213" s="51" t="s">
        <v>191</v>
      </c>
      <c r="F213" s="52">
        <f t="shared" si="7"/>
        <v>189</v>
      </c>
      <c r="G213" s="53"/>
      <c r="H213" s="53"/>
      <c r="I213" s="115">
        <v>189</v>
      </c>
      <c r="J213" s="53"/>
      <c r="K213" s="57"/>
      <c r="L213" s="57"/>
      <c r="M213" s="123"/>
      <c r="N213" s="58">
        <f>VLOOKUP(E213,订单号!B:C,2,0)</f>
        <v>10502</v>
      </c>
      <c r="O213" s="35" t="e">
        <f>VLOOKUP(C213,领导干部!B:B,1,0)</f>
        <v>#N/A</v>
      </c>
    </row>
    <row r="214" s="35" customFormat="1" customHeight="1" spans="1:15">
      <c r="A214" s="47">
        <f t="shared" si="6"/>
        <v>213</v>
      </c>
      <c r="B214" s="48" t="s">
        <v>248</v>
      </c>
      <c r="C214" s="49">
        <f>IFERROR(VLOOKUP(B214,[66]工程研发事业部人员名单!B:D,2,0),"")</f>
        <v>26688</v>
      </c>
      <c r="D214" s="50" t="str">
        <f>IFERROR(VLOOKUP(B214,[66]工程研发事业部人员名单!B:D,3,0),"")</f>
        <v>联络工程室</v>
      </c>
      <c r="E214" s="51" t="s">
        <v>191</v>
      </c>
      <c r="F214" s="52">
        <f t="shared" si="7"/>
        <v>166.68</v>
      </c>
      <c r="G214" s="53"/>
      <c r="H214" s="53"/>
      <c r="I214" s="115">
        <v>166.68</v>
      </c>
      <c r="J214" s="53"/>
      <c r="K214" s="57"/>
      <c r="L214" s="57"/>
      <c r="M214" s="123"/>
      <c r="N214" s="58">
        <f>VLOOKUP(E214,订单号!B:C,2,0)</f>
        <v>10502</v>
      </c>
      <c r="O214" s="35" t="e">
        <f>VLOOKUP(C214,领导干部!B:B,1,0)</f>
        <v>#N/A</v>
      </c>
    </row>
    <row r="215" s="35" customFormat="1" customHeight="1" spans="1:15">
      <c r="A215" s="47">
        <f t="shared" si="6"/>
        <v>214</v>
      </c>
      <c r="B215" s="48" t="s">
        <v>417</v>
      </c>
      <c r="C215" s="49">
        <f>IFERROR(VLOOKUP(B215,[66]工程研发事业部人员名单!B:D,2,0),"")</f>
        <v>27106</v>
      </c>
      <c r="D215" s="50" t="str">
        <f>IFERROR(VLOOKUP(B215,[66]工程研发事业部人员名单!B:D,3,0),"")</f>
        <v>联络工程室</v>
      </c>
      <c r="E215" s="51" t="s">
        <v>191</v>
      </c>
      <c r="F215" s="52">
        <f t="shared" si="7"/>
        <v>157.51</v>
      </c>
      <c r="G215" s="53"/>
      <c r="H215" s="53"/>
      <c r="I215" s="115">
        <v>157.51</v>
      </c>
      <c r="J215" s="53"/>
      <c r="K215" s="57"/>
      <c r="L215" s="57"/>
      <c r="M215" s="123"/>
      <c r="N215" s="58">
        <f>VLOOKUP(E215,订单号!B:C,2,0)</f>
        <v>10502</v>
      </c>
      <c r="O215" s="35" t="e">
        <f>VLOOKUP(C215,领导干部!B:B,1,0)</f>
        <v>#N/A</v>
      </c>
    </row>
    <row r="216" s="35" customFormat="1" customHeight="1" spans="1:15">
      <c r="A216" s="47">
        <f t="shared" si="6"/>
        <v>215</v>
      </c>
      <c r="B216" s="48" t="s">
        <v>318</v>
      </c>
      <c r="C216" s="49">
        <f>IFERROR(VLOOKUP(B216,[66]工程研发事业部人员名单!B:D,2,0),"")</f>
        <v>25603</v>
      </c>
      <c r="D216" s="50" t="str">
        <f>IFERROR(VLOOKUP(B216,[66]工程研发事业部人员名单!B:D,3,0),"")</f>
        <v>联络工程室</v>
      </c>
      <c r="E216" s="51" t="s">
        <v>191</v>
      </c>
      <c r="F216" s="52">
        <f t="shared" si="7"/>
        <v>193.5</v>
      </c>
      <c r="G216" s="53"/>
      <c r="H216" s="53"/>
      <c r="I216" s="115">
        <v>193.5</v>
      </c>
      <c r="J216" s="53"/>
      <c r="K216" s="57"/>
      <c r="L216" s="57"/>
      <c r="M216" s="123"/>
      <c r="N216" s="58">
        <f>VLOOKUP(E216,订单号!B:C,2,0)</f>
        <v>10502</v>
      </c>
      <c r="O216" s="35" t="e">
        <f>VLOOKUP(C216,领导干部!B:B,1,0)</f>
        <v>#N/A</v>
      </c>
    </row>
    <row r="217" s="35" customFormat="1" customHeight="1" spans="1:15">
      <c r="A217" s="47">
        <f t="shared" si="6"/>
        <v>216</v>
      </c>
      <c r="B217" s="48" t="s">
        <v>386</v>
      </c>
      <c r="C217" s="49">
        <f>IFERROR(VLOOKUP(B217,[66]工程研发事业部人员名单!B:D,2,0),"")</f>
        <v>17090</v>
      </c>
      <c r="D217" s="50" t="str">
        <f>IFERROR(VLOOKUP(B217,[66]工程研发事业部人员名单!B:D,3,0),"")</f>
        <v>联络工程室</v>
      </c>
      <c r="E217" s="51" t="s">
        <v>191</v>
      </c>
      <c r="F217" s="52">
        <f t="shared" si="7"/>
        <v>194</v>
      </c>
      <c r="G217" s="53"/>
      <c r="H217" s="53"/>
      <c r="I217" s="115">
        <v>194</v>
      </c>
      <c r="J217" s="53"/>
      <c r="K217" s="57"/>
      <c r="L217" s="57"/>
      <c r="M217" s="123"/>
      <c r="N217" s="58">
        <f>VLOOKUP(E217,订单号!B:C,2,0)</f>
        <v>10502</v>
      </c>
      <c r="O217" s="35" t="e">
        <f>VLOOKUP(C217,领导干部!B:B,1,0)</f>
        <v>#N/A</v>
      </c>
    </row>
    <row r="218" s="35" customFormat="1" customHeight="1" spans="1:15">
      <c r="A218" s="47">
        <f t="shared" si="6"/>
        <v>217</v>
      </c>
      <c r="B218" s="48" t="s">
        <v>266</v>
      </c>
      <c r="C218" s="49">
        <f>IFERROR(VLOOKUP(B218,[66]工程研发事业部人员名单!B:D,2,0),"")</f>
        <v>50275</v>
      </c>
      <c r="D218" s="50" t="str">
        <f>IFERROR(VLOOKUP(B218,[66]工程研发事业部人员名单!B:D,3,0),"")</f>
        <v>结构一室</v>
      </c>
      <c r="E218" s="51" t="s">
        <v>195</v>
      </c>
      <c r="F218" s="52">
        <f t="shared" si="7"/>
        <v>10</v>
      </c>
      <c r="G218" s="53"/>
      <c r="H218" s="53"/>
      <c r="I218" s="72">
        <v>10</v>
      </c>
      <c r="J218" s="53"/>
      <c r="K218" s="57" t="s">
        <v>255</v>
      </c>
      <c r="L218" s="57" t="s">
        <v>195</v>
      </c>
      <c r="M218" s="59" t="s">
        <v>559</v>
      </c>
      <c r="N218" s="58">
        <f>VLOOKUP(E218,订单号!B:C,2,0)</f>
        <v>0</v>
      </c>
      <c r="O218" s="35" t="e">
        <f>VLOOKUP(C218,领导干部!B:B,1,0)</f>
        <v>#N/A</v>
      </c>
    </row>
    <row r="219" s="35" customFormat="1" customHeight="1" spans="1:15">
      <c r="A219" s="47">
        <f t="shared" si="6"/>
        <v>218</v>
      </c>
      <c r="B219" s="54" t="s">
        <v>455</v>
      </c>
      <c r="C219" s="49">
        <f>IFERROR(VLOOKUP(B219,[66]工程研发事业部人员名单!B:D,2,0),"")</f>
        <v>51955</v>
      </c>
      <c r="D219" s="50" t="str">
        <f>IFERROR(VLOOKUP(B219,[66]工程研发事业部人员名单!B:D,3,0),"")</f>
        <v>结构一室</v>
      </c>
      <c r="E219" s="51" t="s">
        <v>195</v>
      </c>
      <c r="F219" s="52">
        <f t="shared" si="7"/>
        <v>5</v>
      </c>
      <c r="G219" s="53"/>
      <c r="H219" s="53"/>
      <c r="I219" s="75">
        <v>5</v>
      </c>
      <c r="J219" s="60"/>
      <c r="K219" s="57" t="s">
        <v>255</v>
      </c>
      <c r="L219" s="57" t="s">
        <v>195</v>
      </c>
      <c r="M219" s="59" t="s">
        <v>559</v>
      </c>
      <c r="N219" s="58">
        <f>VLOOKUP(E219,订单号!B:C,2,0)</f>
        <v>0</v>
      </c>
      <c r="O219" s="35" t="e">
        <f>VLOOKUP(C219,领导干部!B:B,1,0)</f>
        <v>#N/A</v>
      </c>
    </row>
    <row r="220" s="35" customFormat="1" customHeight="1" spans="1:15">
      <c r="A220" s="47">
        <f t="shared" si="6"/>
        <v>219</v>
      </c>
      <c r="B220" s="54" t="s">
        <v>259</v>
      </c>
      <c r="C220" s="49">
        <f>IFERROR(VLOOKUP(B220,[66]工程研发事业部人员名单!B:D,2,0),"")</f>
        <v>51784</v>
      </c>
      <c r="D220" s="50" t="str">
        <f>IFERROR(VLOOKUP(B220,[66]工程研发事业部人员名单!B:D,3,0),"")</f>
        <v>结构一室</v>
      </c>
      <c r="E220" s="51" t="s">
        <v>195</v>
      </c>
      <c r="F220" s="52">
        <f t="shared" si="7"/>
        <v>5</v>
      </c>
      <c r="G220" s="53"/>
      <c r="H220" s="53"/>
      <c r="I220" s="75">
        <v>5</v>
      </c>
      <c r="J220" s="60"/>
      <c r="K220" s="57" t="s">
        <v>255</v>
      </c>
      <c r="L220" s="57" t="s">
        <v>195</v>
      </c>
      <c r="M220" s="59" t="s">
        <v>559</v>
      </c>
      <c r="N220" s="58">
        <f>VLOOKUP(E220,订单号!B:C,2,0)</f>
        <v>0</v>
      </c>
      <c r="O220" s="35" t="e">
        <f>VLOOKUP(C220,领导干部!B:B,1,0)</f>
        <v>#N/A</v>
      </c>
    </row>
    <row r="221" s="35" customFormat="1" customHeight="1" spans="1:15">
      <c r="A221" s="47">
        <f t="shared" si="6"/>
        <v>220</v>
      </c>
      <c r="B221" s="54" t="s">
        <v>272</v>
      </c>
      <c r="C221" s="49">
        <f>IFERROR(VLOOKUP(B221,[66]工程研发事业部人员名单!B:D,2,0),"")</f>
        <v>50730</v>
      </c>
      <c r="D221" s="50" t="str">
        <f>IFERROR(VLOOKUP(B221,[66]工程研发事业部人员名单!B:D,3,0),"")</f>
        <v>结构一室</v>
      </c>
      <c r="E221" s="51" t="s">
        <v>195</v>
      </c>
      <c r="F221" s="52">
        <f t="shared" si="7"/>
        <v>10</v>
      </c>
      <c r="G221" s="53"/>
      <c r="H221" s="53"/>
      <c r="I221" s="75">
        <v>10</v>
      </c>
      <c r="J221" s="60"/>
      <c r="K221" s="57" t="s">
        <v>255</v>
      </c>
      <c r="L221" s="57" t="s">
        <v>195</v>
      </c>
      <c r="M221" s="59" t="s">
        <v>559</v>
      </c>
      <c r="N221" s="58">
        <f>VLOOKUP(E221,订单号!B:C,2,0)</f>
        <v>0</v>
      </c>
      <c r="O221" s="35" t="e">
        <f>VLOOKUP(C221,领导干部!B:B,1,0)</f>
        <v>#N/A</v>
      </c>
    </row>
    <row r="222" s="35" customFormat="1" customHeight="1" spans="1:15">
      <c r="A222" s="47">
        <f t="shared" si="6"/>
        <v>221</v>
      </c>
      <c r="B222" s="48" t="s">
        <v>220</v>
      </c>
      <c r="C222" s="49">
        <f>IFERROR(VLOOKUP(B222,[66]工程研发事业部人员名单!B:D,2,0),"")</f>
        <v>51405</v>
      </c>
      <c r="D222" s="50" t="str">
        <f>IFERROR(VLOOKUP(B222,[66]工程研发事业部人员名单!B:D,3,0),"")</f>
        <v>工程项目室 /适航工程室</v>
      </c>
      <c r="E222" s="51" t="s">
        <v>194</v>
      </c>
      <c r="F222" s="52">
        <f t="shared" si="7"/>
        <v>25</v>
      </c>
      <c r="G222" s="53"/>
      <c r="H222" s="53"/>
      <c r="I222" s="72">
        <v>25</v>
      </c>
      <c r="J222" s="53"/>
      <c r="K222" s="57" t="s">
        <v>214</v>
      </c>
      <c r="L222" s="57" t="s">
        <v>560</v>
      </c>
      <c r="M222" s="65" t="s">
        <v>561</v>
      </c>
      <c r="N222" s="58">
        <f>VLOOKUP(E222,订单号!B:C,2,0)</f>
        <v>0</v>
      </c>
      <c r="O222" s="35" t="e">
        <f>VLOOKUP(C222,领导干部!B:B,1,0)</f>
        <v>#N/A</v>
      </c>
    </row>
    <row r="223" s="35" customFormat="1" customHeight="1" spans="1:15">
      <c r="A223" s="47">
        <f t="shared" si="6"/>
        <v>222</v>
      </c>
      <c r="B223" s="48" t="s">
        <v>482</v>
      </c>
      <c r="C223" s="49">
        <f>IFERROR(VLOOKUP(B223,[66]工程研发事业部人员名单!B:D,2,0),"")</f>
        <v>50832</v>
      </c>
      <c r="D223" s="50" t="str">
        <f>IFERROR(VLOOKUP(B223,[66]工程研发事业部人员名单!B:D,3,0),"")</f>
        <v>联络工程室</v>
      </c>
      <c r="E223" s="51" t="s">
        <v>194</v>
      </c>
      <c r="F223" s="52">
        <f t="shared" si="7"/>
        <v>4</v>
      </c>
      <c r="G223" s="53"/>
      <c r="H223" s="53"/>
      <c r="I223" s="72">
        <v>4</v>
      </c>
      <c r="J223" s="53"/>
      <c r="K223" s="57" t="s">
        <v>329</v>
      </c>
      <c r="L223" s="57" t="s">
        <v>562</v>
      </c>
      <c r="M223" s="65" t="s">
        <v>563</v>
      </c>
      <c r="N223" s="58">
        <f>VLOOKUP(E223,订单号!B:C,2,0)</f>
        <v>0</v>
      </c>
      <c r="O223" s="35" t="e">
        <f>VLOOKUP(C223,领导干部!B:B,1,0)</f>
        <v>#N/A</v>
      </c>
    </row>
    <row r="224" s="35" customFormat="1" customHeight="1" spans="1:15">
      <c r="A224" s="47">
        <f t="shared" si="6"/>
        <v>223</v>
      </c>
      <c r="B224" s="48" t="s">
        <v>482</v>
      </c>
      <c r="C224" s="49">
        <f>IFERROR(VLOOKUP(B224,[66]工程研发事业部人员名单!B:D,2,0),"")</f>
        <v>50832</v>
      </c>
      <c r="D224" s="50" t="str">
        <f>IFERROR(VLOOKUP(B224,[66]工程研发事业部人员名单!B:D,3,0),"")</f>
        <v>联络工程室</v>
      </c>
      <c r="E224" s="51" t="s">
        <v>194</v>
      </c>
      <c r="F224" s="52">
        <f t="shared" si="7"/>
        <v>15</v>
      </c>
      <c r="G224" s="53"/>
      <c r="H224" s="53"/>
      <c r="I224" s="72">
        <v>15</v>
      </c>
      <c r="J224" s="53"/>
      <c r="K224" s="57" t="s">
        <v>329</v>
      </c>
      <c r="L224" s="57" t="s">
        <v>564</v>
      </c>
      <c r="M224" s="65" t="s">
        <v>565</v>
      </c>
      <c r="N224" s="58">
        <f>VLOOKUP(E224,订单号!B:C,2,0)</f>
        <v>0</v>
      </c>
      <c r="O224" s="35" t="e">
        <f>VLOOKUP(C224,领导干部!B:B,1,0)</f>
        <v>#N/A</v>
      </c>
    </row>
    <row r="225" s="35" customFormat="1" customHeight="1" spans="1:15">
      <c r="A225" s="47">
        <f t="shared" si="6"/>
        <v>224</v>
      </c>
      <c r="B225" s="63" t="s">
        <v>482</v>
      </c>
      <c r="C225" s="49">
        <f>IFERROR(VLOOKUP(B225,[66]工程研发事业部人员名单!B:D,2,0),"")</f>
        <v>50832</v>
      </c>
      <c r="D225" s="50" t="str">
        <f>IFERROR(VLOOKUP(B225,[66]工程研发事业部人员名单!B:D,3,0),"")</f>
        <v>联络工程室</v>
      </c>
      <c r="E225" s="51" t="s">
        <v>194</v>
      </c>
      <c r="F225" s="52">
        <f t="shared" si="7"/>
        <v>1</v>
      </c>
      <c r="G225" s="53"/>
      <c r="H225" s="53"/>
      <c r="I225" s="72">
        <v>1</v>
      </c>
      <c r="J225" s="53"/>
      <c r="K225" s="57" t="s">
        <v>329</v>
      </c>
      <c r="L225" s="57" t="s">
        <v>566</v>
      </c>
      <c r="M225" s="59" t="s">
        <v>567</v>
      </c>
      <c r="N225" s="58">
        <f>VLOOKUP(E225,订单号!B:C,2,0)</f>
        <v>0</v>
      </c>
      <c r="O225" s="35" t="e">
        <f>VLOOKUP(C225,领导干部!B:B,1,0)</f>
        <v>#N/A</v>
      </c>
    </row>
    <row r="226" s="35" customFormat="1" customHeight="1" spans="1:15">
      <c r="A226" s="47">
        <f t="shared" si="6"/>
        <v>225</v>
      </c>
      <c r="B226" s="48" t="s">
        <v>482</v>
      </c>
      <c r="C226" s="49">
        <f>IFERROR(VLOOKUP(B226,[66]工程研发事业部人员名单!B:D,2,0),"")</f>
        <v>50832</v>
      </c>
      <c r="D226" s="50" t="str">
        <f>IFERROR(VLOOKUP(B226,[66]工程研发事业部人员名单!B:D,3,0),"")</f>
        <v>联络工程室</v>
      </c>
      <c r="E226" s="51" t="s">
        <v>194</v>
      </c>
      <c r="F226" s="52">
        <f t="shared" si="7"/>
        <v>7</v>
      </c>
      <c r="G226" s="53"/>
      <c r="H226" s="53"/>
      <c r="I226" s="72">
        <v>7</v>
      </c>
      <c r="J226" s="53"/>
      <c r="K226" s="57" t="s">
        <v>329</v>
      </c>
      <c r="L226" s="57" t="s">
        <v>568</v>
      </c>
      <c r="M226" s="59" t="s">
        <v>569</v>
      </c>
      <c r="N226" s="58">
        <f>VLOOKUP(E226,订单号!B:C,2,0)</f>
        <v>0</v>
      </c>
      <c r="O226" s="35" t="e">
        <f>VLOOKUP(C226,领导干部!B:B,1,0)</f>
        <v>#N/A</v>
      </c>
    </row>
    <row r="227" s="35" customFormat="1" customHeight="1" spans="1:15">
      <c r="A227" s="47">
        <f t="shared" si="6"/>
        <v>226</v>
      </c>
      <c r="B227" s="48" t="s">
        <v>253</v>
      </c>
      <c r="C227" s="49">
        <f>IFERROR(VLOOKUP(B227,[66]工程研发事业部人员名单!B:D,2,0),"")</f>
        <v>17732</v>
      </c>
      <c r="D227" s="50" t="str">
        <f>IFERROR(VLOOKUP(B227,[66]工程研发事业部人员名单!B:D,3,0),"")</f>
        <v>联络工程室</v>
      </c>
      <c r="E227" s="51" t="s">
        <v>194</v>
      </c>
      <c r="F227" s="52">
        <f t="shared" si="7"/>
        <v>4</v>
      </c>
      <c r="G227" s="53"/>
      <c r="H227" s="53"/>
      <c r="I227" s="72">
        <v>4</v>
      </c>
      <c r="J227" s="53"/>
      <c r="K227" s="57" t="s">
        <v>329</v>
      </c>
      <c r="L227" s="57" t="s">
        <v>564</v>
      </c>
      <c r="M227" s="59" t="s">
        <v>570</v>
      </c>
      <c r="N227" s="58">
        <f>VLOOKUP(E227,订单号!B:C,2,0)</f>
        <v>0</v>
      </c>
      <c r="O227" s="35" t="e">
        <f>VLOOKUP(C227,领导干部!B:B,1,0)</f>
        <v>#N/A</v>
      </c>
    </row>
    <row r="228" s="35" customFormat="1" customHeight="1" spans="1:15">
      <c r="A228" s="47">
        <f t="shared" si="6"/>
        <v>227</v>
      </c>
      <c r="B228" s="48" t="s">
        <v>253</v>
      </c>
      <c r="C228" s="49">
        <f>IFERROR(VLOOKUP(B228,[66]工程研发事业部人员名单!B:D,2,0),"")</f>
        <v>17732</v>
      </c>
      <c r="D228" s="50" t="str">
        <f>IFERROR(VLOOKUP(B228,[66]工程研发事业部人员名单!B:D,3,0),"")</f>
        <v>联络工程室</v>
      </c>
      <c r="E228" s="51" t="s">
        <v>194</v>
      </c>
      <c r="F228" s="52">
        <f t="shared" si="7"/>
        <v>5</v>
      </c>
      <c r="G228" s="53"/>
      <c r="H228" s="53"/>
      <c r="I228" s="72">
        <v>5</v>
      </c>
      <c r="J228" s="53"/>
      <c r="K228" s="57" t="s">
        <v>329</v>
      </c>
      <c r="L228" s="57" t="s">
        <v>571</v>
      </c>
      <c r="M228" s="65" t="s">
        <v>572</v>
      </c>
      <c r="N228" s="58">
        <f>VLOOKUP(E228,订单号!B:C,2,0)</f>
        <v>0</v>
      </c>
      <c r="O228" s="35" t="e">
        <f>VLOOKUP(C228,领导干部!B:B,1,0)</f>
        <v>#N/A</v>
      </c>
    </row>
    <row r="229" s="35" customFormat="1" customHeight="1" spans="1:15">
      <c r="A229" s="47">
        <f t="shared" si="6"/>
        <v>228</v>
      </c>
      <c r="B229" s="48" t="s">
        <v>474</v>
      </c>
      <c r="C229" s="49">
        <f>IFERROR(VLOOKUP(B229,[66]工程研发事业部人员名单!B:D,2,0),"")</f>
        <v>50853</v>
      </c>
      <c r="D229" s="50" t="str">
        <f>IFERROR(VLOOKUP(B229,[66]工程研发事业部人员名单!B:D,3,0),"")</f>
        <v>联络工程室</v>
      </c>
      <c r="E229" s="51" t="s">
        <v>194</v>
      </c>
      <c r="F229" s="52">
        <f t="shared" si="7"/>
        <v>4</v>
      </c>
      <c r="G229" s="53"/>
      <c r="H229" s="53"/>
      <c r="I229" s="72">
        <v>4</v>
      </c>
      <c r="J229" s="53"/>
      <c r="K229" s="57" t="s">
        <v>329</v>
      </c>
      <c r="L229" s="57" t="s">
        <v>564</v>
      </c>
      <c r="M229" s="59" t="s">
        <v>570</v>
      </c>
      <c r="N229" s="58">
        <f>VLOOKUP(E229,订单号!B:C,2,0)</f>
        <v>0</v>
      </c>
      <c r="O229" s="35" t="e">
        <f>VLOOKUP(C229,领导干部!B:B,1,0)</f>
        <v>#N/A</v>
      </c>
    </row>
    <row r="230" s="35" customFormat="1" customHeight="1" spans="1:15">
      <c r="A230" s="47">
        <f t="shared" si="6"/>
        <v>229</v>
      </c>
      <c r="B230" s="48" t="s">
        <v>427</v>
      </c>
      <c r="C230" s="49">
        <f>IFERROR(VLOOKUP(B230,[66]工程研发事业部人员名单!B:D,2,0),"")</f>
        <v>18672</v>
      </c>
      <c r="D230" s="50" t="str">
        <f>IFERROR(VLOOKUP(B230,[66]工程研发事业部人员名单!B:D,3,0),"")</f>
        <v>联络工程室</v>
      </c>
      <c r="E230" s="51" t="s">
        <v>194</v>
      </c>
      <c r="F230" s="52">
        <f t="shared" si="7"/>
        <v>4</v>
      </c>
      <c r="G230" s="53"/>
      <c r="H230" s="53"/>
      <c r="I230" s="72">
        <v>4</v>
      </c>
      <c r="J230" s="53"/>
      <c r="K230" s="57" t="s">
        <v>329</v>
      </c>
      <c r="L230" s="57" t="s">
        <v>564</v>
      </c>
      <c r="M230" s="59" t="s">
        <v>570</v>
      </c>
      <c r="N230" s="58">
        <f>VLOOKUP(E230,订单号!B:C,2,0)</f>
        <v>0</v>
      </c>
      <c r="O230" s="35" t="e">
        <f>VLOOKUP(C230,领导干部!B:B,1,0)</f>
        <v>#N/A</v>
      </c>
    </row>
    <row r="231" s="35" customFormat="1" customHeight="1" spans="1:15">
      <c r="A231" s="47">
        <f t="shared" si="6"/>
        <v>230</v>
      </c>
      <c r="B231" s="48" t="s">
        <v>272</v>
      </c>
      <c r="C231" s="49">
        <f>IFERROR(VLOOKUP(B231,[66]工程研发事业部人员名单!B:D,2,0),"")</f>
        <v>50730</v>
      </c>
      <c r="D231" s="50" t="str">
        <f>IFERROR(VLOOKUP(B231,[66]工程研发事业部人员名单!B:D,3,0),"")</f>
        <v>结构一室</v>
      </c>
      <c r="E231" s="51" t="s">
        <v>194</v>
      </c>
      <c r="F231" s="52">
        <f t="shared" si="7"/>
        <v>100</v>
      </c>
      <c r="G231" s="53"/>
      <c r="H231" s="53"/>
      <c r="I231" s="72">
        <v>90</v>
      </c>
      <c r="J231" s="53">
        <v>10</v>
      </c>
      <c r="K231" s="57" t="s">
        <v>255</v>
      </c>
      <c r="L231" s="57" t="s">
        <v>573</v>
      </c>
      <c r="M231" s="59" t="s">
        <v>574</v>
      </c>
      <c r="N231" s="58">
        <f>VLOOKUP(E231,订单号!B:C,2,0)</f>
        <v>0</v>
      </c>
      <c r="O231" s="35" t="e">
        <f>VLOOKUP(C231,领导干部!B:B,1,0)</f>
        <v>#N/A</v>
      </c>
    </row>
    <row r="232" s="35" customFormat="1" customHeight="1" spans="1:15">
      <c r="A232" s="47">
        <f t="shared" si="6"/>
        <v>231</v>
      </c>
      <c r="B232" s="54" t="s">
        <v>228</v>
      </c>
      <c r="C232" s="49">
        <f>IFERROR(VLOOKUP(B232,[66]工程研发事业部人员名单!B:D,2,0),"")</f>
        <v>51181</v>
      </c>
      <c r="D232" s="50" t="str">
        <f>IFERROR(VLOOKUP(B232,[66]工程研发事业部人员名单!B:D,3,0),"")</f>
        <v>强度室</v>
      </c>
      <c r="E232" s="51" t="s">
        <v>194</v>
      </c>
      <c r="F232" s="52">
        <f t="shared" si="7"/>
        <v>20</v>
      </c>
      <c r="G232" s="53"/>
      <c r="H232" s="53"/>
      <c r="I232" s="75">
        <v>20</v>
      </c>
      <c r="J232" s="60"/>
      <c r="K232" s="57" t="s">
        <v>277</v>
      </c>
      <c r="L232" s="57" t="s">
        <v>573</v>
      </c>
      <c r="M232" s="61" t="s">
        <v>575</v>
      </c>
      <c r="N232" s="58">
        <f>VLOOKUP(E232,订单号!B:C,2,0)</f>
        <v>0</v>
      </c>
      <c r="O232" s="35" t="e">
        <f>VLOOKUP(C232,领导干部!B:B,1,0)</f>
        <v>#N/A</v>
      </c>
    </row>
    <row r="233" s="35" customFormat="1" customHeight="1" spans="1:15">
      <c r="A233" s="47">
        <f t="shared" si="6"/>
        <v>232</v>
      </c>
      <c r="B233" s="54" t="s">
        <v>266</v>
      </c>
      <c r="C233" s="49">
        <f>IFERROR(VLOOKUP(B233,[66]工程研发事业部人员名单!B:D,2,0),"")</f>
        <v>50275</v>
      </c>
      <c r="D233" s="50" t="str">
        <f>IFERROR(VLOOKUP(B233,[66]工程研发事业部人员名单!B:D,3,0),"")</f>
        <v>结构一室</v>
      </c>
      <c r="E233" s="51" t="s">
        <v>194</v>
      </c>
      <c r="F233" s="52">
        <f t="shared" si="7"/>
        <v>8</v>
      </c>
      <c r="G233" s="53"/>
      <c r="H233" s="53"/>
      <c r="I233" s="75">
        <v>8</v>
      </c>
      <c r="J233" s="60"/>
      <c r="K233" s="57" t="s">
        <v>255</v>
      </c>
      <c r="L233" s="57" t="s">
        <v>573</v>
      </c>
      <c r="M233" s="61" t="s">
        <v>576</v>
      </c>
      <c r="N233" s="58">
        <f>VLOOKUP(E233,订单号!B:C,2,0)</f>
        <v>0</v>
      </c>
      <c r="O233" s="35" t="e">
        <f>VLOOKUP(C233,领导干部!B:B,1,0)</f>
        <v>#N/A</v>
      </c>
    </row>
    <row r="234" s="35" customFormat="1" customHeight="1" spans="1:15">
      <c r="A234" s="47">
        <f t="shared" si="6"/>
        <v>233</v>
      </c>
      <c r="B234" s="48" t="s">
        <v>272</v>
      </c>
      <c r="C234" s="49">
        <f>IFERROR(VLOOKUP(B234,[66]工程研发事业部人员名单!B:D,2,0),"")</f>
        <v>50730</v>
      </c>
      <c r="D234" s="50" t="str">
        <f>IFERROR(VLOOKUP(B234,[66]工程研发事业部人员名单!B:D,3,0),"")</f>
        <v>结构一室</v>
      </c>
      <c r="E234" s="51" t="s">
        <v>194</v>
      </c>
      <c r="F234" s="52">
        <f t="shared" si="7"/>
        <v>45</v>
      </c>
      <c r="G234" s="53"/>
      <c r="H234" s="53"/>
      <c r="I234" s="72">
        <v>45</v>
      </c>
      <c r="J234" s="53"/>
      <c r="K234" s="57" t="s">
        <v>255</v>
      </c>
      <c r="L234" s="57" t="s">
        <v>577</v>
      </c>
      <c r="M234" s="59" t="s">
        <v>578</v>
      </c>
      <c r="N234" s="58">
        <f>VLOOKUP(E234,订单号!B:C,2,0)</f>
        <v>0</v>
      </c>
      <c r="O234" s="35" t="e">
        <f>VLOOKUP(C234,领导干部!B:B,1,0)</f>
        <v>#N/A</v>
      </c>
    </row>
    <row r="235" s="35" customFormat="1" customHeight="1" spans="1:15">
      <c r="A235" s="47">
        <f t="shared" si="6"/>
        <v>234</v>
      </c>
      <c r="B235" s="48" t="s">
        <v>472</v>
      </c>
      <c r="C235" s="49">
        <f>IFERROR(VLOOKUP(B235,[66]工程研发事业部人员名单!B:D,2,0),"")</f>
        <v>51165</v>
      </c>
      <c r="D235" s="50" t="str">
        <f>IFERROR(VLOOKUP(B235,[66]工程研发事业部人员名单!B:D,3,0),"")</f>
        <v>结构一室</v>
      </c>
      <c r="E235" s="51" t="s">
        <v>194</v>
      </c>
      <c r="F235" s="52">
        <f t="shared" si="7"/>
        <v>10</v>
      </c>
      <c r="G235" s="53"/>
      <c r="H235" s="53"/>
      <c r="I235" s="72">
        <v>10</v>
      </c>
      <c r="J235" s="53"/>
      <c r="K235" s="57" t="s">
        <v>255</v>
      </c>
      <c r="L235" s="57" t="s">
        <v>577</v>
      </c>
      <c r="M235" s="59" t="s">
        <v>579</v>
      </c>
      <c r="N235" s="58">
        <f>VLOOKUP(E235,订单号!B:C,2,0)</f>
        <v>0</v>
      </c>
      <c r="O235" s="35" t="e">
        <f>VLOOKUP(C235,领导干部!B:B,1,0)</f>
        <v>#N/A</v>
      </c>
    </row>
    <row r="236" s="35" customFormat="1" customHeight="1" spans="1:15">
      <c r="A236" s="47">
        <f t="shared" si="6"/>
        <v>235</v>
      </c>
      <c r="B236" s="54" t="s">
        <v>455</v>
      </c>
      <c r="C236" s="49">
        <f>IFERROR(VLOOKUP(B236,[66]工程研发事业部人员名单!B:D,2,0),"")</f>
        <v>51955</v>
      </c>
      <c r="D236" s="50" t="str">
        <f>IFERROR(VLOOKUP(B236,[66]工程研发事业部人员名单!B:D,3,0),"")</f>
        <v>结构一室</v>
      </c>
      <c r="E236" s="51" t="s">
        <v>194</v>
      </c>
      <c r="F236" s="52">
        <f t="shared" si="7"/>
        <v>20</v>
      </c>
      <c r="G236" s="53"/>
      <c r="H236" s="53"/>
      <c r="I236" s="75">
        <v>20</v>
      </c>
      <c r="J236" s="60"/>
      <c r="K236" s="57" t="s">
        <v>255</v>
      </c>
      <c r="L236" s="57" t="s">
        <v>577</v>
      </c>
      <c r="M236" s="59" t="s">
        <v>580</v>
      </c>
      <c r="N236" s="58">
        <f>VLOOKUP(E236,订单号!B:C,2,0)</f>
        <v>0</v>
      </c>
      <c r="O236" s="35" t="e">
        <f>VLOOKUP(C236,领导干部!B:B,1,0)</f>
        <v>#N/A</v>
      </c>
    </row>
    <row r="237" s="35" customFormat="1" customHeight="1" spans="1:15">
      <c r="A237" s="47">
        <f t="shared" si="6"/>
        <v>236</v>
      </c>
      <c r="B237" s="54" t="s">
        <v>234</v>
      </c>
      <c r="C237" s="49">
        <f>IFERROR(VLOOKUP(B237,[66]工程研发事业部人员名单!B:D,2,0),"")</f>
        <v>50281</v>
      </c>
      <c r="D237" s="50" t="str">
        <f>IFERROR(VLOOKUP(B237,[66]工程研发事业部人员名单!B:D,3,0),"")</f>
        <v>结构一室</v>
      </c>
      <c r="E237" s="51" t="s">
        <v>194</v>
      </c>
      <c r="F237" s="52">
        <f t="shared" si="7"/>
        <v>10</v>
      </c>
      <c r="G237" s="53"/>
      <c r="H237" s="53"/>
      <c r="I237" s="75">
        <v>10</v>
      </c>
      <c r="J237" s="60"/>
      <c r="K237" s="57" t="s">
        <v>255</v>
      </c>
      <c r="L237" s="57" t="s">
        <v>577</v>
      </c>
      <c r="M237" s="59" t="s">
        <v>581</v>
      </c>
      <c r="N237" s="58">
        <f>VLOOKUP(E237,订单号!B:C,2,0)</f>
        <v>0</v>
      </c>
      <c r="O237" s="35" t="e">
        <f>VLOOKUP(C237,领导干部!B:B,1,0)</f>
        <v>#N/A</v>
      </c>
    </row>
    <row r="238" s="35" customFormat="1" customHeight="1" spans="1:15">
      <c r="A238" s="47">
        <f t="shared" si="6"/>
        <v>237</v>
      </c>
      <c r="B238" s="48" t="s">
        <v>272</v>
      </c>
      <c r="C238" s="49">
        <f>IFERROR(VLOOKUP(B238,[66]工程研发事业部人员名单!B:D,2,0),"")</f>
        <v>50730</v>
      </c>
      <c r="D238" s="50" t="str">
        <f>IFERROR(VLOOKUP(B238,[66]工程研发事业部人员名单!B:D,3,0),"")</f>
        <v>结构一室</v>
      </c>
      <c r="E238" s="51" t="s">
        <v>194</v>
      </c>
      <c r="F238" s="52">
        <f t="shared" si="7"/>
        <v>20</v>
      </c>
      <c r="G238" s="53"/>
      <c r="H238" s="53"/>
      <c r="I238" s="72">
        <v>20</v>
      </c>
      <c r="J238" s="53"/>
      <c r="K238" s="57" t="s">
        <v>255</v>
      </c>
      <c r="L238" s="57" t="s">
        <v>582</v>
      </c>
      <c r="M238" s="59" t="s">
        <v>583</v>
      </c>
      <c r="N238" s="58">
        <f>VLOOKUP(E238,订单号!B:C,2,0)</f>
        <v>0</v>
      </c>
      <c r="O238" s="35" t="e">
        <f>VLOOKUP(C238,领导干部!B:B,1,0)</f>
        <v>#N/A</v>
      </c>
    </row>
    <row r="239" s="35" customFormat="1" customHeight="1" spans="1:15">
      <c r="A239" s="47">
        <f t="shared" si="6"/>
        <v>238</v>
      </c>
      <c r="B239" s="54" t="s">
        <v>455</v>
      </c>
      <c r="C239" s="49">
        <f>IFERROR(VLOOKUP(B239,[66]工程研发事业部人员名单!B:D,2,0),"")</f>
        <v>51955</v>
      </c>
      <c r="D239" s="50" t="str">
        <f>IFERROR(VLOOKUP(B239,[66]工程研发事业部人员名单!B:D,3,0),"")</f>
        <v>结构一室</v>
      </c>
      <c r="E239" s="51" t="s">
        <v>194</v>
      </c>
      <c r="F239" s="52">
        <f t="shared" si="7"/>
        <v>20</v>
      </c>
      <c r="G239" s="53"/>
      <c r="H239" s="53"/>
      <c r="I239" s="75">
        <v>20</v>
      </c>
      <c r="J239" s="60"/>
      <c r="K239" s="57" t="s">
        <v>255</v>
      </c>
      <c r="L239" s="57" t="s">
        <v>582</v>
      </c>
      <c r="M239" s="61" t="s">
        <v>584</v>
      </c>
      <c r="N239" s="58">
        <f>VLOOKUP(E239,订单号!B:C,2,0)</f>
        <v>0</v>
      </c>
      <c r="O239" s="35" t="e">
        <f>VLOOKUP(C239,领导干部!B:B,1,0)</f>
        <v>#N/A</v>
      </c>
    </row>
    <row r="240" s="35" customFormat="1" customHeight="1" spans="1:15">
      <c r="A240" s="47">
        <f t="shared" si="6"/>
        <v>239</v>
      </c>
      <c r="B240" s="48" t="s">
        <v>257</v>
      </c>
      <c r="C240" s="49">
        <f>IFERROR(VLOOKUP(B240,[66]工程研发事业部人员名单!B:D,2,0),"")</f>
        <v>51410</v>
      </c>
      <c r="D240" s="50" t="str">
        <f>IFERROR(VLOOKUP(B240,[66]工程研发事业部人员名单!B:D,3,0),"")</f>
        <v>结构一室</v>
      </c>
      <c r="E240" s="51" t="s">
        <v>194</v>
      </c>
      <c r="F240" s="52">
        <f t="shared" si="7"/>
        <v>20</v>
      </c>
      <c r="G240" s="53"/>
      <c r="H240" s="53"/>
      <c r="I240" s="72">
        <v>20</v>
      </c>
      <c r="J240" s="53"/>
      <c r="K240" s="57" t="s">
        <v>255</v>
      </c>
      <c r="L240" s="57" t="s">
        <v>582</v>
      </c>
      <c r="M240" s="61"/>
      <c r="N240" s="58">
        <f>VLOOKUP(E240,订单号!B:C,2,0)</f>
        <v>0</v>
      </c>
      <c r="O240" s="35" t="e">
        <f>VLOOKUP(C240,领导干部!B:B,1,0)</f>
        <v>#N/A</v>
      </c>
    </row>
    <row r="241" s="35" customFormat="1" customHeight="1" spans="1:15">
      <c r="A241" s="47">
        <f t="shared" si="6"/>
        <v>240</v>
      </c>
      <c r="B241" s="48" t="s">
        <v>322</v>
      </c>
      <c r="C241" s="49">
        <f>IFERROR(VLOOKUP(B241,[66]工程研发事业部人员名单!B:D,2,0),"")</f>
        <v>51186</v>
      </c>
      <c r="D241" s="50" t="str">
        <f>IFERROR(VLOOKUP(B241,[66]工程研发事业部人员名单!B:D,3,0),"")</f>
        <v>结构二室</v>
      </c>
      <c r="E241" s="51" t="s">
        <v>194</v>
      </c>
      <c r="F241" s="52">
        <f t="shared" si="7"/>
        <v>20</v>
      </c>
      <c r="G241" s="53"/>
      <c r="H241" s="53"/>
      <c r="I241" s="72">
        <v>20</v>
      </c>
      <c r="J241" s="53"/>
      <c r="K241" s="57" t="s">
        <v>255</v>
      </c>
      <c r="L241" s="57" t="s">
        <v>582</v>
      </c>
      <c r="M241" s="65" t="s">
        <v>585</v>
      </c>
      <c r="N241" s="58">
        <f>VLOOKUP(E241,订单号!B:C,2,0)</f>
        <v>0</v>
      </c>
      <c r="O241" s="35" t="e">
        <f>VLOOKUP(C241,领导干部!B:B,1,0)</f>
        <v>#N/A</v>
      </c>
    </row>
    <row r="242" s="35" customFormat="1" customHeight="1" spans="1:15">
      <c r="A242" s="47">
        <f t="shared" si="6"/>
        <v>241</v>
      </c>
      <c r="B242" s="48" t="s">
        <v>384</v>
      </c>
      <c r="C242" s="49">
        <f>IFERROR(VLOOKUP(B242,[66]工程研发事业部人员名单!B:D,2,0),"")</f>
        <v>50710</v>
      </c>
      <c r="D242" s="50" t="str">
        <f>IFERROR(VLOOKUP(B242,[66]工程研发事业部人员名单!B:D,3,0),"")</f>
        <v>结构二室</v>
      </c>
      <c r="E242" s="51" t="s">
        <v>194</v>
      </c>
      <c r="F242" s="52">
        <f t="shared" si="7"/>
        <v>20</v>
      </c>
      <c r="G242" s="53"/>
      <c r="H242" s="53"/>
      <c r="I242" s="72">
        <v>20</v>
      </c>
      <c r="J242" s="53"/>
      <c r="K242" s="57" t="s">
        <v>255</v>
      </c>
      <c r="L242" s="57" t="s">
        <v>582</v>
      </c>
      <c r="M242" s="65" t="s">
        <v>585</v>
      </c>
      <c r="N242" s="58">
        <f>VLOOKUP(E242,订单号!B:C,2,0)</f>
        <v>0</v>
      </c>
      <c r="O242" s="35" t="e">
        <f>VLOOKUP(C242,领导干部!B:B,1,0)</f>
        <v>#N/A</v>
      </c>
    </row>
    <row r="243" s="35" customFormat="1" customHeight="1" spans="1:15">
      <c r="A243" s="47">
        <f t="shared" si="6"/>
        <v>242</v>
      </c>
      <c r="B243" s="48" t="s">
        <v>308</v>
      </c>
      <c r="C243" s="49">
        <f>IFERROR(VLOOKUP(B243,[66]工程研发事业部人员名单!B:D,2,0),"")</f>
        <v>50022</v>
      </c>
      <c r="D243" s="50" t="str">
        <f>IFERROR(VLOOKUP(B243,[66]工程研发事业部人员名单!B:D,3,0),"")</f>
        <v>结构二室</v>
      </c>
      <c r="E243" s="51" t="s">
        <v>194</v>
      </c>
      <c r="F243" s="52">
        <f t="shared" si="7"/>
        <v>20</v>
      </c>
      <c r="G243" s="53"/>
      <c r="H243" s="53"/>
      <c r="I243" s="72">
        <v>20</v>
      </c>
      <c r="J243" s="53"/>
      <c r="K243" s="57" t="s">
        <v>255</v>
      </c>
      <c r="L243" s="57" t="s">
        <v>582</v>
      </c>
      <c r="M243" s="65" t="s">
        <v>585</v>
      </c>
      <c r="N243" s="58">
        <f>VLOOKUP(E243,订单号!B:C,2,0)</f>
        <v>0</v>
      </c>
      <c r="O243" s="35" t="e">
        <f>VLOOKUP(C243,领导干部!B:B,1,0)</f>
        <v>#N/A</v>
      </c>
    </row>
    <row r="244" s="35" customFormat="1" customHeight="1" spans="1:15">
      <c r="A244" s="47">
        <f t="shared" si="6"/>
        <v>243</v>
      </c>
      <c r="B244" s="54" t="s">
        <v>455</v>
      </c>
      <c r="C244" s="49">
        <f>IFERROR(VLOOKUP(B244,[66]工程研发事业部人员名单!B:D,2,0),"")</f>
        <v>51955</v>
      </c>
      <c r="D244" s="50" t="str">
        <f>IFERROR(VLOOKUP(B244,[66]工程研发事业部人员名单!B:D,3,0),"")</f>
        <v>结构一室</v>
      </c>
      <c r="E244" s="57" t="s">
        <v>194</v>
      </c>
      <c r="F244" s="52">
        <f t="shared" si="7"/>
        <v>15</v>
      </c>
      <c r="G244" s="53"/>
      <c r="H244" s="53"/>
      <c r="I244" s="75">
        <v>15</v>
      </c>
      <c r="J244" s="60"/>
      <c r="K244" s="57" t="s">
        <v>255</v>
      </c>
      <c r="L244" s="57" t="s">
        <v>586</v>
      </c>
      <c r="M244" s="58" t="s">
        <v>587</v>
      </c>
      <c r="N244" s="58">
        <f>VLOOKUP(E244,订单号!B:C,2,0)</f>
        <v>0</v>
      </c>
      <c r="O244" s="35" t="e">
        <f>VLOOKUP(C244,领导干部!B:B,1,0)</f>
        <v>#N/A</v>
      </c>
    </row>
    <row r="245" s="35" customFormat="1" customHeight="1" spans="1:15">
      <c r="A245" s="47">
        <f t="shared" si="6"/>
        <v>244</v>
      </c>
      <c r="B245" s="54" t="s">
        <v>455</v>
      </c>
      <c r="C245" s="49">
        <f>IFERROR(VLOOKUP(B245,[66]工程研发事业部人员名单!B:D,2,0),"")</f>
        <v>51955</v>
      </c>
      <c r="D245" s="50" t="str">
        <f>IFERROR(VLOOKUP(B245,[66]工程研发事业部人员名单!B:D,3,0),"")</f>
        <v>结构一室</v>
      </c>
      <c r="E245" s="57" t="s">
        <v>194</v>
      </c>
      <c r="F245" s="52">
        <f t="shared" si="7"/>
        <v>22.5</v>
      </c>
      <c r="G245" s="53"/>
      <c r="H245" s="53"/>
      <c r="I245" s="75">
        <v>22.5</v>
      </c>
      <c r="J245" s="60"/>
      <c r="K245" s="57" t="s">
        <v>255</v>
      </c>
      <c r="L245" s="57" t="s">
        <v>588</v>
      </c>
      <c r="M245" s="61" t="s">
        <v>589</v>
      </c>
      <c r="N245" s="58">
        <f>VLOOKUP(E245,订单号!B:C,2,0)</f>
        <v>0</v>
      </c>
      <c r="O245" s="35" t="e">
        <f>VLOOKUP(C245,领导干部!B:B,1,0)</f>
        <v>#N/A</v>
      </c>
    </row>
    <row r="246" s="35" customFormat="1" customHeight="1" spans="1:15">
      <c r="A246" s="47">
        <f t="shared" si="6"/>
        <v>245</v>
      </c>
      <c r="B246" s="48" t="s">
        <v>259</v>
      </c>
      <c r="C246" s="49">
        <f>IFERROR(VLOOKUP(B246,[66]工程研发事业部人员名单!B:D,2,0),"")</f>
        <v>51784</v>
      </c>
      <c r="D246" s="50" t="str">
        <f>IFERROR(VLOOKUP(B246,[66]工程研发事业部人员名单!B:D,3,0),"")</f>
        <v>结构一室</v>
      </c>
      <c r="E246" s="51" t="s">
        <v>194</v>
      </c>
      <c r="F246" s="52">
        <f t="shared" si="7"/>
        <v>50</v>
      </c>
      <c r="G246" s="53"/>
      <c r="H246" s="53"/>
      <c r="I246" s="72">
        <v>50</v>
      </c>
      <c r="J246" s="53"/>
      <c r="K246" s="57" t="s">
        <v>255</v>
      </c>
      <c r="L246" s="57" t="s">
        <v>590</v>
      </c>
      <c r="M246" s="65" t="s">
        <v>591</v>
      </c>
      <c r="N246" s="58">
        <f>VLOOKUP(E246,订单号!B:C,2,0)</f>
        <v>0</v>
      </c>
      <c r="O246" s="35" t="e">
        <f>VLOOKUP(C246,领导干部!B:B,1,0)</f>
        <v>#N/A</v>
      </c>
    </row>
    <row r="247" s="35" customFormat="1" customHeight="1" spans="1:15">
      <c r="A247" s="47">
        <f t="shared" si="6"/>
        <v>246</v>
      </c>
      <c r="B247" s="48" t="s">
        <v>95</v>
      </c>
      <c r="C247" s="49">
        <f>IFERROR(VLOOKUP(B247,[66]工程研发事业部人员名单!B:D,2,0),"")</f>
        <v>52579</v>
      </c>
      <c r="D247" s="50" t="str">
        <f>IFERROR(VLOOKUP(B247,[66]工程研发事业部人员名单!B:D,3,0),"")</f>
        <v>结构一室</v>
      </c>
      <c r="E247" s="57" t="s">
        <v>194</v>
      </c>
      <c r="F247" s="52">
        <f t="shared" si="7"/>
        <v>17</v>
      </c>
      <c r="G247" s="53"/>
      <c r="H247" s="53"/>
      <c r="I247" s="72">
        <v>17</v>
      </c>
      <c r="J247" s="53"/>
      <c r="K247" s="57" t="s">
        <v>255</v>
      </c>
      <c r="L247" s="57" t="s">
        <v>590</v>
      </c>
      <c r="M247" s="59" t="s">
        <v>592</v>
      </c>
      <c r="N247" s="58">
        <f>VLOOKUP(E247,订单号!B:C,2,0)</f>
        <v>0</v>
      </c>
      <c r="O247" s="35" t="e">
        <f>VLOOKUP(C247,领导干部!B:B,1,0)</f>
        <v>#N/A</v>
      </c>
    </row>
    <row r="248" s="35" customFormat="1" customHeight="1" spans="1:15">
      <c r="A248" s="47">
        <f t="shared" si="6"/>
        <v>247</v>
      </c>
      <c r="B248" s="48" t="s">
        <v>375</v>
      </c>
      <c r="C248" s="49">
        <f>IFERROR(VLOOKUP(B248,[66]工程研发事业部人员名单!B:D,2,0),"")</f>
        <v>22298</v>
      </c>
      <c r="D248" s="50" t="str">
        <f>IFERROR(VLOOKUP(B248,[66]工程研发事业部人员名单!B:D,3,0),"")</f>
        <v>结构二室</v>
      </c>
      <c r="E248" s="51" t="s">
        <v>194</v>
      </c>
      <c r="F248" s="52">
        <f t="shared" si="7"/>
        <v>45</v>
      </c>
      <c r="G248" s="53"/>
      <c r="H248" s="53"/>
      <c r="I248" s="72">
        <v>45</v>
      </c>
      <c r="J248" s="53"/>
      <c r="K248" s="57" t="s">
        <v>255</v>
      </c>
      <c r="L248" s="57" t="s">
        <v>590</v>
      </c>
      <c r="M248" s="65" t="s">
        <v>593</v>
      </c>
      <c r="N248" s="58">
        <f>VLOOKUP(E248,订单号!B:C,2,0)</f>
        <v>0</v>
      </c>
      <c r="O248" s="35" t="e">
        <f>VLOOKUP(C248,领导干部!B:B,1,0)</f>
        <v>#N/A</v>
      </c>
    </row>
    <row r="249" s="35" customFormat="1" customHeight="1" spans="1:15">
      <c r="A249" s="47">
        <f t="shared" si="6"/>
        <v>248</v>
      </c>
      <c r="B249" s="48" t="s">
        <v>272</v>
      </c>
      <c r="C249" s="49">
        <f>IFERROR(VLOOKUP(B249,[66]工程研发事业部人员名单!B:D,2,0),"")</f>
        <v>50730</v>
      </c>
      <c r="D249" s="50" t="str">
        <f>IFERROR(VLOOKUP(B249,[66]工程研发事业部人员名单!B:D,3,0),"")</f>
        <v>结构一室</v>
      </c>
      <c r="E249" s="51" t="s">
        <v>194</v>
      </c>
      <c r="F249" s="52">
        <f t="shared" si="7"/>
        <v>10</v>
      </c>
      <c r="G249" s="53"/>
      <c r="H249" s="53"/>
      <c r="I249" s="72">
        <v>10</v>
      </c>
      <c r="J249" s="53"/>
      <c r="K249" s="57" t="s">
        <v>255</v>
      </c>
      <c r="L249" s="57" t="s">
        <v>590</v>
      </c>
      <c r="M249" s="65" t="s">
        <v>594</v>
      </c>
      <c r="N249" s="58">
        <f>VLOOKUP(E249,订单号!B:C,2,0)</f>
        <v>0</v>
      </c>
      <c r="O249" s="35" t="e">
        <f>VLOOKUP(C249,领导干部!B:B,1,0)</f>
        <v>#N/A</v>
      </c>
    </row>
    <row r="250" s="35" customFormat="1" customHeight="1" spans="1:15">
      <c r="A250" s="47">
        <f t="shared" si="6"/>
        <v>249</v>
      </c>
      <c r="B250" s="48" t="s">
        <v>257</v>
      </c>
      <c r="C250" s="49">
        <f>IFERROR(VLOOKUP(B250,[66]工程研发事业部人员名单!B:D,2,0),"")</f>
        <v>51410</v>
      </c>
      <c r="D250" s="50" t="str">
        <f>IFERROR(VLOOKUP(B250,[66]工程研发事业部人员名单!B:D,3,0),"")</f>
        <v>结构一室</v>
      </c>
      <c r="E250" s="51" t="s">
        <v>194</v>
      </c>
      <c r="F250" s="52">
        <f t="shared" si="7"/>
        <v>80</v>
      </c>
      <c r="G250" s="53"/>
      <c r="H250" s="53"/>
      <c r="I250" s="72">
        <v>80</v>
      </c>
      <c r="J250" s="53"/>
      <c r="K250" s="57" t="s">
        <v>255</v>
      </c>
      <c r="L250" s="57" t="s">
        <v>595</v>
      </c>
      <c r="M250" s="59" t="s">
        <v>596</v>
      </c>
      <c r="N250" s="58">
        <f>VLOOKUP(E250,订单号!B:C,2,0)</f>
        <v>0</v>
      </c>
      <c r="O250" s="35" t="e">
        <f>VLOOKUP(C250,领导干部!B:B,1,0)</f>
        <v>#N/A</v>
      </c>
    </row>
    <row r="251" s="35" customFormat="1" customHeight="1" spans="1:15">
      <c r="A251" s="47">
        <f t="shared" si="6"/>
        <v>250</v>
      </c>
      <c r="B251" s="48" t="s">
        <v>314</v>
      </c>
      <c r="C251" s="49">
        <f>IFERROR(VLOOKUP(B251,[66]工程研发事业部人员名单!B:D,2,0),"")</f>
        <v>51407</v>
      </c>
      <c r="D251" s="50" t="str">
        <f>IFERROR(VLOOKUP(B251,[66]工程研发事业部人员名单!B:D,3,0),"")</f>
        <v>结构二室</v>
      </c>
      <c r="E251" s="51" t="s">
        <v>194</v>
      </c>
      <c r="F251" s="52">
        <f t="shared" si="7"/>
        <v>20</v>
      </c>
      <c r="G251" s="53"/>
      <c r="H251" s="53"/>
      <c r="I251" s="72">
        <v>20</v>
      </c>
      <c r="J251" s="53"/>
      <c r="K251" s="57" t="s">
        <v>255</v>
      </c>
      <c r="L251" s="57" t="s">
        <v>597</v>
      </c>
      <c r="M251" s="65" t="s">
        <v>598</v>
      </c>
      <c r="N251" s="58">
        <f>VLOOKUP(E251,订单号!B:C,2,0)</f>
        <v>0</v>
      </c>
      <c r="O251" s="35" t="e">
        <f>VLOOKUP(C251,领导干部!B:B,1,0)</f>
        <v>#N/A</v>
      </c>
    </row>
    <row r="252" s="35" customFormat="1" customHeight="1" spans="1:15">
      <c r="A252" s="47">
        <f t="shared" si="6"/>
        <v>251</v>
      </c>
      <c r="B252" s="48" t="s">
        <v>313</v>
      </c>
      <c r="C252" s="49">
        <f>IFERROR(VLOOKUP(B252,[66]工程研发事业部人员名单!B:D,2,0),"")</f>
        <v>23524</v>
      </c>
      <c r="D252" s="50" t="str">
        <f>IFERROR(VLOOKUP(B252,[66]工程研发事业部人员名单!B:D,3,0),"")</f>
        <v>强度室</v>
      </c>
      <c r="E252" s="51" t="s">
        <v>194</v>
      </c>
      <c r="F252" s="52">
        <f t="shared" si="7"/>
        <v>70</v>
      </c>
      <c r="G252" s="53"/>
      <c r="H252" s="53"/>
      <c r="I252" s="72">
        <v>70</v>
      </c>
      <c r="J252" s="53"/>
      <c r="K252" s="57" t="s">
        <v>277</v>
      </c>
      <c r="L252" s="57" t="s">
        <v>599</v>
      </c>
      <c r="M252" s="65" t="s">
        <v>600</v>
      </c>
      <c r="N252" s="58">
        <f>VLOOKUP(E252,订单号!B:C,2,0)</f>
        <v>0</v>
      </c>
      <c r="O252" s="35" t="e">
        <f>VLOOKUP(C252,领导干部!B:B,1,0)</f>
        <v>#N/A</v>
      </c>
    </row>
    <row r="253" s="35" customFormat="1" customHeight="1" spans="1:15">
      <c r="A253" s="47">
        <f t="shared" si="6"/>
        <v>252</v>
      </c>
      <c r="B253" s="48" t="s">
        <v>410</v>
      </c>
      <c r="C253" s="49">
        <f>IFERROR(VLOOKUP(B253,[66]工程研发事业部人员名单!B:D,2,0),"")</f>
        <v>51196</v>
      </c>
      <c r="D253" s="50" t="str">
        <f>IFERROR(VLOOKUP(B253,[66]工程研发事业部人员名单!B:D,3,0),"")</f>
        <v>强度室</v>
      </c>
      <c r="E253" s="51" t="s">
        <v>194</v>
      </c>
      <c r="F253" s="52">
        <f t="shared" si="7"/>
        <v>15</v>
      </c>
      <c r="G253" s="53"/>
      <c r="H253" s="53"/>
      <c r="I253" s="72">
        <v>15</v>
      </c>
      <c r="J253" s="53"/>
      <c r="K253" s="57" t="s">
        <v>277</v>
      </c>
      <c r="L253" s="57" t="s">
        <v>599</v>
      </c>
      <c r="M253" s="59" t="s">
        <v>601</v>
      </c>
      <c r="N253" s="58">
        <f>VLOOKUP(E253,订单号!B:C,2,0)</f>
        <v>0</v>
      </c>
      <c r="O253" s="35" t="e">
        <f>VLOOKUP(C253,领导干部!B:B,1,0)</f>
        <v>#N/A</v>
      </c>
    </row>
    <row r="254" s="35" customFormat="1" customHeight="1" spans="1:15">
      <c r="A254" s="47">
        <f t="shared" si="6"/>
        <v>253</v>
      </c>
      <c r="B254" s="48" t="s">
        <v>236</v>
      </c>
      <c r="C254" s="49">
        <f>IFERROR(VLOOKUP(B254,[66]工程研发事业部人员名单!B:D,2,0),"")</f>
        <v>51211</v>
      </c>
      <c r="D254" s="50" t="str">
        <f>IFERROR(VLOOKUP(B254,[66]工程研发事业部人员名单!B:D,3,0),"")</f>
        <v>结构一室</v>
      </c>
      <c r="E254" s="51" t="s">
        <v>194</v>
      </c>
      <c r="F254" s="52">
        <f t="shared" si="7"/>
        <v>40</v>
      </c>
      <c r="G254" s="53"/>
      <c r="H254" s="53"/>
      <c r="I254" s="72">
        <v>40</v>
      </c>
      <c r="J254" s="53"/>
      <c r="K254" s="57" t="s">
        <v>255</v>
      </c>
      <c r="L254" s="57" t="s">
        <v>599</v>
      </c>
      <c r="M254" s="125" t="s">
        <v>602</v>
      </c>
      <c r="N254" s="58">
        <f>VLOOKUP(E254,订单号!B:C,2,0)</f>
        <v>0</v>
      </c>
      <c r="O254" s="35" t="e">
        <f>VLOOKUP(C254,领导干部!B:B,1,0)</f>
        <v>#N/A</v>
      </c>
    </row>
    <row r="255" s="35" customFormat="1" customHeight="1" spans="1:15">
      <c r="A255" s="47">
        <f t="shared" si="6"/>
        <v>254</v>
      </c>
      <c r="B255" s="48" t="s">
        <v>226</v>
      </c>
      <c r="C255" s="49">
        <f>IFERROR(VLOOKUP(B255,[66]工程研发事业部人员名单!B:D,2,0),"")</f>
        <v>50876</v>
      </c>
      <c r="D255" s="50" t="str">
        <f>IFERROR(VLOOKUP(B255,[66]工程研发事业部人员名单!B:D,3,0),"")</f>
        <v>工程项目室 /适航工程室</v>
      </c>
      <c r="E255" s="51" t="s">
        <v>194</v>
      </c>
      <c r="F255" s="52">
        <f t="shared" si="7"/>
        <v>40</v>
      </c>
      <c r="G255" s="53"/>
      <c r="H255" s="53"/>
      <c r="I255" s="72">
        <v>40</v>
      </c>
      <c r="J255" s="53"/>
      <c r="K255" s="57" t="s">
        <v>214</v>
      </c>
      <c r="L255" s="57" t="s">
        <v>595</v>
      </c>
      <c r="M255" s="126" t="s">
        <v>603</v>
      </c>
      <c r="N255" s="58">
        <f>VLOOKUP(E255,订单号!B:C,2,0)</f>
        <v>0</v>
      </c>
      <c r="O255" s="35" t="e">
        <f>VLOOKUP(C255,领导干部!B:B,1,0)</f>
        <v>#N/A</v>
      </c>
    </row>
    <row r="256" s="35" customFormat="1" customHeight="1" spans="1:15">
      <c r="A256" s="47">
        <f t="shared" si="6"/>
        <v>255</v>
      </c>
      <c r="B256" s="48" t="s">
        <v>292</v>
      </c>
      <c r="C256" s="49">
        <f>IFERROR(VLOOKUP(B256,[66]工程研发事业部人员名单!B:D,2,0),"")</f>
        <v>51385</v>
      </c>
      <c r="D256" s="50" t="str">
        <f>IFERROR(VLOOKUP(B256,[66]工程研发事业部人员名单!B:D,3,0),"")</f>
        <v>系统室</v>
      </c>
      <c r="E256" s="51" t="s">
        <v>194</v>
      </c>
      <c r="F256" s="52">
        <f t="shared" si="7"/>
        <v>30</v>
      </c>
      <c r="G256" s="53"/>
      <c r="H256" s="53"/>
      <c r="I256" s="72">
        <v>30</v>
      </c>
      <c r="J256" s="53"/>
      <c r="K256" s="57" t="s">
        <v>378</v>
      </c>
      <c r="L256" s="57" t="s">
        <v>564</v>
      </c>
      <c r="M256" s="65" t="s">
        <v>604</v>
      </c>
      <c r="N256" s="58">
        <f>VLOOKUP(E256,订单号!B:C,2,0)</f>
        <v>0</v>
      </c>
      <c r="O256" s="35" t="e">
        <f>VLOOKUP(C256,领导干部!B:B,1,0)</f>
        <v>#N/A</v>
      </c>
    </row>
    <row r="257" s="35" customFormat="1" customHeight="1" spans="1:15">
      <c r="A257" s="47">
        <f t="shared" si="6"/>
        <v>256</v>
      </c>
      <c r="B257" s="48" t="s">
        <v>298</v>
      </c>
      <c r="C257" s="49">
        <f>IFERROR(VLOOKUP(B257,[66]工程研发事业部人员名单!B:D,2,0),"")</f>
        <v>51517</v>
      </c>
      <c r="D257" s="50" t="str">
        <f>IFERROR(VLOOKUP(B257,[66]工程研发事业部人员名单!B:D,3,0),"")</f>
        <v>系统室</v>
      </c>
      <c r="E257" s="57" t="s">
        <v>193</v>
      </c>
      <c r="F257" s="52">
        <f t="shared" si="7"/>
        <v>47</v>
      </c>
      <c r="G257" s="53"/>
      <c r="H257" s="53"/>
      <c r="I257" s="72">
        <v>47</v>
      </c>
      <c r="J257" s="53"/>
      <c r="K257" s="57" t="s">
        <v>378</v>
      </c>
      <c r="L257" s="57" t="s">
        <v>605</v>
      </c>
      <c r="M257" s="59" t="s">
        <v>606</v>
      </c>
      <c r="N257" s="58">
        <f>VLOOKUP(E257,订单号!B:C,2,0)</f>
        <v>0</v>
      </c>
      <c r="O257" s="35" t="e">
        <f>VLOOKUP(C257,领导干部!B:B,1,0)</f>
        <v>#N/A</v>
      </c>
    </row>
    <row r="258" s="35" customFormat="1" customHeight="1" spans="1:15">
      <c r="A258" s="47">
        <f t="shared" ref="A258:A321" si="8">ROW()-1</f>
        <v>257</v>
      </c>
      <c r="B258" s="48" t="s">
        <v>376</v>
      </c>
      <c r="C258" s="49">
        <f>IFERROR(VLOOKUP(B258,[66]工程研发事业部人员名单!B:D,2,0),"")</f>
        <v>50872</v>
      </c>
      <c r="D258" s="50" t="str">
        <f>IFERROR(VLOOKUP(B258,[66]工程研发事业部人员名单!B:D,3,0),"")</f>
        <v>系统室</v>
      </c>
      <c r="E258" s="57" t="s">
        <v>193</v>
      </c>
      <c r="F258" s="52">
        <f t="shared" ref="F258:F321" si="9">G258+H258+I258+J258</f>
        <v>90</v>
      </c>
      <c r="G258" s="53"/>
      <c r="H258" s="53"/>
      <c r="I258" s="72">
        <v>90</v>
      </c>
      <c r="J258" s="53"/>
      <c r="K258" s="57" t="s">
        <v>378</v>
      </c>
      <c r="L258" s="57" t="s">
        <v>605</v>
      </c>
      <c r="M258" s="61" t="s">
        <v>607</v>
      </c>
      <c r="N258" s="58">
        <f>VLOOKUP(E258,订单号!B:C,2,0)</f>
        <v>0</v>
      </c>
      <c r="O258" s="35" t="e">
        <f>VLOOKUP(C258,领导干部!B:B,1,0)</f>
        <v>#N/A</v>
      </c>
    </row>
    <row r="259" s="35" customFormat="1" customHeight="1" spans="1:15">
      <c r="A259" s="47">
        <f t="shared" si="8"/>
        <v>258</v>
      </c>
      <c r="B259" s="48" t="s">
        <v>30</v>
      </c>
      <c r="C259" s="49">
        <f>IFERROR(VLOOKUP(B259,[66]工程研发事业部人员名单!B:D,2,0),"")</f>
        <v>52587</v>
      </c>
      <c r="D259" s="50" t="str">
        <f>IFERROR(VLOOKUP(B259,[66]工程研发事业部人员名单!B:D,3,0),"")</f>
        <v>系统室</v>
      </c>
      <c r="E259" s="57" t="s">
        <v>193</v>
      </c>
      <c r="F259" s="52">
        <f t="shared" si="9"/>
        <v>65</v>
      </c>
      <c r="G259" s="53"/>
      <c r="H259" s="53"/>
      <c r="I259" s="72">
        <v>65</v>
      </c>
      <c r="J259" s="53"/>
      <c r="K259" s="57" t="s">
        <v>378</v>
      </c>
      <c r="L259" s="57" t="s">
        <v>605</v>
      </c>
      <c r="M259" s="61" t="s">
        <v>608</v>
      </c>
      <c r="N259" s="58">
        <f>VLOOKUP(E259,订单号!B:C,2,0)</f>
        <v>0</v>
      </c>
      <c r="O259" s="35" t="e">
        <f>VLOOKUP(C259,领导干部!B:B,1,0)</f>
        <v>#N/A</v>
      </c>
    </row>
    <row r="260" s="35" customFormat="1" customHeight="1" spans="1:15">
      <c r="A260" s="47">
        <f t="shared" si="8"/>
        <v>259</v>
      </c>
      <c r="B260" s="48" t="s">
        <v>31</v>
      </c>
      <c r="C260" s="49">
        <f>IFERROR(VLOOKUP(B260,[66]工程研发事业部人员名单!B:D,2,0),"")</f>
        <v>52585</v>
      </c>
      <c r="D260" s="50" t="str">
        <f>IFERROR(VLOOKUP(B260,[66]工程研发事业部人员名单!B:D,3,0),"")</f>
        <v>系统室</v>
      </c>
      <c r="E260" s="57" t="s">
        <v>193</v>
      </c>
      <c r="F260" s="52">
        <f t="shared" si="9"/>
        <v>45</v>
      </c>
      <c r="G260" s="53"/>
      <c r="H260" s="53"/>
      <c r="I260" s="72">
        <v>45</v>
      </c>
      <c r="J260" s="53"/>
      <c r="K260" s="57" t="s">
        <v>378</v>
      </c>
      <c r="L260" s="57" t="s">
        <v>605</v>
      </c>
      <c r="M260" s="59" t="s">
        <v>609</v>
      </c>
      <c r="N260" s="58">
        <f>VLOOKUP(E260,订单号!B:C,2,0)</f>
        <v>0</v>
      </c>
      <c r="O260" s="35" t="e">
        <f>VLOOKUP(C260,领导干部!B:B,1,0)</f>
        <v>#N/A</v>
      </c>
    </row>
    <row r="261" s="35" customFormat="1" customHeight="1" spans="1:15">
      <c r="A261" s="47">
        <f t="shared" si="8"/>
        <v>260</v>
      </c>
      <c r="B261" s="48" t="s">
        <v>292</v>
      </c>
      <c r="C261" s="49">
        <f>IFERROR(VLOOKUP(B261,[66]工程研发事业部人员名单!B:D,2,0),"")</f>
        <v>51385</v>
      </c>
      <c r="D261" s="50" t="str">
        <f>IFERROR(VLOOKUP(B261,[66]工程研发事业部人员名单!B:D,3,0),"")</f>
        <v>系统室</v>
      </c>
      <c r="E261" s="51" t="s">
        <v>193</v>
      </c>
      <c r="F261" s="52">
        <f t="shared" si="9"/>
        <v>40</v>
      </c>
      <c r="G261" s="53"/>
      <c r="H261" s="53"/>
      <c r="I261" s="72">
        <v>40</v>
      </c>
      <c r="J261" s="53"/>
      <c r="K261" s="57" t="s">
        <v>378</v>
      </c>
      <c r="L261" s="57" t="s">
        <v>605</v>
      </c>
      <c r="M261" s="61" t="s">
        <v>610</v>
      </c>
      <c r="N261" s="58">
        <f>VLOOKUP(E261,订单号!B:C,2,0)</f>
        <v>0</v>
      </c>
      <c r="O261" s="35" t="e">
        <f>VLOOKUP(C261,领导干部!B:B,1,0)</f>
        <v>#N/A</v>
      </c>
    </row>
    <row r="262" s="35" customFormat="1" customHeight="1" spans="1:15">
      <c r="A262" s="47">
        <f t="shared" si="8"/>
        <v>261</v>
      </c>
      <c r="B262" s="54" t="s">
        <v>295</v>
      </c>
      <c r="C262" s="49">
        <f>IFERROR(VLOOKUP(B262,[66]工程研发事业部人员名单!B:D,2,0),"")</f>
        <v>51951</v>
      </c>
      <c r="D262" s="50" t="str">
        <f>IFERROR(VLOOKUP(B262,[66]工程研发事业部人员名单!B:D,3,0),"")</f>
        <v>系统室</v>
      </c>
      <c r="E262" s="51" t="s">
        <v>193</v>
      </c>
      <c r="F262" s="52">
        <f t="shared" si="9"/>
        <v>80</v>
      </c>
      <c r="G262" s="53"/>
      <c r="H262" s="53"/>
      <c r="I262" s="75">
        <v>80</v>
      </c>
      <c r="J262" s="60"/>
      <c r="K262" s="57" t="s">
        <v>378</v>
      </c>
      <c r="L262" s="57" t="s">
        <v>605</v>
      </c>
      <c r="M262" s="61" t="s">
        <v>611</v>
      </c>
      <c r="N262" s="58">
        <f>VLOOKUP(E262,订单号!B:C,2,0)</f>
        <v>0</v>
      </c>
      <c r="O262" s="35" t="e">
        <f>VLOOKUP(C262,领导干部!B:B,1,0)</f>
        <v>#N/A</v>
      </c>
    </row>
    <row r="263" s="35" customFormat="1" customHeight="1" spans="1:15">
      <c r="A263" s="47">
        <f t="shared" si="8"/>
        <v>262</v>
      </c>
      <c r="B263" s="48" t="s">
        <v>305</v>
      </c>
      <c r="C263" s="49">
        <f>IFERROR(VLOOKUP(B263,[66]工程研发事业部人员名单!B:D,2,0),"")</f>
        <v>51389</v>
      </c>
      <c r="D263" s="50" t="str">
        <f>IFERROR(VLOOKUP(B263,[66]工程研发事业部人员名单!B:D,3,0),"")</f>
        <v>系统室</v>
      </c>
      <c r="E263" s="57" t="s">
        <v>193</v>
      </c>
      <c r="F263" s="52">
        <f t="shared" si="9"/>
        <v>10</v>
      </c>
      <c r="G263" s="53"/>
      <c r="H263" s="53"/>
      <c r="I263" s="72">
        <v>10</v>
      </c>
      <c r="J263" s="53"/>
      <c r="K263" s="57" t="s">
        <v>378</v>
      </c>
      <c r="L263" s="57" t="s">
        <v>605</v>
      </c>
      <c r="M263" s="59" t="s">
        <v>612</v>
      </c>
      <c r="N263" s="58">
        <f>VLOOKUP(E263,订单号!B:C,2,0)</f>
        <v>0</v>
      </c>
      <c r="O263" s="35" t="e">
        <f>VLOOKUP(C263,领导干部!B:B,1,0)</f>
        <v>#N/A</v>
      </c>
    </row>
    <row r="264" s="35" customFormat="1" customHeight="1" spans="1:15">
      <c r="A264" s="47">
        <f t="shared" si="8"/>
        <v>263</v>
      </c>
      <c r="B264" s="48" t="s">
        <v>344</v>
      </c>
      <c r="C264" s="49">
        <f>IFERROR(VLOOKUP(B264,[66]工程研发事业部人员名单!B:D,2,0),"")</f>
        <v>51591</v>
      </c>
      <c r="D264" s="50" t="str">
        <f>IFERROR(VLOOKUP(B264,[66]工程研发事业部人员名单!B:D,3,0),"")</f>
        <v>总体室</v>
      </c>
      <c r="E264" s="51" t="s">
        <v>193</v>
      </c>
      <c r="F264" s="52">
        <f t="shared" si="9"/>
        <v>60</v>
      </c>
      <c r="G264" s="53"/>
      <c r="H264" s="53"/>
      <c r="I264" s="72">
        <v>60</v>
      </c>
      <c r="J264" s="53"/>
      <c r="K264" s="57" t="s">
        <v>329</v>
      </c>
      <c r="L264" s="57" t="s">
        <v>605</v>
      </c>
      <c r="M264" s="61" t="s">
        <v>613</v>
      </c>
      <c r="N264" s="58">
        <f>VLOOKUP(E264,订单号!B:C,2,0)</f>
        <v>0</v>
      </c>
      <c r="O264" s="35" t="e">
        <f>VLOOKUP(C264,领导干部!B:B,1,0)</f>
        <v>#N/A</v>
      </c>
    </row>
    <row r="265" s="35" customFormat="1" customHeight="1" spans="1:15">
      <c r="A265" s="47">
        <f t="shared" si="8"/>
        <v>264</v>
      </c>
      <c r="B265" s="54" t="s">
        <v>342</v>
      </c>
      <c r="C265" s="49">
        <f>IFERROR(VLOOKUP(B265,[66]工程研发事业部人员名单!B:D,2,0),"")</f>
        <v>50702</v>
      </c>
      <c r="D265" s="50" t="str">
        <f>IFERROR(VLOOKUP(B265,[66]工程研发事业部人员名单!B:D,3,0),"")</f>
        <v>总体室</v>
      </c>
      <c r="E265" s="51" t="s">
        <v>193</v>
      </c>
      <c r="F265" s="52">
        <f t="shared" si="9"/>
        <v>12</v>
      </c>
      <c r="G265" s="53"/>
      <c r="H265" s="53"/>
      <c r="I265" s="75">
        <v>12</v>
      </c>
      <c r="J265" s="60"/>
      <c r="K265" s="57" t="s">
        <v>329</v>
      </c>
      <c r="L265" s="57" t="s">
        <v>605</v>
      </c>
      <c r="M265" s="61" t="s">
        <v>614</v>
      </c>
      <c r="N265" s="58">
        <f>VLOOKUP(E265,订单号!B:C,2,0)</f>
        <v>0</v>
      </c>
      <c r="O265" s="35" t="e">
        <f>VLOOKUP(C265,领导干部!B:B,1,0)</f>
        <v>#N/A</v>
      </c>
    </row>
    <row r="266" s="35" customFormat="1" customHeight="1" spans="1:15">
      <c r="A266" s="47">
        <f t="shared" si="8"/>
        <v>265</v>
      </c>
      <c r="B266" s="48" t="s">
        <v>305</v>
      </c>
      <c r="C266" s="49">
        <f>IFERROR(VLOOKUP(B266,[66]工程研发事业部人员名单!B:D,2,0),"")</f>
        <v>51389</v>
      </c>
      <c r="D266" s="50" t="str">
        <f>IFERROR(VLOOKUP(B266,[66]工程研发事业部人员名单!B:D,3,0),"")</f>
        <v>系统室</v>
      </c>
      <c r="E266" s="51" t="s">
        <v>194</v>
      </c>
      <c r="F266" s="52">
        <f t="shared" si="9"/>
        <v>40</v>
      </c>
      <c r="G266" s="53"/>
      <c r="H266" s="53"/>
      <c r="I266" s="72">
        <v>40</v>
      </c>
      <c r="J266" s="53"/>
      <c r="K266" s="57"/>
      <c r="L266" s="57" t="s">
        <v>615</v>
      </c>
      <c r="M266" s="61" t="s">
        <v>616</v>
      </c>
      <c r="N266" s="58">
        <f>VLOOKUP(E266,订单号!B:C,2,0)</f>
        <v>0</v>
      </c>
      <c r="O266" s="35" t="e">
        <f>VLOOKUP(C266,领导干部!B:B,1,0)</f>
        <v>#N/A</v>
      </c>
    </row>
    <row r="267" s="35" customFormat="1" customHeight="1" spans="1:15">
      <c r="A267" s="47">
        <f t="shared" si="8"/>
        <v>266</v>
      </c>
      <c r="B267" s="48" t="s">
        <v>292</v>
      </c>
      <c r="C267" s="49">
        <f>IFERROR(VLOOKUP(B267,[66]工程研发事业部人员名单!B:D,2,0),"")</f>
        <v>51385</v>
      </c>
      <c r="D267" s="50" t="str">
        <f>IFERROR(VLOOKUP(B267,[66]工程研发事业部人员名单!B:D,3,0),"")</f>
        <v>系统室</v>
      </c>
      <c r="E267" s="51" t="s">
        <v>194</v>
      </c>
      <c r="F267" s="52">
        <f t="shared" si="9"/>
        <v>40</v>
      </c>
      <c r="G267" s="53"/>
      <c r="H267" s="53"/>
      <c r="I267" s="72">
        <v>40</v>
      </c>
      <c r="J267" s="53"/>
      <c r="K267" s="57"/>
      <c r="L267" s="57" t="s">
        <v>615</v>
      </c>
      <c r="M267" s="59" t="s">
        <v>617</v>
      </c>
      <c r="N267" s="58">
        <f>VLOOKUP(E267,订单号!B:C,2,0)</f>
        <v>0</v>
      </c>
      <c r="O267" s="35" t="e">
        <f>VLOOKUP(C267,领导干部!B:B,1,0)</f>
        <v>#N/A</v>
      </c>
    </row>
    <row r="268" s="35" customFormat="1" customHeight="1" spans="1:15">
      <c r="A268" s="47">
        <f t="shared" si="8"/>
        <v>267</v>
      </c>
      <c r="B268" s="48" t="s">
        <v>311</v>
      </c>
      <c r="C268" s="49">
        <f>IFERROR(VLOOKUP(B268,[66]工程研发事业部人员名单!B:D,2,0),"")</f>
        <v>51435</v>
      </c>
      <c r="D268" s="50" t="str">
        <f>IFERROR(VLOOKUP(B268,[66]工程研发事业部人员名单!B:D,3,0),"")</f>
        <v>系统室</v>
      </c>
      <c r="E268" s="51" t="s">
        <v>194</v>
      </c>
      <c r="F268" s="52">
        <f t="shared" si="9"/>
        <v>25</v>
      </c>
      <c r="G268" s="53"/>
      <c r="H268" s="53"/>
      <c r="I268" s="72">
        <v>25</v>
      </c>
      <c r="J268" s="53"/>
      <c r="K268" s="57"/>
      <c r="L268" s="57" t="s">
        <v>615</v>
      </c>
      <c r="M268" s="59" t="s">
        <v>618</v>
      </c>
      <c r="N268" s="58">
        <f>VLOOKUP(E268,订单号!B:C,2,0)</f>
        <v>0</v>
      </c>
      <c r="O268" s="35" t="e">
        <f>VLOOKUP(C268,领导干部!B:B,1,0)</f>
        <v>#N/A</v>
      </c>
    </row>
    <row r="269" s="35" customFormat="1" customHeight="1" spans="1:15">
      <c r="A269" s="47">
        <f t="shared" si="8"/>
        <v>268</v>
      </c>
      <c r="B269" s="48" t="s">
        <v>220</v>
      </c>
      <c r="C269" s="49">
        <f>IFERROR(VLOOKUP(B269,[66]工程研发事业部人员名单!B:D,2,0),"")</f>
        <v>51405</v>
      </c>
      <c r="D269" s="50" t="str">
        <f>IFERROR(VLOOKUP(B269,[66]工程研发事业部人员名单!B:D,3,0),"")</f>
        <v>工程项目室 /适航工程室</v>
      </c>
      <c r="E269" s="51" t="s">
        <v>194</v>
      </c>
      <c r="F269" s="52">
        <f t="shared" si="9"/>
        <v>10</v>
      </c>
      <c r="G269" s="53"/>
      <c r="H269" s="53"/>
      <c r="I269" s="72">
        <v>10</v>
      </c>
      <c r="J269" s="53"/>
      <c r="K269" s="57"/>
      <c r="L269" s="57" t="s">
        <v>619</v>
      </c>
      <c r="M269" s="65" t="s">
        <v>620</v>
      </c>
      <c r="N269" s="58">
        <f>VLOOKUP(E269,订单号!B:C,2,0)</f>
        <v>0</v>
      </c>
      <c r="O269" s="35" t="e">
        <f>VLOOKUP(C269,领导干部!B:B,1,0)</f>
        <v>#N/A</v>
      </c>
    </row>
    <row r="270" s="35" customFormat="1" customHeight="1" spans="1:15">
      <c r="A270" s="47">
        <f t="shared" si="8"/>
        <v>269</v>
      </c>
      <c r="B270" s="48" t="s">
        <v>125</v>
      </c>
      <c r="C270" s="49">
        <f>IFERROR(VLOOKUP(B270,[66]工程研发事业部人员名单!B:D,2,0),"")</f>
        <v>50079</v>
      </c>
      <c r="D270" s="50" t="str">
        <f>IFERROR(VLOOKUP(B270,[66]工程研发事业部人员名单!B:D,3,0),"")</f>
        <v>工程项目室 /适航工程室</v>
      </c>
      <c r="E270" s="51" t="s">
        <v>194</v>
      </c>
      <c r="F270" s="52">
        <f t="shared" si="9"/>
        <v>45</v>
      </c>
      <c r="G270" s="53"/>
      <c r="H270" s="53"/>
      <c r="I270" s="72">
        <v>45</v>
      </c>
      <c r="J270" s="53"/>
      <c r="K270" s="57"/>
      <c r="L270" s="57" t="s">
        <v>615</v>
      </c>
      <c r="M270" s="59" t="s">
        <v>621</v>
      </c>
      <c r="N270" s="58">
        <f>VLOOKUP(E270,订单号!B:C,2,0)</f>
        <v>0</v>
      </c>
      <c r="O270" s="35" t="e">
        <f>VLOOKUP(C270,领导干部!B:B,1,0)</f>
        <v>#N/A</v>
      </c>
    </row>
    <row r="271" s="35" customFormat="1" customHeight="1" spans="1:15">
      <c r="A271" s="47">
        <f t="shared" si="8"/>
        <v>270</v>
      </c>
      <c r="B271" s="48" t="s">
        <v>272</v>
      </c>
      <c r="C271" s="49">
        <f>IFERROR(VLOOKUP(B271,[66]工程研发事业部人员名单!B:D,2,0),"")</f>
        <v>50730</v>
      </c>
      <c r="D271" s="50" t="str">
        <f>IFERROR(VLOOKUP(B271,[66]工程研发事业部人员名单!B:D,3,0),"")</f>
        <v>结构一室</v>
      </c>
      <c r="E271" s="51" t="s">
        <v>194</v>
      </c>
      <c r="F271" s="52">
        <f t="shared" si="9"/>
        <v>25</v>
      </c>
      <c r="G271" s="53"/>
      <c r="H271" s="53"/>
      <c r="I271" s="72">
        <v>25</v>
      </c>
      <c r="J271" s="53"/>
      <c r="K271" s="57"/>
      <c r="L271" s="57" t="s">
        <v>615</v>
      </c>
      <c r="M271" s="59" t="s">
        <v>622</v>
      </c>
      <c r="N271" s="58">
        <f>VLOOKUP(E271,订单号!B:C,2,0)</f>
        <v>0</v>
      </c>
      <c r="O271" s="35" t="e">
        <f>VLOOKUP(C271,领导干部!B:B,1,0)</f>
        <v>#N/A</v>
      </c>
    </row>
    <row r="272" s="35" customFormat="1" customHeight="1" spans="1:15">
      <c r="A272" s="47">
        <f t="shared" si="8"/>
        <v>271</v>
      </c>
      <c r="B272" s="48" t="s">
        <v>259</v>
      </c>
      <c r="C272" s="49">
        <f>IFERROR(VLOOKUP(B272,[66]工程研发事业部人员名单!B:D,2,0),"")</f>
        <v>51784</v>
      </c>
      <c r="D272" s="50" t="str">
        <f>IFERROR(VLOOKUP(B272,[66]工程研发事业部人员名单!B:D,3,0),"")</f>
        <v>结构一室</v>
      </c>
      <c r="E272" s="51" t="s">
        <v>194</v>
      </c>
      <c r="F272" s="52">
        <f t="shared" si="9"/>
        <v>30</v>
      </c>
      <c r="G272" s="53"/>
      <c r="H272" s="53"/>
      <c r="I272" s="72">
        <v>30</v>
      </c>
      <c r="J272" s="53"/>
      <c r="K272" s="57"/>
      <c r="L272" s="57" t="s">
        <v>615</v>
      </c>
      <c r="M272" s="59" t="s">
        <v>623</v>
      </c>
      <c r="N272" s="58">
        <f>VLOOKUP(E272,订单号!B:C,2,0)</f>
        <v>0</v>
      </c>
      <c r="O272" s="35" t="e">
        <f>VLOOKUP(C272,领导干部!B:B,1,0)</f>
        <v>#N/A</v>
      </c>
    </row>
    <row r="273" s="35" customFormat="1" customHeight="1" spans="1:15">
      <c r="A273" s="47">
        <f t="shared" si="8"/>
        <v>272</v>
      </c>
      <c r="B273" s="48" t="s">
        <v>62</v>
      </c>
      <c r="C273" s="49">
        <f>IFERROR(VLOOKUP(B273,[66]工程研发事业部人员名单!B:D,2,0),"")</f>
        <v>52581</v>
      </c>
      <c r="D273" s="50" t="str">
        <f>IFERROR(VLOOKUP(B273,[66]工程研发事业部人员名单!B:D,3,0),"")</f>
        <v>强度室</v>
      </c>
      <c r="E273" s="51" t="s">
        <v>194</v>
      </c>
      <c r="F273" s="52">
        <f t="shared" si="9"/>
        <v>15</v>
      </c>
      <c r="G273" s="53"/>
      <c r="H273" s="53"/>
      <c r="I273" s="72">
        <v>15</v>
      </c>
      <c r="J273" s="53"/>
      <c r="K273" s="57"/>
      <c r="L273" s="57" t="s">
        <v>615</v>
      </c>
      <c r="M273" s="59" t="s">
        <v>624</v>
      </c>
      <c r="N273" s="58">
        <f>VLOOKUP(E273,订单号!B:C,2,0)</f>
        <v>0</v>
      </c>
      <c r="O273" s="35" t="e">
        <f>VLOOKUP(C273,领导干部!B:B,1,0)</f>
        <v>#N/A</v>
      </c>
    </row>
    <row r="274" s="35" customFormat="1" customHeight="1" spans="1:15">
      <c r="A274" s="47">
        <f t="shared" si="8"/>
        <v>273</v>
      </c>
      <c r="B274" s="48" t="s">
        <v>333</v>
      </c>
      <c r="C274" s="49">
        <f>IFERROR(VLOOKUP(B274,[66]工程研发事业部人员名单!B:D,2,0),"")</f>
        <v>50032</v>
      </c>
      <c r="D274" s="50" t="str">
        <f>IFERROR(VLOOKUP(B274,[66]工程研发事业部人员名单!B:D,3,0),"")</f>
        <v>总体室</v>
      </c>
      <c r="E274" s="96" t="s">
        <v>194</v>
      </c>
      <c r="F274" s="52">
        <f t="shared" si="9"/>
        <v>115</v>
      </c>
      <c r="G274" s="53"/>
      <c r="H274" s="53"/>
      <c r="I274" s="72">
        <v>115</v>
      </c>
      <c r="J274" s="53"/>
      <c r="K274" s="57"/>
      <c r="L274" s="57" t="s">
        <v>625</v>
      </c>
      <c r="M274" s="117" t="s">
        <v>626</v>
      </c>
      <c r="N274" s="58">
        <f>VLOOKUP(E274,订单号!B:C,2,0)</f>
        <v>0</v>
      </c>
      <c r="O274" s="35" t="e">
        <f>VLOOKUP(C274,领导干部!B:B,1,0)</f>
        <v>#N/A</v>
      </c>
    </row>
    <row r="275" s="35" customFormat="1" customHeight="1" spans="1:15">
      <c r="A275" s="47">
        <f t="shared" si="8"/>
        <v>274</v>
      </c>
      <c r="B275" s="48" t="s">
        <v>226</v>
      </c>
      <c r="C275" s="49">
        <f>IFERROR(VLOOKUP(B275,[66]工程研发事业部人员名单!B:D,2,0),"")</f>
        <v>50876</v>
      </c>
      <c r="D275" s="50" t="str">
        <f>IFERROR(VLOOKUP(B275,[66]工程研发事业部人员名单!B:D,3,0),"")</f>
        <v>工程项目室 /适航工程室</v>
      </c>
      <c r="E275" s="51" t="s">
        <v>194</v>
      </c>
      <c r="F275" s="52">
        <f t="shared" si="9"/>
        <v>10</v>
      </c>
      <c r="G275" s="53"/>
      <c r="H275" s="53"/>
      <c r="I275" s="72">
        <v>10</v>
      </c>
      <c r="J275" s="53"/>
      <c r="K275" s="57" t="s">
        <v>329</v>
      </c>
      <c r="L275" s="57" t="s">
        <v>625</v>
      </c>
      <c r="M275" s="59" t="s">
        <v>627</v>
      </c>
      <c r="N275" s="58">
        <f>VLOOKUP(E275,订单号!B:C,2,0)</f>
        <v>0</v>
      </c>
      <c r="O275" s="35" t="e">
        <f>VLOOKUP(C275,领导干部!B:B,1,0)</f>
        <v>#N/A</v>
      </c>
    </row>
    <row r="276" s="35" customFormat="1" customHeight="1" spans="1:15">
      <c r="A276" s="47">
        <f t="shared" si="8"/>
        <v>275</v>
      </c>
      <c r="B276" s="48" t="s">
        <v>288</v>
      </c>
      <c r="C276" s="49">
        <f>IFERROR(VLOOKUP(B276,[66]工程研发事业部人员名单!B:D,2,0),"")</f>
        <v>52132</v>
      </c>
      <c r="D276" s="50" t="str">
        <f>IFERROR(VLOOKUP(B276,[66]工程研发事业部人员名单!B:D,3,0),"")</f>
        <v>结构二室</v>
      </c>
      <c r="E276" s="96" t="s">
        <v>194</v>
      </c>
      <c r="F276" s="52">
        <f t="shared" si="9"/>
        <v>30</v>
      </c>
      <c r="G276" s="53"/>
      <c r="H276" s="53"/>
      <c r="I276" s="72">
        <v>30</v>
      </c>
      <c r="J276" s="53"/>
      <c r="K276" s="57"/>
      <c r="L276" s="57" t="s">
        <v>628</v>
      </c>
      <c r="M276" s="61" t="s">
        <v>629</v>
      </c>
      <c r="N276" s="58">
        <f>VLOOKUP(E276,订单号!B:C,2,0)</f>
        <v>0</v>
      </c>
      <c r="O276" s="35" t="e">
        <f>VLOOKUP(C276,领导干部!B:B,1,0)</f>
        <v>#N/A</v>
      </c>
    </row>
    <row r="277" s="35" customFormat="1" customHeight="1" spans="1:15">
      <c r="A277" s="47">
        <f t="shared" si="8"/>
        <v>276</v>
      </c>
      <c r="B277" s="48" t="s">
        <v>305</v>
      </c>
      <c r="C277" s="49">
        <f>IFERROR(VLOOKUP(B277,[66]工程研发事业部人员名单!B:D,2,0),"")</f>
        <v>51389</v>
      </c>
      <c r="D277" s="50" t="str">
        <f>IFERROR(VLOOKUP(B277,[66]工程研发事业部人员名单!B:D,3,0),"")</f>
        <v>系统室</v>
      </c>
      <c r="E277" s="57" t="s">
        <v>194</v>
      </c>
      <c r="F277" s="52">
        <f t="shared" si="9"/>
        <v>60</v>
      </c>
      <c r="G277" s="53"/>
      <c r="H277" s="53"/>
      <c r="I277" s="72">
        <v>60</v>
      </c>
      <c r="J277" s="53"/>
      <c r="K277" s="57"/>
      <c r="L277" s="57" t="s">
        <v>630</v>
      </c>
      <c r="M277" s="59" t="s">
        <v>631</v>
      </c>
      <c r="N277" s="58">
        <f>VLOOKUP(E277,订单号!B:C,2,0)</f>
        <v>0</v>
      </c>
      <c r="O277" s="35" t="e">
        <f>VLOOKUP(C277,领导干部!B:B,1,0)</f>
        <v>#N/A</v>
      </c>
    </row>
    <row r="278" s="35" customFormat="1" customHeight="1" spans="1:15">
      <c r="A278" s="47">
        <f t="shared" si="8"/>
        <v>277</v>
      </c>
      <c r="B278" s="48" t="s">
        <v>453</v>
      </c>
      <c r="C278" s="49">
        <f>IFERROR(VLOOKUP(B278,[66]工程研发事业部人员名单!B:D,2,0),"")</f>
        <v>26828</v>
      </c>
      <c r="D278" s="50" t="str">
        <f>IFERROR(VLOOKUP(B278,[66]工程研发事业部人员名单!B:D,3,0),"")</f>
        <v>综合技术室</v>
      </c>
      <c r="E278" s="51" t="s">
        <v>194</v>
      </c>
      <c r="F278" s="52">
        <f t="shared" si="9"/>
        <v>5</v>
      </c>
      <c r="G278" s="53"/>
      <c r="H278" s="53"/>
      <c r="I278" s="72">
        <v>5</v>
      </c>
      <c r="J278" s="53"/>
      <c r="K278" s="57"/>
      <c r="L278" s="57" t="s">
        <v>615</v>
      </c>
      <c r="M278" s="65" t="s">
        <v>632</v>
      </c>
      <c r="N278" s="58">
        <f>VLOOKUP(E278,订单号!B:C,2,0)</f>
        <v>0</v>
      </c>
      <c r="O278" s="35" t="e">
        <f>VLOOKUP(C278,领导干部!B:B,1,0)</f>
        <v>#N/A</v>
      </c>
    </row>
    <row r="279" s="35" customFormat="1" customHeight="1" spans="1:15">
      <c r="A279" s="47">
        <f t="shared" si="8"/>
        <v>278</v>
      </c>
      <c r="B279" s="48" t="s">
        <v>292</v>
      </c>
      <c r="C279" s="49">
        <f>IFERROR(VLOOKUP(B279,[66]工程研发事业部人员名单!B:D,2,0),"")</f>
        <v>51385</v>
      </c>
      <c r="D279" s="50" t="str">
        <f>IFERROR(VLOOKUP(B279,[66]工程研发事业部人员名单!B:D,3,0),"")</f>
        <v>系统室</v>
      </c>
      <c r="E279" s="51" t="s">
        <v>194</v>
      </c>
      <c r="F279" s="52">
        <f t="shared" si="9"/>
        <v>20</v>
      </c>
      <c r="G279" s="53"/>
      <c r="H279" s="53"/>
      <c r="I279" s="72">
        <v>20</v>
      </c>
      <c r="J279" s="53"/>
      <c r="K279" s="57" t="s">
        <v>378</v>
      </c>
      <c r="L279" s="57" t="s">
        <v>633</v>
      </c>
      <c r="M279" s="65" t="s">
        <v>634</v>
      </c>
      <c r="N279" s="58">
        <f>VLOOKUP(E279,订单号!B:C,2,0)</f>
        <v>0</v>
      </c>
      <c r="O279" s="35" t="e">
        <f>VLOOKUP(C279,领导干部!B:B,1,0)</f>
        <v>#N/A</v>
      </c>
    </row>
    <row r="280" s="35" customFormat="1" customHeight="1" spans="1:15">
      <c r="A280" s="47">
        <f t="shared" si="8"/>
        <v>279</v>
      </c>
      <c r="B280" s="48" t="s">
        <v>453</v>
      </c>
      <c r="C280" s="49">
        <f>IFERROR(VLOOKUP(B280,[66]工程研发事业部人员名单!B:D,2,0),"")</f>
        <v>26828</v>
      </c>
      <c r="D280" s="50" t="str">
        <f>IFERROR(VLOOKUP(B280,[66]工程研发事业部人员名单!B:D,3,0),"")</f>
        <v>综合技术室</v>
      </c>
      <c r="E280" s="51" t="s">
        <v>194</v>
      </c>
      <c r="F280" s="52">
        <f t="shared" si="9"/>
        <v>10</v>
      </c>
      <c r="G280" s="53"/>
      <c r="H280" s="53"/>
      <c r="I280" s="72">
        <v>10</v>
      </c>
      <c r="J280" s="53"/>
      <c r="K280" s="57"/>
      <c r="L280" s="57" t="s">
        <v>564</v>
      </c>
      <c r="M280" s="65" t="s">
        <v>635</v>
      </c>
      <c r="N280" s="58">
        <f>VLOOKUP(E280,订单号!B:C,2,0)</f>
        <v>0</v>
      </c>
      <c r="O280" s="35" t="e">
        <f>VLOOKUP(C280,领导干部!B:B,1,0)</f>
        <v>#N/A</v>
      </c>
    </row>
    <row r="281" customHeight="1" spans="1:15">
      <c r="A281" s="47">
        <f t="shared" si="8"/>
        <v>280</v>
      </c>
      <c r="B281" s="48" t="s">
        <v>421</v>
      </c>
      <c r="C281" s="49">
        <f>IFERROR(VLOOKUP(B281,[66]工程研发事业部人员名单!B:D,2,0),"")</f>
        <v>26654</v>
      </c>
      <c r="D281" s="50" t="str">
        <f>IFERROR(VLOOKUP(B281,[66]工程研发事业部人员名单!B:D,3,0),"")</f>
        <v>联络工程室</v>
      </c>
      <c r="E281" s="51" t="s">
        <v>636</v>
      </c>
      <c r="F281" s="52">
        <f t="shared" si="9"/>
        <v>180</v>
      </c>
      <c r="G281" s="53"/>
      <c r="H281" s="53"/>
      <c r="I281" s="72">
        <v>180</v>
      </c>
      <c r="J281" s="53"/>
      <c r="K281" s="57" t="s">
        <v>255</v>
      </c>
      <c r="L281" s="57" t="s">
        <v>255</v>
      </c>
      <c r="M281" s="65" t="s">
        <v>637</v>
      </c>
      <c r="N281" s="58" t="str">
        <f>VLOOKUP(E281,订单号!B:C,2,0)</f>
        <v>YZ40000422</v>
      </c>
      <c r="O281" s="35" t="e">
        <f>VLOOKUP(C281,领导干部!B:B,1,0)</f>
        <v>#N/A</v>
      </c>
    </row>
    <row r="282" customHeight="1" spans="1:15">
      <c r="A282" s="47">
        <f t="shared" si="8"/>
        <v>281</v>
      </c>
      <c r="B282" s="48" t="s">
        <v>455</v>
      </c>
      <c r="C282" s="49">
        <f>IFERROR(VLOOKUP(B282,[66]工程研发事业部人员名单!B:D,2,0),"")</f>
        <v>51955</v>
      </c>
      <c r="D282" s="50" t="str">
        <f>IFERROR(VLOOKUP(B282,[66]工程研发事业部人员名单!B:D,3,0),"")</f>
        <v>结构一室</v>
      </c>
      <c r="E282" s="51" t="s">
        <v>636</v>
      </c>
      <c r="F282" s="52">
        <f t="shared" si="9"/>
        <v>42</v>
      </c>
      <c r="G282" s="53"/>
      <c r="H282" s="53"/>
      <c r="I282" s="72">
        <v>42</v>
      </c>
      <c r="J282" s="53"/>
      <c r="K282" s="57" t="s">
        <v>255</v>
      </c>
      <c r="L282" s="57" t="s">
        <v>255</v>
      </c>
      <c r="M282" s="59" t="s">
        <v>638</v>
      </c>
      <c r="N282" s="58" t="str">
        <f>VLOOKUP(E282,订单号!B:C,2,0)</f>
        <v>YZ40000422</v>
      </c>
      <c r="O282" s="35" t="e">
        <f>VLOOKUP(C282,领导干部!B:B,1,0)</f>
        <v>#N/A</v>
      </c>
    </row>
    <row r="283" customHeight="1" spans="1:15">
      <c r="A283" s="47">
        <f t="shared" si="8"/>
        <v>282</v>
      </c>
      <c r="B283" s="48" t="s">
        <v>304</v>
      </c>
      <c r="C283" s="49">
        <f>IFERROR(VLOOKUP(B283,[66]工程研发事业部人员名单!B:D,2,0),"")</f>
        <v>25763</v>
      </c>
      <c r="D283" s="50" t="str">
        <f>IFERROR(VLOOKUP(B283,[66]工程研发事业部人员名单!B:D,3,0),"")</f>
        <v>结构一室</v>
      </c>
      <c r="E283" s="51" t="s">
        <v>636</v>
      </c>
      <c r="F283" s="52">
        <f t="shared" si="9"/>
        <v>210</v>
      </c>
      <c r="G283" s="53"/>
      <c r="H283" s="53"/>
      <c r="I283" s="72">
        <v>210</v>
      </c>
      <c r="J283" s="53"/>
      <c r="K283" s="57" t="s">
        <v>255</v>
      </c>
      <c r="L283" s="57" t="s">
        <v>255</v>
      </c>
      <c r="M283" s="116" t="s">
        <v>639</v>
      </c>
      <c r="N283" s="58" t="str">
        <f>VLOOKUP(E283,订单号!B:C,2,0)</f>
        <v>YZ40000422</v>
      </c>
      <c r="O283" s="35" t="e">
        <f>VLOOKUP(C283,领导干部!B:B,1,0)</f>
        <v>#N/A</v>
      </c>
    </row>
    <row r="284" customHeight="1" spans="1:15">
      <c r="A284" s="47">
        <f t="shared" si="8"/>
        <v>283</v>
      </c>
      <c r="B284" s="48" t="s">
        <v>288</v>
      </c>
      <c r="C284" s="49">
        <f>IFERROR(VLOOKUP(B284,[66]工程研发事业部人员名单!B:D,2,0),"")</f>
        <v>52132</v>
      </c>
      <c r="D284" s="50" t="str">
        <f>IFERROR(VLOOKUP(B284,[66]工程研发事业部人员名单!B:D,3,0),"")</f>
        <v>结构二室</v>
      </c>
      <c r="E284" s="51" t="s">
        <v>636</v>
      </c>
      <c r="F284" s="52">
        <f t="shared" si="9"/>
        <v>125</v>
      </c>
      <c r="G284" s="53"/>
      <c r="H284" s="53"/>
      <c r="I284" s="72">
        <v>125</v>
      </c>
      <c r="J284" s="53"/>
      <c r="K284" s="57" t="s">
        <v>277</v>
      </c>
      <c r="L284" s="57" t="s">
        <v>277</v>
      </c>
      <c r="M284" s="126" t="s">
        <v>640</v>
      </c>
      <c r="N284" s="58" t="str">
        <f>VLOOKUP(E284,订单号!B:C,2,0)</f>
        <v>YZ40000422</v>
      </c>
      <c r="O284" s="35" t="e">
        <f>VLOOKUP(C284,领导干部!B:B,1,0)</f>
        <v>#N/A</v>
      </c>
    </row>
    <row r="285" customHeight="1" spans="1:15">
      <c r="A285" s="47">
        <f t="shared" si="8"/>
        <v>284</v>
      </c>
      <c r="B285" s="48" t="s">
        <v>244</v>
      </c>
      <c r="C285" s="49">
        <f>IFERROR(VLOOKUP(B285,[66]工程研发事业部人员名单!B:D,2,0),"")</f>
        <v>51555</v>
      </c>
      <c r="D285" s="50" t="str">
        <f>IFERROR(VLOOKUP(B285,[66]工程研发事业部人员名单!B:D,3,0),"")</f>
        <v>联络工程室</v>
      </c>
      <c r="E285" s="51" t="s">
        <v>636</v>
      </c>
      <c r="F285" s="52">
        <f t="shared" si="9"/>
        <v>200</v>
      </c>
      <c r="G285" s="53"/>
      <c r="H285" s="53"/>
      <c r="I285" s="72">
        <v>200</v>
      </c>
      <c r="J285" s="53"/>
      <c r="K285" s="57" t="s">
        <v>277</v>
      </c>
      <c r="L285" s="57" t="s">
        <v>277</v>
      </c>
      <c r="M285" s="126" t="s">
        <v>641</v>
      </c>
      <c r="N285" s="58" t="str">
        <f>VLOOKUP(E285,订单号!B:C,2,0)</f>
        <v>YZ40000422</v>
      </c>
      <c r="O285" s="35" t="e">
        <f>VLOOKUP(C285,领导干部!B:B,1,0)</f>
        <v>#N/A</v>
      </c>
    </row>
    <row r="286" customHeight="1" spans="1:15">
      <c r="A286" s="47">
        <f t="shared" si="8"/>
        <v>285</v>
      </c>
      <c r="B286" s="48" t="s">
        <v>217</v>
      </c>
      <c r="C286" s="49">
        <f>IFERROR(VLOOKUP(B286,[66]工程研发事业部人员名单!B:D,2,0),"")</f>
        <v>51944</v>
      </c>
      <c r="D286" s="50" t="str">
        <f>IFERROR(VLOOKUP(B286,[66]工程研发事业部人员名单!B:D,3,0),"")</f>
        <v>强度室</v>
      </c>
      <c r="E286" s="51" t="s">
        <v>642</v>
      </c>
      <c r="F286" s="52">
        <f t="shared" si="9"/>
        <v>210</v>
      </c>
      <c r="G286" s="53"/>
      <c r="H286" s="53"/>
      <c r="I286" s="72">
        <v>210</v>
      </c>
      <c r="J286" s="53"/>
      <c r="K286" s="57"/>
      <c r="L286" s="57"/>
      <c r="M286" s="126"/>
      <c r="N286" s="58" t="str">
        <f>VLOOKUP(E286,订单号!B:C,2,0)</f>
        <v>YZ40000415</v>
      </c>
      <c r="O286" s="35" t="e">
        <f>VLOOKUP(C286,领导干部!B:B,1,0)</f>
        <v>#N/A</v>
      </c>
    </row>
    <row r="287" customHeight="1" spans="1:15">
      <c r="A287" s="47">
        <f t="shared" si="8"/>
        <v>286</v>
      </c>
      <c r="B287" s="48" t="s">
        <v>225</v>
      </c>
      <c r="C287" s="49">
        <f>IFERROR(VLOOKUP(B287,[66]工程研发事业部人员名单!B:D,2,0),"")</f>
        <v>52180</v>
      </c>
      <c r="D287" s="50" t="str">
        <f>IFERROR(VLOOKUP(B287,[66]工程研发事业部人员名单!B:D,3,0),"")</f>
        <v>结构一室</v>
      </c>
      <c r="E287" s="51" t="s">
        <v>642</v>
      </c>
      <c r="F287" s="52">
        <f t="shared" si="9"/>
        <v>170</v>
      </c>
      <c r="G287" s="53"/>
      <c r="H287" s="53"/>
      <c r="I287" s="72">
        <v>170</v>
      </c>
      <c r="J287" s="53"/>
      <c r="K287" s="57"/>
      <c r="L287" s="57"/>
      <c r="M287" s="126"/>
      <c r="N287" s="58" t="str">
        <f>VLOOKUP(E287,订单号!B:C,2,0)</f>
        <v>YZ40000415</v>
      </c>
      <c r="O287" s="35" t="e">
        <f>VLOOKUP(C287,领导干部!B:B,1,0)</f>
        <v>#N/A</v>
      </c>
    </row>
    <row r="288" customHeight="1" spans="1:15">
      <c r="A288" s="47">
        <f t="shared" si="8"/>
        <v>287</v>
      </c>
      <c r="B288" s="54" t="s">
        <v>228</v>
      </c>
      <c r="C288" s="49">
        <f>IFERROR(VLOOKUP(B288,[66]工程研发事业部人员名单!B:D,2,0),"")</f>
        <v>51181</v>
      </c>
      <c r="D288" s="50" t="str">
        <f>IFERROR(VLOOKUP(B288,[66]工程研发事业部人员名单!B:D,3,0),"")</f>
        <v>强度室</v>
      </c>
      <c r="E288" s="51" t="s">
        <v>642</v>
      </c>
      <c r="F288" s="52">
        <f t="shared" si="9"/>
        <v>220</v>
      </c>
      <c r="G288" s="53"/>
      <c r="H288" s="53"/>
      <c r="I288" s="72">
        <v>220</v>
      </c>
      <c r="J288" s="102"/>
      <c r="K288" s="48"/>
      <c r="L288" s="73"/>
      <c r="M288" s="81"/>
      <c r="N288" s="58" t="str">
        <f>VLOOKUP(E288,订单号!B:C,2,0)</f>
        <v>YZ40000415</v>
      </c>
      <c r="O288" s="35" t="e">
        <f>VLOOKUP(C288,领导干部!B:B,1,0)</f>
        <v>#N/A</v>
      </c>
    </row>
    <row r="289" customHeight="1" spans="1:15">
      <c r="A289" s="47">
        <f t="shared" si="8"/>
        <v>288</v>
      </c>
      <c r="B289" s="54" t="s">
        <v>57</v>
      </c>
      <c r="C289" s="49">
        <f>IFERROR(VLOOKUP(B289,[66]工程研发事业部人员名单!B:D,2,0),"")</f>
        <v>52153</v>
      </c>
      <c r="D289" s="50" t="str">
        <f>IFERROR(VLOOKUP(B289,[66]工程研发事业部人员名单!B:D,3,0),"")</f>
        <v>强度室</v>
      </c>
      <c r="E289" s="51" t="s">
        <v>642</v>
      </c>
      <c r="F289" s="52">
        <f t="shared" si="9"/>
        <v>180</v>
      </c>
      <c r="G289" s="53"/>
      <c r="H289" s="53"/>
      <c r="I289" s="72">
        <v>180</v>
      </c>
      <c r="J289" s="102"/>
      <c r="K289" s="48"/>
      <c r="L289" s="73"/>
      <c r="M289" s="81"/>
      <c r="N289" s="58" t="str">
        <f>VLOOKUP(E289,订单号!B:C,2,0)</f>
        <v>YZ40000415</v>
      </c>
      <c r="O289" s="35" t="e">
        <f>VLOOKUP(C289,领导干部!B:B,1,0)</f>
        <v>#N/A</v>
      </c>
    </row>
    <row r="290" customHeight="1" spans="1:15">
      <c r="A290" s="47">
        <f t="shared" si="8"/>
        <v>289</v>
      </c>
      <c r="B290" s="54" t="s">
        <v>234</v>
      </c>
      <c r="C290" s="49">
        <f>IFERROR(VLOOKUP(B290,[66]工程研发事业部人员名单!B:D,2,0),"")</f>
        <v>50281</v>
      </c>
      <c r="D290" s="50" t="str">
        <f>IFERROR(VLOOKUP(B290,[66]工程研发事业部人员名单!B:D,3,0),"")</f>
        <v>结构一室</v>
      </c>
      <c r="E290" s="51" t="s">
        <v>642</v>
      </c>
      <c r="F290" s="52">
        <f t="shared" si="9"/>
        <v>235</v>
      </c>
      <c r="G290" s="53"/>
      <c r="H290" s="53"/>
      <c r="I290" s="72">
        <v>235</v>
      </c>
      <c r="J290" s="102"/>
      <c r="K290" s="48"/>
      <c r="L290" s="73"/>
      <c r="M290" s="81"/>
      <c r="N290" s="58" t="str">
        <f>VLOOKUP(E290,订单号!B:C,2,0)</f>
        <v>YZ40000415</v>
      </c>
      <c r="O290" s="35" t="e">
        <f>VLOOKUP(C290,领导干部!B:B,1,0)</f>
        <v>#N/A</v>
      </c>
    </row>
    <row r="291" customHeight="1" spans="1:15">
      <c r="A291" s="47">
        <f t="shared" si="8"/>
        <v>290</v>
      </c>
      <c r="B291" s="54" t="s">
        <v>92</v>
      </c>
      <c r="C291" s="49">
        <f>IFERROR(VLOOKUP(B291,[66]工程研发事业部人员名单!B:D,2,0),"")</f>
        <v>51647</v>
      </c>
      <c r="D291" s="50" t="str">
        <f>IFERROR(VLOOKUP(B291,[66]工程研发事业部人员名单!B:D,3,0),"")</f>
        <v>结构一室</v>
      </c>
      <c r="E291" s="51" t="s">
        <v>642</v>
      </c>
      <c r="F291" s="52">
        <f t="shared" si="9"/>
        <v>190</v>
      </c>
      <c r="G291" s="53"/>
      <c r="H291" s="53"/>
      <c r="I291" s="72">
        <v>190</v>
      </c>
      <c r="J291" s="102"/>
      <c r="K291" s="48"/>
      <c r="L291" s="73"/>
      <c r="M291" s="81"/>
      <c r="N291" s="58" t="str">
        <f>VLOOKUP(E291,订单号!B:C,2,0)</f>
        <v>YZ40000415</v>
      </c>
      <c r="O291" s="35" t="e">
        <f>VLOOKUP(C291,领导干部!B:B,1,0)</f>
        <v>#N/A</v>
      </c>
    </row>
    <row r="292" customHeight="1" spans="1:15">
      <c r="A292" s="47">
        <f t="shared" si="8"/>
        <v>291</v>
      </c>
      <c r="B292" s="54" t="s">
        <v>240</v>
      </c>
      <c r="C292" s="49">
        <f>IFERROR(VLOOKUP(B292,[66]工程研发事业部人员名单!B:D,2,0),"")</f>
        <v>51170</v>
      </c>
      <c r="D292" s="50" t="str">
        <f>IFERROR(VLOOKUP(B292,[66]工程研发事业部人员名单!B:D,3,0),"")</f>
        <v>结构二室</v>
      </c>
      <c r="E292" s="51" t="s">
        <v>642</v>
      </c>
      <c r="F292" s="52">
        <f t="shared" si="9"/>
        <v>220</v>
      </c>
      <c r="G292" s="53"/>
      <c r="H292" s="53"/>
      <c r="I292" s="72">
        <v>220</v>
      </c>
      <c r="J292" s="102"/>
      <c r="K292" s="48"/>
      <c r="L292" s="73"/>
      <c r="M292" s="81"/>
      <c r="N292" s="58" t="str">
        <f>VLOOKUP(E292,订单号!B:C,2,0)</f>
        <v>YZ40000415</v>
      </c>
      <c r="O292" s="35" t="e">
        <f>VLOOKUP(C292,领导干部!B:B,1,0)</f>
        <v>#N/A</v>
      </c>
    </row>
    <row r="293" customHeight="1" spans="1:15">
      <c r="A293" s="47">
        <f t="shared" si="8"/>
        <v>292</v>
      </c>
      <c r="B293" s="54" t="s">
        <v>246</v>
      </c>
      <c r="C293" s="49">
        <f>IFERROR(VLOOKUP(B293,[66]工程研发事业部人员名单!B:D,2,0),"")</f>
        <v>51183</v>
      </c>
      <c r="D293" s="50" t="str">
        <f>IFERROR(VLOOKUP(B293,[66]工程研发事业部人员名单!B:D,3,0),"")</f>
        <v>结构一室</v>
      </c>
      <c r="E293" s="51" t="s">
        <v>642</v>
      </c>
      <c r="F293" s="52">
        <f t="shared" si="9"/>
        <v>190</v>
      </c>
      <c r="G293" s="53"/>
      <c r="H293" s="53"/>
      <c r="I293" s="72">
        <v>190</v>
      </c>
      <c r="J293" s="102"/>
      <c r="K293" s="48"/>
      <c r="L293" s="73"/>
      <c r="M293" s="81"/>
      <c r="N293" s="58" t="str">
        <f>VLOOKUP(E293,订单号!B:C,2,0)</f>
        <v>YZ40000415</v>
      </c>
      <c r="O293" s="35" t="e">
        <f>VLOOKUP(C293,领导干部!B:B,1,0)</f>
        <v>#N/A</v>
      </c>
    </row>
    <row r="294" customHeight="1" spans="1:15">
      <c r="A294" s="47">
        <f t="shared" si="8"/>
        <v>293</v>
      </c>
      <c r="B294" s="54" t="s">
        <v>266</v>
      </c>
      <c r="C294" s="49">
        <f>IFERROR(VLOOKUP(B294,[66]工程研发事业部人员名单!B:D,2,0),"")</f>
        <v>50275</v>
      </c>
      <c r="D294" s="50" t="str">
        <f>IFERROR(VLOOKUP(B294,[66]工程研发事业部人员名单!B:D,3,0),"")</f>
        <v>结构一室</v>
      </c>
      <c r="E294" s="51" t="s">
        <v>642</v>
      </c>
      <c r="F294" s="52">
        <f t="shared" si="9"/>
        <v>220</v>
      </c>
      <c r="G294" s="53"/>
      <c r="H294" s="53"/>
      <c r="I294" s="72">
        <v>220</v>
      </c>
      <c r="J294" s="102"/>
      <c r="K294" s="48"/>
      <c r="L294" s="73"/>
      <c r="M294" s="81"/>
      <c r="N294" s="58" t="str">
        <f>VLOOKUP(E294,订单号!B:C,2,0)</f>
        <v>YZ40000415</v>
      </c>
      <c r="O294" s="35" t="e">
        <f>VLOOKUP(C294,领导干部!B:B,1,0)</f>
        <v>#N/A</v>
      </c>
    </row>
    <row r="295" customHeight="1" spans="1:15">
      <c r="A295" s="47">
        <f t="shared" si="8"/>
        <v>294</v>
      </c>
      <c r="B295" s="54" t="s">
        <v>274</v>
      </c>
      <c r="C295" s="49">
        <f>IFERROR(VLOOKUP(B295,[66]工程研发事业部人员名单!B:D,2,0),"")</f>
        <v>26689</v>
      </c>
      <c r="D295" s="50" t="str">
        <f>IFERROR(VLOOKUP(B295,[66]工程研发事业部人员名单!B:D,3,0),"")</f>
        <v>强度室</v>
      </c>
      <c r="E295" s="51" t="s">
        <v>642</v>
      </c>
      <c r="F295" s="52">
        <f t="shared" si="9"/>
        <v>190</v>
      </c>
      <c r="G295" s="53"/>
      <c r="H295" s="53"/>
      <c r="I295" s="72">
        <v>190</v>
      </c>
      <c r="J295" s="102"/>
      <c r="K295" s="48"/>
      <c r="L295" s="73"/>
      <c r="M295" s="81"/>
      <c r="N295" s="58" t="str">
        <f>VLOOKUP(E295,订单号!B:C,2,0)</f>
        <v>YZ40000415</v>
      </c>
      <c r="O295" s="35" t="e">
        <f>VLOOKUP(C295,领导干部!B:B,1,0)</f>
        <v>#N/A</v>
      </c>
    </row>
    <row r="296" customHeight="1" spans="1:15">
      <c r="A296" s="47">
        <f t="shared" si="8"/>
        <v>295</v>
      </c>
      <c r="B296" s="54" t="s">
        <v>280</v>
      </c>
      <c r="C296" s="49">
        <f>IFERROR(VLOOKUP(B296,[66]工程研发事业部人员名单!B:D,2,0),"")</f>
        <v>52131</v>
      </c>
      <c r="D296" s="50" t="str">
        <f>IFERROR(VLOOKUP(B296,[66]工程研发事业部人员名单!B:D,3,0),"")</f>
        <v>结构二室</v>
      </c>
      <c r="E296" s="51" t="s">
        <v>642</v>
      </c>
      <c r="F296" s="52">
        <f t="shared" si="9"/>
        <v>180</v>
      </c>
      <c r="G296" s="53"/>
      <c r="H296" s="53"/>
      <c r="I296" s="72">
        <v>180</v>
      </c>
      <c r="J296" s="102"/>
      <c r="K296" s="48"/>
      <c r="L296" s="73"/>
      <c r="M296" s="81"/>
      <c r="N296" s="58" t="str">
        <f>VLOOKUP(E296,订单号!B:C,2,0)</f>
        <v>YZ40000415</v>
      </c>
      <c r="O296" s="35" t="e">
        <f>VLOOKUP(C296,领导干部!B:B,1,0)</f>
        <v>#N/A</v>
      </c>
    </row>
    <row r="297" customHeight="1" spans="1:15">
      <c r="A297" s="47">
        <f t="shared" si="8"/>
        <v>296</v>
      </c>
      <c r="B297" s="54" t="s">
        <v>286</v>
      </c>
      <c r="C297" s="49">
        <f>IFERROR(VLOOKUP(B297,[66]工程研发事业部人员名单!B:D,2,0),"")</f>
        <v>51158</v>
      </c>
      <c r="D297" s="50" t="str">
        <f>IFERROR(VLOOKUP(B297,[66]工程研发事业部人员名单!B:D,3,0),"")</f>
        <v>强度室</v>
      </c>
      <c r="E297" s="51" t="s">
        <v>642</v>
      </c>
      <c r="F297" s="52">
        <f t="shared" si="9"/>
        <v>200</v>
      </c>
      <c r="G297" s="53"/>
      <c r="H297" s="53"/>
      <c r="I297" s="72">
        <v>200</v>
      </c>
      <c r="J297" s="102"/>
      <c r="K297" s="48"/>
      <c r="L297" s="73"/>
      <c r="M297" s="81"/>
      <c r="N297" s="58" t="str">
        <f>VLOOKUP(E297,订单号!B:C,2,0)</f>
        <v>YZ40000415</v>
      </c>
      <c r="O297" s="35" t="e">
        <f>VLOOKUP(C297,领导干部!B:B,1,0)</f>
        <v>#N/A</v>
      </c>
    </row>
    <row r="298" customHeight="1" spans="1:15">
      <c r="A298" s="47">
        <f t="shared" si="8"/>
        <v>297</v>
      </c>
      <c r="B298" s="54" t="s">
        <v>291</v>
      </c>
      <c r="C298" s="49">
        <f>IFERROR(VLOOKUP(B298,[66]工程研发事业部人员名单!B:D,2,0),"")</f>
        <v>25765</v>
      </c>
      <c r="D298" s="50" t="str">
        <f>IFERROR(VLOOKUP(B298,[66]工程研发事业部人员名单!B:D,3,0),"")</f>
        <v>结构一室</v>
      </c>
      <c r="E298" s="51" t="s">
        <v>642</v>
      </c>
      <c r="F298" s="52">
        <f t="shared" si="9"/>
        <v>190</v>
      </c>
      <c r="G298" s="53"/>
      <c r="H298" s="53"/>
      <c r="I298" s="72">
        <v>190</v>
      </c>
      <c r="J298" s="102"/>
      <c r="K298" s="48"/>
      <c r="L298" s="73"/>
      <c r="M298" s="81"/>
      <c r="N298" s="58" t="str">
        <f>VLOOKUP(E298,订单号!B:C,2,0)</f>
        <v>YZ40000415</v>
      </c>
      <c r="O298" s="35" t="e">
        <f>VLOOKUP(C298,领导干部!B:B,1,0)</f>
        <v>#N/A</v>
      </c>
    </row>
    <row r="299" customHeight="1" spans="1:15">
      <c r="A299" s="47">
        <f t="shared" si="8"/>
        <v>298</v>
      </c>
      <c r="B299" s="54" t="s">
        <v>294</v>
      </c>
      <c r="C299" s="49">
        <f>IFERROR(VLOOKUP(B299,[66]工程研发事业部人员名单!B:D,2,0),"")</f>
        <v>50726</v>
      </c>
      <c r="D299" s="50" t="str">
        <f>IFERROR(VLOOKUP(B299,[66]工程研发事业部人员名单!B:D,3,0),"")</f>
        <v>强度室</v>
      </c>
      <c r="E299" s="51" t="s">
        <v>642</v>
      </c>
      <c r="F299" s="52">
        <f t="shared" si="9"/>
        <v>200</v>
      </c>
      <c r="G299" s="53"/>
      <c r="H299" s="53"/>
      <c r="I299" s="72">
        <v>200</v>
      </c>
      <c r="J299" s="102"/>
      <c r="K299" s="48"/>
      <c r="L299" s="73"/>
      <c r="M299" s="81"/>
      <c r="N299" s="58" t="str">
        <f>VLOOKUP(E299,订单号!B:C,2,0)</f>
        <v>YZ40000415</v>
      </c>
      <c r="O299" s="35" t="e">
        <f>VLOOKUP(C299,领导干部!B:B,1,0)</f>
        <v>#N/A</v>
      </c>
    </row>
    <row r="300" customHeight="1" spans="1:15">
      <c r="A300" s="47">
        <f t="shared" si="8"/>
        <v>299</v>
      </c>
      <c r="B300" s="54" t="s">
        <v>297</v>
      </c>
      <c r="C300" s="49">
        <f>IFERROR(VLOOKUP(B300,[66]工程研发事业部人员名单!B:D,2,0),"")</f>
        <v>51227</v>
      </c>
      <c r="D300" s="50" t="str">
        <f>IFERROR(VLOOKUP(B300,[66]工程研发事业部人员名单!B:D,3,0),"")</f>
        <v>结构一室</v>
      </c>
      <c r="E300" s="51" t="s">
        <v>642</v>
      </c>
      <c r="F300" s="52">
        <f t="shared" si="9"/>
        <v>180</v>
      </c>
      <c r="G300" s="53"/>
      <c r="H300" s="53"/>
      <c r="I300" s="72">
        <v>180</v>
      </c>
      <c r="J300" s="102"/>
      <c r="K300" s="48"/>
      <c r="L300" s="73"/>
      <c r="M300" s="81"/>
      <c r="N300" s="58" t="str">
        <f>VLOOKUP(E300,订单号!B:C,2,0)</f>
        <v>YZ40000415</v>
      </c>
      <c r="O300" s="35" t="e">
        <f>VLOOKUP(C300,领导干部!B:B,1,0)</f>
        <v>#N/A</v>
      </c>
    </row>
    <row r="301" customHeight="1" spans="1:15">
      <c r="A301" s="47">
        <f t="shared" si="8"/>
        <v>300</v>
      </c>
      <c r="B301" s="54" t="s">
        <v>311</v>
      </c>
      <c r="C301" s="49">
        <f>IFERROR(VLOOKUP(B301,[66]工程研发事业部人员名单!B:D,2,0),"")</f>
        <v>51435</v>
      </c>
      <c r="D301" s="50" t="str">
        <f>IFERROR(VLOOKUP(B301,[66]工程研发事业部人员名单!B:D,3,0),"")</f>
        <v>系统室</v>
      </c>
      <c r="E301" s="51" t="s">
        <v>642</v>
      </c>
      <c r="F301" s="52">
        <f t="shared" si="9"/>
        <v>28</v>
      </c>
      <c r="G301" s="53"/>
      <c r="H301" s="53"/>
      <c r="I301" s="72">
        <v>28</v>
      </c>
      <c r="J301" s="102"/>
      <c r="K301" s="48"/>
      <c r="L301" s="73"/>
      <c r="M301" s="81"/>
      <c r="N301" s="58" t="str">
        <f>VLOOKUP(E301,订单号!B:C,2,0)</f>
        <v>YZ40000415</v>
      </c>
      <c r="O301" s="35" t="e">
        <f>VLOOKUP(C301,领导干部!B:B,1,0)</f>
        <v>#N/A</v>
      </c>
    </row>
    <row r="302" customHeight="1" spans="1:15">
      <c r="A302" s="47">
        <f t="shared" si="8"/>
        <v>301</v>
      </c>
      <c r="B302" s="54" t="s">
        <v>61</v>
      </c>
      <c r="C302" s="49">
        <f>IFERROR(VLOOKUP(B302,[66]工程研发事业部人员名单!B:D,2,0),"")</f>
        <v>52569</v>
      </c>
      <c r="D302" s="50" t="str">
        <f>IFERROR(VLOOKUP(B302,[66]工程研发事业部人员名单!B:D,3,0),"")</f>
        <v>强度室</v>
      </c>
      <c r="E302" s="51" t="s">
        <v>642</v>
      </c>
      <c r="F302" s="52">
        <f t="shared" si="9"/>
        <v>170</v>
      </c>
      <c r="G302" s="53"/>
      <c r="H302" s="53"/>
      <c r="I302" s="72">
        <v>170</v>
      </c>
      <c r="J302" s="102"/>
      <c r="K302" s="48"/>
      <c r="L302" s="73"/>
      <c r="M302" s="81"/>
      <c r="N302" s="58" t="str">
        <f>VLOOKUP(E302,订单号!B:C,2,0)</f>
        <v>YZ40000415</v>
      </c>
      <c r="O302" s="35" t="e">
        <f>VLOOKUP(C302,领导干部!B:B,1,0)</f>
        <v>#N/A</v>
      </c>
    </row>
    <row r="303" customHeight="1" spans="1:15">
      <c r="A303" s="47">
        <f t="shared" si="8"/>
        <v>302</v>
      </c>
      <c r="B303" s="54" t="s">
        <v>355</v>
      </c>
      <c r="C303" s="49">
        <f>IFERROR(VLOOKUP(B303,[66]工程研发事业部人员名单!B:D,2,0),"")</f>
        <v>51844</v>
      </c>
      <c r="D303" s="50" t="str">
        <f>IFERROR(VLOOKUP(B303,[66]工程研发事业部人员名单!B:D,3,0),"")</f>
        <v>结构一室</v>
      </c>
      <c r="E303" s="51" t="s">
        <v>642</v>
      </c>
      <c r="F303" s="52">
        <f t="shared" si="9"/>
        <v>210</v>
      </c>
      <c r="G303" s="53"/>
      <c r="H303" s="53"/>
      <c r="I303" s="72">
        <v>210</v>
      </c>
      <c r="J303" s="102"/>
      <c r="K303" s="48"/>
      <c r="L303" s="73"/>
      <c r="M303" s="81"/>
      <c r="N303" s="58" t="str">
        <f>VLOOKUP(E303,订单号!B:C,2,0)</f>
        <v>YZ40000415</v>
      </c>
      <c r="O303" s="35" t="e">
        <f>VLOOKUP(C303,领导干部!B:B,1,0)</f>
        <v>#N/A</v>
      </c>
    </row>
    <row r="304" customHeight="1" spans="1:15">
      <c r="A304" s="47">
        <f t="shared" si="8"/>
        <v>303</v>
      </c>
      <c r="B304" s="54" t="s">
        <v>364</v>
      </c>
      <c r="C304" s="49">
        <f>IFERROR(VLOOKUP(B304,[66]工程研发事业部人员名单!B:D,2,0),"")</f>
        <v>52236</v>
      </c>
      <c r="D304" s="50" t="str">
        <f>IFERROR(VLOOKUP(B304,[66]工程研发事业部人员名单!B:D,3,0),"")</f>
        <v>结构一室</v>
      </c>
      <c r="E304" s="51" t="s">
        <v>642</v>
      </c>
      <c r="F304" s="52">
        <f t="shared" si="9"/>
        <v>180</v>
      </c>
      <c r="G304" s="53"/>
      <c r="H304" s="53"/>
      <c r="I304" s="72">
        <v>180</v>
      </c>
      <c r="J304" s="102"/>
      <c r="K304" s="48"/>
      <c r="L304" s="73"/>
      <c r="M304" s="81"/>
      <c r="N304" s="58" t="str">
        <f>VLOOKUP(E304,订单号!B:C,2,0)</f>
        <v>YZ40000415</v>
      </c>
      <c r="O304" s="35" t="e">
        <f>VLOOKUP(C304,领导干部!B:B,1,0)</f>
        <v>#N/A</v>
      </c>
    </row>
    <row r="305" customHeight="1" spans="1:15">
      <c r="A305" s="47">
        <f t="shared" si="8"/>
        <v>304</v>
      </c>
      <c r="B305" s="54" t="s">
        <v>319</v>
      </c>
      <c r="C305" s="49">
        <f>IFERROR(VLOOKUP(B305,[66]工程研发事业部人员名单!B:D,2,0),"")</f>
        <v>51642</v>
      </c>
      <c r="D305" s="50" t="str">
        <f>IFERROR(VLOOKUP(B305,[66]工程研发事业部人员名单!B:D,3,0),"")</f>
        <v>结构二室</v>
      </c>
      <c r="E305" s="51" t="s">
        <v>642</v>
      </c>
      <c r="F305" s="52">
        <f t="shared" si="9"/>
        <v>200</v>
      </c>
      <c r="G305" s="53"/>
      <c r="H305" s="53"/>
      <c r="I305" s="72">
        <v>200</v>
      </c>
      <c r="J305" s="102"/>
      <c r="K305" s="48"/>
      <c r="L305" s="73"/>
      <c r="M305" s="81"/>
      <c r="N305" s="58" t="str">
        <f>VLOOKUP(E305,订单号!B:C,2,0)</f>
        <v>YZ40000415</v>
      </c>
      <c r="O305" s="35" t="e">
        <f>VLOOKUP(C305,领导干部!B:B,1,0)</f>
        <v>#N/A</v>
      </c>
    </row>
    <row r="306" customHeight="1" spans="1:15">
      <c r="A306" s="47">
        <f t="shared" si="8"/>
        <v>305</v>
      </c>
      <c r="B306" s="54" t="s">
        <v>56</v>
      </c>
      <c r="C306" s="49">
        <f>IFERROR(VLOOKUP(B306,[66]工程研发事业部人员名单!B:D,2,0),"")</f>
        <v>52560</v>
      </c>
      <c r="D306" s="50" t="str">
        <f>IFERROR(VLOOKUP(B306,[66]工程研发事业部人员名单!B:D,3,0),"")</f>
        <v>强度室</v>
      </c>
      <c r="E306" s="51" t="s">
        <v>642</v>
      </c>
      <c r="F306" s="52">
        <f t="shared" si="9"/>
        <v>160</v>
      </c>
      <c r="G306" s="53"/>
      <c r="H306" s="53"/>
      <c r="I306" s="72">
        <v>160</v>
      </c>
      <c r="J306" s="102"/>
      <c r="K306" s="48"/>
      <c r="L306" s="73"/>
      <c r="M306" s="81"/>
      <c r="N306" s="58" t="str">
        <f>VLOOKUP(E306,订单号!B:C,2,0)</f>
        <v>YZ40000415</v>
      </c>
      <c r="O306" s="35" t="e">
        <f>VLOOKUP(C306,领导干部!B:B,1,0)</f>
        <v>#N/A</v>
      </c>
    </row>
    <row r="307" customHeight="1" spans="1:15">
      <c r="A307" s="47">
        <f t="shared" si="8"/>
        <v>306</v>
      </c>
      <c r="B307" s="54" t="s">
        <v>373</v>
      </c>
      <c r="C307" s="49">
        <f>IFERROR(VLOOKUP(B307,[66]工程研发事业部人员名单!B:D,2,0),"")</f>
        <v>51234</v>
      </c>
      <c r="D307" s="50" t="str">
        <f>IFERROR(VLOOKUP(B307,[66]工程研发事业部人员名单!B:D,3,0),"")</f>
        <v>结构二室</v>
      </c>
      <c r="E307" s="51" t="s">
        <v>642</v>
      </c>
      <c r="F307" s="52">
        <f t="shared" si="9"/>
        <v>200</v>
      </c>
      <c r="G307" s="53"/>
      <c r="H307" s="53"/>
      <c r="I307" s="72">
        <v>200</v>
      </c>
      <c r="J307" s="102"/>
      <c r="K307" s="48"/>
      <c r="L307" s="73"/>
      <c r="M307" s="81"/>
      <c r="N307" s="58" t="str">
        <f>VLOOKUP(E307,订单号!B:C,2,0)</f>
        <v>YZ40000415</v>
      </c>
      <c r="O307" s="35" t="e">
        <f>VLOOKUP(C307,领导干部!B:B,1,0)</f>
        <v>#N/A</v>
      </c>
    </row>
    <row r="308" customHeight="1" spans="1:15">
      <c r="A308" s="47">
        <f t="shared" si="8"/>
        <v>307</v>
      </c>
      <c r="B308" s="54" t="s">
        <v>375</v>
      </c>
      <c r="C308" s="49">
        <f>IFERROR(VLOOKUP(B308,[66]工程研发事业部人员名单!B:D,2,0),"")</f>
        <v>22298</v>
      </c>
      <c r="D308" s="50" t="str">
        <f>IFERROR(VLOOKUP(B308,[66]工程研发事业部人员名单!B:D,3,0),"")</f>
        <v>结构二室</v>
      </c>
      <c r="E308" s="51" t="s">
        <v>642</v>
      </c>
      <c r="F308" s="52">
        <f t="shared" si="9"/>
        <v>120</v>
      </c>
      <c r="G308" s="53"/>
      <c r="H308" s="53"/>
      <c r="I308" s="72">
        <v>120</v>
      </c>
      <c r="J308" s="102"/>
      <c r="K308" s="48"/>
      <c r="L308" s="73"/>
      <c r="M308" s="81"/>
      <c r="N308" s="58" t="str">
        <f>VLOOKUP(E308,订单号!B:C,2,0)</f>
        <v>YZ40000415</v>
      </c>
      <c r="O308" s="35" t="e">
        <f>VLOOKUP(C308,领导干部!B:B,1,0)</f>
        <v>#N/A</v>
      </c>
    </row>
    <row r="309" customHeight="1" spans="1:15">
      <c r="A309" s="47">
        <f t="shared" si="8"/>
        <v>308</v>
      </c>
      <c r="B309" s="54" t="s">
        <v>380</v>
      </c>
      <c r="C309" s="49">
        <f>IFERROR(VLOOKUP(B309,[66]工程研发事业部人员名单!B:D,2,0),"")</f>
        <v>50722</v>
      </c>
      <c r="D309" s="50" t="str">
        <f>IFERROR(VLOOKUP(B309,[66]工程研发事业部人员名单!B:D,3,0),"")</f>
        <v>强度室</v>
      </c>
      <c r="E309" s="51" t="s">
        <v>642</v>
      </c>
      <c r="F309" s="52">
        <f t="shared" si="9"/>
        <v>210</v>
      </c>
      <c r="G309" s="53"/>
      <c r="H309" s="53"/>
      <c r="I309" s="72">
        <v>210</v>
      </c>
      <c r="J309" s="102"/>
      <c r="K309" s="48"/>
      <c r="L309" s="73"/>
      <c r="M309" s="81"/>
      <c r="N309" s="58" t="str">
        <f>VLOOKUP(E309,订单号!B:C,2,0)</f>
        <v>YZ40000415</v>
      </c>
      <c r="O309" s="35" t="e">
        <f>VLOOKUP(C309,领导干部!B:B,1,0)</f>
        <v>#N/A</v>
      </c>
    </row>
    <row r="310" customHeight="1" spans="1:15">
      <c r="A310" s="47">
        <f t="shared" si="8"/>
        <v>309</v>
      </c>
      <c r="B310" s="54" t="s">
        <v>270</v>
      </c>
      <c r="C310" s="49">
        <f>IFERROR(VLOOKUP(B310,[66]工程研发事业部人员名单!B:D,2,0),"")</f>
        <v>51615</v>
      </c>
      <c r="D310" s="50" t="str">
        <f>IFERROR(VLOOKUP(B310,[66]工程研发事业部人员名单!B:D,3,0),"")</f>
        <v>结构一室</v>
      </c>
      <c r="E310" s="51" t="s">
        <v>642</v>
      </c>
      <c r="F310" s="52">
        <f t="shared" si="9"/>
        <v>200</v>
      </c>
      <c r="G310" s="53"/>
      <c r="H310" s="53"/>
      <c r="I310" s="72">
        <v>200</v>
      </c>
      <c r="J310" s="102"/>
      <c r="K310" s="48"/>
      <c r="L310" s="73"/>
      <c r="M310" s="81"/>
      <c r="N310" s="58" t="str">
        <f>VLOOKUP(E310,订单号!B:C,2,0)</f>
        <v>YZ40000415</v>
      </c>
      <c r="O310" s="35" t="e">
        <f>VLOOKUP(C310,领导干部!B:B,1,0)</f>
        <v>#N/A</v>
      </c>
    </row>
    <row r="311" customHeight="1" spans="1:15">
      <c r="A311" s="47">
        <f t="shared" si="8"/>
        <v>310</v>
      </c>
      <c r="B311" s="54" t="s">
        <v>393</v>
      </c>
      <c r="C311" s="49">
        <f>IFERROR(VLOOKUP(B311,[66]工程研发事业部人员名单!B:D,2,0),"")</f>
        <v>52133</v>
      </c>
      <c r="D311" s="50" t="str">
        <f>IFERROR(VLOOKUP(B311,[66]工程研发事业部人员名单!B:D,3,0),"")</f>
        <v>结构一室</v>
      </c>
      <c r="E311" s="51" t="s">
        <v>642</v>
      </c>
      <c r="F311" s="52">
        <f t="shared" si="9"/>
        <v>170</v>
      </c>
      <c r="G311" s="53"/>
      <c r="H311" s="53"/>
      <c r="I311" s="72">
        <v>170</v>
      </c>
      <c r="J311" s="102"/>
      <c r="K311" s="48"/>
      <c r="L311" s="73"/>
      <c r="M311" s="81"/>
      <c r="N311" s="58" t="str">
        <f>VLOOKUP(E311,订单号!B:C,2,0)</f>
        <v>YZ40000415</v>
      </c>
      <c r="O311" s="35" t="e">
        <f>VLOOKUP(C311,领导干部!B:B,1,0)</f>
        <v>#N/A</v>
      </c>
    </row>
    <row r="312" customHeight="1" spans="1:15">
      <c r="A312" s="47">
        <f t="shared" si="8"/>
        <v>311</v>
      </c>
      <c r="B312" s="54" t="s">
        <v>298</v>
      </c>
      <c r="C312" s="49">
        <f>IFERROR(VLOOKUP(B312,[66]工程研发事业部人员名单!B:D,2,0),"")</f>
        <v>51517</v>
      </c>
      <c r="D312" s="50" t="str">
        <f>IFERROR(VLOOKUP(B312,[66]工程研发事业部人员名单!B:D,3,0),"")</f>
        <v>系统室</v>
      </c>
      <c r="E312" s="51" t="s">
        <v>642</v>
      </c>
      <c r="F312" s="52">
        <f t="shared" si="9"/>
        <v>110</v>
      </c>
      <c r="G312" s="53"/>
      <c r="H312" s="53"/>
      <c r="I312" s="72">
        <v>110</v>
      </c>
      <c r="J312" s="102"/>
      <c r="K312" s="48"/>
      <c r="L312" s="73"/>
      <c r="M312" s="81"/>
      <c r="N312" s="58" t="str">
        <f>VLOOKUP(E312,订单号!B:C,2,0)</f>
        <v>YZ40000415</v>
      </c>
      <c r="O312" s="35" t="e">
        <f>VLOOKUP(C312,领导干部!B:B,1,0)</f>
        <v>#N/A</v>
      </c>
    </row>
    <row r="313" customHeight="1" spans="1:15">
      <c r="A313" s="47">
        <f t="shared" si="8"/>
        <v>312</v>
      </c>
      <c r="B313" s="54" t="s">
        <v>408</v>
      </c>
      <c r="C313" s="49">
        <f>IFERROR(VLOOKUP(B313,[66]工程研发事业部人员名单!B:D,2,0),"")</f>
        <v>25548</v>
      </c>
      <c r="D313" s="50" t="str">
        <f>IFERROR(VLOOKUP(B313,[66]工程研发事业部人员名单!B:D,3,0),"")</f>
        <v>结构一室</v>
      </c>
      <c r="E313" s="51" t="s">
        <v>642</v>
      </c>
      <c r="F313" s="52">
        <f t="shared" si="9"/>
        <v>180</v>
      </c>
      <c r="G313" s="53"/>
      <c r="H313" s="53"/>
      <c r="I313" s="72">
        <v>180</v>
      </c>
      <c r="J313" s="102"/>
      <c r="K313" s="48"/>
      <c r="L313" s="73"/>
      <c r="M313" s="81"/>
      <c r="N313" s="58" t="str">
        <f>VLOOKUP(E313,订单号!B:C,2,0)</f>
        <v>YZ40000415</v>
      </c>
      <c r="O313" s="35" t="e">
        <f>VLOOKUP(C313,领导干部!B:B,1,0)</f>
        <v>#N/A</v>
      </c>
    </row>
    <row r="314" customHeight="1" spans="1:15">
      <c r="A314" s="47">
        <f t="shared" si="8"/>
        <v>313</v>
      </c>
      <c r="B314" s="54" t="s">
        <v>119</v>
      </c>
      <c r="C314" s="49">
        <f>IFERROR(VLOOKUP(B314,[66]工程研发事业部人员名单!B:D,2,0),"")</f>
        <v>52341</v>
      </c>
      <c r="D314" s="50" t="str">
        <f>IFERROR(VLOOKUP(B314,[66]工程研发事业部人员名单!B:D,3,0),"")</f>
        <v>结构二室</v>
      </c>
      <c r="E314" s="51" t="s">
        <v>642</v>
      </c>
      <c r="F314" s="52">
        <f t="shared" si="9"/>
        <v>170</v>
      </c>
      <c r="G314" s="53"/>
      <c r="H314" s="53"/>
      <c r="I314" s="72">
        <v>170</v>
      </c>
      <c r="J314" s="102"/>
      <c r="K314" s="48"/>
      <c r="L314" s="73"/>
      <c r="M314" s="81"/>
      <c r="N314" s="58" t="str">
        <f>VLOOKUP(E314,订单号!B:C,2,0)</f>
        <v>YZ40000415</v>
      </c>
      <c r="O314" s="35" t="e">
        <f>VLOOKUP(C314,领导干部!B:B,1,0)</f>
        <v>#N/A</v>
      </c>
    </row>
    <row r="315" customHeight="1" spans="1:15">
      <c r="A315" s="47">
        <f t="shared" si="8"/>
        <v>314</v>
      </c>
      <c r="B315" s="54" t="s">
        <v>259</v>
      </c>
      <c r="C315" s="49">
        <f>IFERROR(VLOOKUP(B315,[66]工程研发事业部人员名单!B:D,2,0),"")</f>
        <v>51784</v>
      </c>
      <c r="D315" s="50" t="str">
        <f>IFERROR(VLOOKUP(B315,[66]工程研发事业部人员名单!B:D,3,0),"")</f>
        <v>结构一室</v>
      </c>
      <c r="E315" s="51" t="s">
        <v>642</v>
      </c>
      <c r="F315" s="52">
        <f t="shared" si="9"/>
        <v>115</v>
      </c>
      <c r="G315" s="53"/>
      <c r="H315" s="53"/>
      <c r="I315" s="72">
        <v>115</v>
      </c>
      <c r="J315" s="102"/>
      <c r="K315" s="48"/>
      <c r="L315" s="73"/>
      <c r="M315" s="81"/>
      <c r="N315" s="58" t="str">
        <f>VLOOKUP(E315,订单号!B:C,2,0)</f>
        <v>YZ40000415</v>
      </c>
      <c r="O315" s="35" t="e">
        <f>VLOOKUP(C315,领导干部!B:B,1,0)</f>
        <v>#N/A</v>
      </c>
    </row>
    <row r="316" customHeight="1" spans="1:15">
      <c r="A316" s="47">
        <f t="shared" si="8"/>
        <v>315</v>
      </c>
      <c r="B316" s="54" t="s">
        <v>94</v>
      </c>
      <c r="C316" s="49">
        <f>IFERROR(VLOOKUP(B316,[66]工程研发事业部人员名单!B:D,2,0),"")</f>
        <v>50735</v>
      </c>
      <c r="D316" s="50" t="str">
        <f>IFERROR(VLOOKUP(B316,[66]工程研发事业部人员名单!B:D,3,0),"")</f>
        <v>结构一室</v>
      </c>
      <c r="E316" s="51" t="s">
        <v>642</v>
      </c>
      <c r="F316" s="52">
        <f t="shared" si="9"/>
        <v>160</v>
      </c>
      <c r="G316" s="53"/>
      <c r="H316" s="53"/>
      <c r="I316" s="72">
        <v>160</v>
      </c>
      <c r="J316" s="102"/>
      <c r="K316" s="48"/>
      <c r="L316" s="73"/>
      <c r="M316" s="81"/>
      <c r="N316" s="58" t="str">
        <f>VLOOKUP(E316,订单号!B:C,2,0)</f>
        <v>YZ40000415</v>
      </c>
      <c r="O316" s="35" t="e">
        <f>VLOOKUP(C316,领导干部!B:B,1,0)</f>
        <v>#N/A</v>
      </c>
    </row>
    <row r="317" customHeight="1" spans="1:15">
      <c r="A317" s="47">
        <f t="shared" si="8"/>
        <v>316</v>
      </c>
      <c r="B317" s="54" t="s">
        <v>426</v>
      </c>
      <c r="C317" s="49">
        <f>IFERROR(VLOOKUP(B317,[66]工程研发事业部人员名单!B:D,2,0),"")</f>
        <v>51175</v>
      </c>
      <c r="D317" s="50" t="str">
        <f>IFERROR(VLOOKUP(B317,[66]工程研发事业部人员名单!B:D,3,0),"")</f>
        <v>强度室</v>
      </c>
      <c r="E317" s="51" t="s">
        <v>642</v>
      </c>
      <c r="F317" s="52">
        <f t="shared" si="9"/>
        <v>170</v>
      </c>
      <c r="G317" s="53"/>
      <c r="H317" s="53"/>
      <c r="I317" s="72">
        <v>170</v>
      </c>
      <c r="J317" s="102"/>
      <c r="K317" s="48"/>
      <c r="L317" s="73"/>
      <c r="M317" s="81"/>
      <c r="N317" s="58" t="str">
        <f>VLOOKUP(E317,订单号!B:C,2,0)</f>
        <v>YZ40000415</v>
      </c>
      <c r="O317" s="35" t="e">
        <f>VLOOKUP(C317,领导干部!B:B,1,0)</f>
        <v>#N/A</v>
      </c>
    </row>
    <row r="318" customHeight="1" spans="1:15">
      <c r="A318" s="47">
        <f t="shared" si="8"/>
        <v>317</v>
      </c>
      <c r="B318" s="54" t="s">
        <v>428</v>
      </c>
      <c r="C318" s="49">
        <f>IFERROR(VLOOKUP(B318,[66]工程研发事业部人员名单!B:D,2,0),"")</f>
        <v>25762</v>
      </c>
      <c r="D318" s="50" t="str">
        <f>IFERROR(VLOOKUP(B318,[66]工程研发事业部人员名单!B:D,3,0),"")</f>
        <v>结构二室</v>
      </c>
      <c r="E318" s="51" t="s">
        <v>642</v>
      </c>
      <c r="F318" s="52">
        <f t="shared" si="9"/>
        <v>180</v>
      </c>
      <c r="G318" s="53"/>
      <c r="H318" s="53"/>
      <c r="I318" s="72">
        <v>180</v>
      </c>
      <c r="J318" s="102"/>
      <c r="K318" s="48"/>
      <c r="L318" s="73"/>
      <c r="M318" s="81"/>
      <c r="N318" s="58" t="str">
        <f>VLOOKUP(E318,订单号!B:C,2,0)</f>
        <v>YZ40000415</v>
      </c>
      <c r="O318" s="35" t="e">
        <f>VLOOKUP(C318,领导干部!B:B,1,0)</f>
        <v>#N/A</v>
      </c>
    </row>
    <row r="319" customHeight="1" spans="1:15">
      <c r="A319" s="47">
        <f t="shared" si="8"/>
        <v>318</v>
      </c>
      <c r="B319" s="54" t="s">
        <v>95</v>
      </c>
      <c r="C319" s="49">
        <f>IFERROR(VLOOKUP(B319,[66]工程研发事业部人员名单!B:D,2,0),"")</f>
        <v>52579</v>
      </c>
      <c r="D319" s="50" t="str">
        <f>IFERROR(VLOOKUP(B319,[66]工程研发事业部人员名单!B:D,3,0),"")</f>
        <v>结构一室</v>
      </c>
      <c r="E319" s="51" t="s">
        <v>643</v>
      </c>
      <c r="F319" s="52">
        <f t="shared" si="9"/>
        <v>180</v>
      </c>
      <c r="G319" s="53"/>
      <c r="H319" s="53"/>
      <c r="I319" s="72">
        <v>180</v>
      </c>
      <c r="J319" s="102"/>
      <c r="K319" s="48"/>
      <c r="L319" s="73"/>
      <c r="M319" s="81"/>
      <c r="N319" s="58" t="str">
        <f>VLOOKUP(E319,订单号!B:C,2,0)</f>
        <v>YZ40000418</v>
      </c>
      <c r="O319" s="35" t="e">
        <f>VLOOKUP(C319,领导干部!B:B,1,0)</f>
        <v>#N/A</v>
      </c>
    </row>
    <row r="320" customHeight="1" spans="1:15">
      <c r="A320" s="47">
        <f t="shared" si="8"/>
        <v>319</v>
      </c>
      <c r="B320" s="54" t="s">
        <v>314</v>
      </c>
      <c r="C320" s="49">
        <f>IFERROR(VLOOKUP(B320,[66]工程研发事业部人员名单!B:D,2,0),"")</f>
        <v>51407</v>
      </c>
      <c r="D320" s="50" t="str">
        <f>IFERROR(VLOOKUP(B320,[66]工程研发事业部人员名单!B:D,3,0),"")</f>
        <v>结构二室</v>
      </c>
      <c r="E320" s="51" t="s">
        <v>643</v>
      </c>
      <c r="F320" s="52">
        <f t="shared" si="9"/>
        <v>210</v>
      </c>
      <c r="G320" s="53"/>
      <c r="H320" s="53"/>
      <c r="I320" s="72">
        <v>210</v>
      </c>
      <c r="J320" s="102"/>
      <c r="K320" s="48"/>
      <c r="L320" s="73"/>
      <c r="M320" s="81"/>
      <c r="N320" s="58" t="str">
        <f>VLOOKUP(E320,订单号!B:C,2,0)</f>
        <v>YZ40000418</v>
      </c>
      <c r="O320" s="35" t="e">
        <f>VLOOKUP(C320,领导干部!B:B,1,0)</f>
        <v>#N/A</v>
      </c>
    </row>
    <row r="321" customHeight="1" spans="1:15">
      <c r="A321" s="47">
        <f t="shared" si="8"/>
        <v>320</v>
      </c>
      <c r="B321" s="54" t="s">
        <v>440</v>
      </c>
      <c r="C321" s="49">
        <f>IFERROR(VLOOKUP(B321,[66]工程研发事业部人员名单!B:D,2,0),"")</f>
        <v>50716</v>
      </c>
      <c r="D321" s="50" t="str">
        <f>IFERROR(VLOOKUP(B321,[66]工程研发事业部人员名单!B:D,3,0),"")</f>
        <v>强度室</v>
      </c>
      <c r="E321" s="51" t="s">
        <v>643</v>
      </c>
      <c r="F321" s="52">
        <f t="shared" si="9"/>
        <v>190</v>
      </c>
      <c r="G321" s="53"/>
      <c r="H321" s="53"/>
      <c r="I321" s="72">
        <v>190</v>
      </c>
      <c r="J321" s="102"/>
      <c r="K321" s="48"/>
      <c r="L321" s="73"/>
      <c r="M321" s="81"/>
      <c r="N321" s="58" t="str">
        <f>VLOOKUP(E321,订单号!B:C,2,0)</f>
        <v>YZ40000418</v>
      </c>
      <c r="O321" s="35" t="e">
        <f>VLOOKUP(C321,领导干部!B:B,1,0)</f>
        <v>#N/A</v>
      </c>
    </row>
    <row r="322" customHeight="1" spans="1:15">
      <c r="A322" s="47">
        <f t="shared" ref="A322:A385" si="10">ROW()-1</f>
        <v>321</v>
      </c>
      <c r="B322" s="54" t="s">
        <v>267</v>
      </c>
      <c r="C322" s="49">
        <f>IFERROR(VLOOKUP(B322,[66]工程研发事业部人员名单!B:D,2,0),"")</f>
        <v>51624</v>
      </c>
      <c r="D322" s="50" t="str">
        <f>IFERROR(VLOOKUP(B322,[66]工程研发事业部人员名单!B:D,3,0),"")</f>
        <v>结构一室</v>
      </c>
      <c r="E322" s="51" t="s">
        <v>643</v>
      </c>
      <c r="F322" s="52">
        <f t="shared" ref="F322:F385" si="11">G322+H322+I322+J322</f>
        <v>200</v>
      </c>
      <c r="G322" s="53"/>
      <c r="H322" s="53"/>
      <c r="I322" s="72">
        <v>200</v>
      </c>
      <c r="J322" s="102"/>
      <c r="K322" s="48"/>
      <c r="L322" s="73"/>
      <c r="M322" s="81"/>
      <c r="N322" s="58" t="str">
        <f>VLOOKUP(E322,订单号!B:C,2,0)</f>
        <v>YZ40000418</v>
      </c>
      <c r="O322" s="35" t="e">
        <f>VLOOKUP(C322,领导干部!B:B,1,0)</f>
        <v>#N/A</v>
      </c>
    </row>
    <row r="323" customHeight="1" spans="1:15">
      <c r="A323" s="47">
        <f t="shared" si="10"/>
        <v>322</v>
      </c>
      <c r="B323" s="54" t="s">
        <v>93</v>
      </c>
      <c r="C323" s="49">
        <f>IFERROR(VLOOKUP(B323,[66]工程研发事业部人员名单!B:D,2,0),"")</f>
        <v>25078</v>
      </c>
      <c r="D323" s="50" t="str">
        <f>IFERROR(VLOOKUP(B323,[66]工程研发事业部人员名单!B:D,3,0),"")</f>
        <v>结构一室</v>
      </c>
      <c r="E323" s="51" t="s">
        <v>643</v>
      </c>
      <c r="F323" s="52">
        <f t="shared" si="11"/>
        <v>200</v>
      </c>
      <c r="G323" s="53"/>
      <c r="H323" s="53"/>
      <c r="I323" s="72">
        <v>200</v>
      </c>
      <c r="J323" s="102"/>
      <c r="K323" s="48"/>
      <c r="L323" s="73"/>
      <c r="M323" s="81"/>
      <c r="N323" s="58" t="str">
        <f>VLOOKUP(E323,订单号!B:C,2,0)</f>
        <v>YZ40000418</v>
      </c>
      <c r="O323" s="35" t="e">
        <f>VLOOKUP(C323,领导干部!B:B,1,0)</f>
        <v>#N/A</v>
      </c>
    </row>
    <row r="324" customHeight="1" spans="1:15">
      <c r="A324" s="47">
        <f t="shared" si="10"/>
        <v>323</v>
      </c>
      <c r="B324" s="54" t="s">
        <v>459</v>
      </c>
      <c r="C324" s="49">
        <f>IFERROR(VLOOKUP(B324,[66]工程研发事业部人员名单!B:D,2,0),"")</f>
        <v>51400</v>
      </c>
      <c r="D324" s="50" t="str">
        <f>IFERROR(VLOOKUP(B324,[66]工程研发事业部人员名单!B:D,3,0),"")</f>
        <v>结构一室</v>
      </c>
      <c r="E324" s="51" t="s">
        <v>643</v>
      </c>
      <c r="F324" s="52">
        <f t="shared" si="11"/>
        <v>210</v>
      </c>
      <c r="G324" s="53"/>
      <c r="H324" s="53"/>
      <c r="I324" s="72">
        <v>210</v>
      </c>
      <c r="J324" s="102"/>
      <c r="K324" s="48"/>
      <c r="L324" s="73"/>
      <c r="M324" s="81"/>
      <c r="N324" s="58" t="str">
        <f>VLOOKUP(E324,订单号!B:C,2,0)</f>
        <v>YZ40000418</v>
      </c>
      <c r="O324" s="35" t="e">
        <f>VLOOKUP(C324,领导干部!B:B,1,0)</f>
        <v>#N/A</v>
      </c>
    </row>
    <row r="325" customHeight="1" spans="1:15">
      <c r="A325" s="47">
        <f t="shared" si="10"/>
        <v>324</v>
      </c>
      <c r="B325" s="54" t="s">
        <v>62</v>
      </c>
      <c r="C325" s="49">
        <f>IFERROR(VLOOKUP(B325,[66]工程研发事业部人员名单!B:D,2,0),"")</f>
        <v>52581</v>
      </c>
      <c r="D325" s="50" t="str">
        <f>IFERROR(VLOOKUP(B325,[66]工程研发事业部人员名单!B:D,3,0),"")</f>
        <v>强度室</v>
      </c>
      <c r="E325" s="51" t="s">
        <v>643</v>
      </c>
      <c r="F325" s="52">
        <f t="shared" si="11"/>
        <v>115</v>
      </c>
      <c r="G325" s="53"/>
      <c r="H325" s="53"/>
      <c r="I325" s="72">
        <v>115</v>
      </c>
      <c r="J325" s="102"/>
      <c r="K325" s="48"/>
      <c r="L325" s="73"/>
      <c r="M325" s="81"/>
      <c r="N325" s="58" t="str">
        <f>VLOOKUP(E325,订单号!B:C,2,0)</f>
        <v>YZ40000418</v>
      </c>
      <c r="O325" s="35" t="e">
        <f>VLOOKUP(C325,领导干部!B:B,1,0)</f>
        <v>#N/A</v>
      </c>
    </row>
    <row r="326" customHeight="1" spans="1:15">
      <c r="A326" s="47">
        <f t="shared" si="10"/>
        <v>325</v>
      </c>
      <c r="B326" s="54" t="s">
        <v>327</v>
      </c>
      <c r="C326" s="49">
        <f>IFERROR(VLOOKUP(B326,[66]工程研发事业部人员名单!B:D,2,0),"")</f>
        <v>17243</v>
      </c>
      <c r="D326" s="50" t="str">
        <f>IFERROR(VLOOKUP(B326,[66]工程研发事业部人员名单!B:D,3,0),"")</f>
        <v>总体室</v>
      </c>
      <c r="E326" s="51" t="s">
        <v>643</v>
      </c>
      <c r="F326" s="52">
        <f t="shared" si="11"/>
        <v>90</v>
      </c>
      <c r="G326" s="53"/>
      <c r="H326" s="53"/>
      <c r="I326" s="72">
        <v>90</v>
      </c>
      <c r="J326" s="102"/>
      <c r="K326" s="48"/>
      <c r="L326" s="73"/>
      <c r="M326" s="81"/>
      <c r="N326" s="58" t="str">
        <f>VLOOKUP(E326,订单号!B:C,2,0)</f>
        <v>YZ40000418</v>
      </c>
      <c r="O326" s="35" t="e">
        <f>VLOOKUP(C326,领导干部!B:B,1,0)</f>
        <v>#N/A</v>
      </c>
    </row>
    <row r="327" customHeight="1" spans="1:15">
      <c r="A327" s="47">
        <f t="shared" si="10"/>
        <v>326</v>
      </c>
      <c r="B327" s="54" t="s">
        <v>470</v>
      </c>
      <c r="C327" s="49">
        <f>IFERROR(VLOOKUP(B327,[66]工程研发事业部人员名单!B:D,2,0),"")</f>
        <v>52017</v>
      </c>
      <c r="D327" s="50" t="str">
        <f>IFERROR(VLOOKUP(B327,[66]工程研发事业部人员名单!B:D,3,0),"")</f>
        <v>结构一室</v>
      </c>
      <c r="E327" s="51" t="s">
        <v>643</v>
      </c>
      <c r="F327" s="52">
        <f t="shared" si="11"/>
        <v>170</v>
      </c>
      <c r="G327" s="53"/>
      <c r="H327" s="53"/>
      <c r="I327" s="72">
        <v>170</v>
      </c>
      <c r="J327" s="102"/>
      <c r="K327" s="48"/>
      <c r="L327" s="73"/>
      <c r="M327" s="81"/>
      <c r="N327" s="58" t="str">
        <f>VLOOKUP(E327,订单号!B:C,2,0)</f>
        <v>YZ40000418</v>
      </c>
      <c r="O327" s="35" t="e">
        <f>VLOOKUP(C327,领导干部!B:B,1,0)</f>
        <v>#N/A</v>
      </c>
    </row>
    <row r="328" customHeight="1" spans="1:15">
      <c r="A328" s="47">
        <f t="shared" si="10"/>
        <v>327</v>
      </c>
      <c r="B328" s="54" t="s">
        <v>472</v>
      </c>
      <c r="C328" s="49">
        <f>IFERROR(VLOOKUP(B328,[66]工程研发事业部人员名单!B:D,2,0),"")</f>
        <v>51165</v>
      </c>
      <c r="D328" s="50" t="str">
        <f>IFERROR(VLOOKUP(B328,[66]工程研发事业部人员名单!B:D,3,0),"")</f>
        <v>结构一室</v>
      </c>
      <c r="E328" s="51" t="s">
        <v>643</v>
      </c>
      <c r="F328" s="52">
        <f t="shared" si="11"/>
        <v>210</v>
      </c>
      <c r="G328" s="53"/>
      <c r="H328" s="53"/>
      <c r="I328" s="72">
        <v>210</v>
      </c>
      <c r="J328" s="102"/>
      <c r="K328" s="48"/>
      <c r="L328" s="73"/>
      <c r="M328" s="81"/>
      <c r="N328" s="58" t="str">
        <f>VLOOKUP(E328,订单号!B:C,2,0)</f>
        <v>YZ40000418</v>
      </c>
      <c r="O328" s="35" t="e">
        <f>VLOOKUP(C328,领导干部!B:B,1,0)</f>
        <v>#N/A</v>
      </c>
    </row>
    <row r="329" customHeight="1" spans="1:15">
      <c r="A329" s="47">
        <f t="shared" si="10"/>
        <v>328</v>
      </c>
      <c r="B329" s="54" t="s">
        <v>477</v>
      </c>
      <c r="C329" s="49">
        <f>IFERROR(VLOOKUP(B329,[66]工程研发事业部人员名单!B:D,2,0),"")</f>
        <v>52063</v>
      </c>
      <c r="D329" s="50" t="str">
        <f>IFERROR(VLOOKUP(B329,[66]工程研发事业部人员名单!B:D,3,0),"")</f>
        <v>结构一室</v>
      </c>
      <c r="E329" s="51" t="s">
        <v>643</v>
      </c>
      <c r="F329" s="52">
        <f t="shared" si="11"/>
        <v>210</v>
      </c>
      <c r="G329" s="53"/>
      <c r="H329" s="53"/>
      <c r="I329" s="72">
        <v>210</v>
      </c>
      <c r="J329" s="102"/>
      <c r="K329" s="48"/>
      <c r="L329" s="73"/>
      <c r="M329" s="81"/>
      <c r="N329" s="58" t="str">
        <f>VLOOKUP(E329,订单号!B:C,2,0)</f>
        <v>YZ40000418</v>
      </c>
      <c r="O329" s="35" t="e">
        <f>VLOOKUP(C329,领导干部!B:B,1,0)</f>
        <v>#N/A</v>
      </c>
    </row>
    <row r="330" customHeight="1" spans="1:15">
      <c r="A330" s="47">
        <f t="shared" si="10"/>
        <v>329</v>
      </c>
      <c r="B330" s="54" t="s">
        <v>422</v>
      </c>
      <c r="C330" s="49">
        <f>IFERROR(VLOOKUP(B330,[66]工程研发事业部人员名单!B:D,2,0),"")</f>
        <v>50065</v>
      </c>
      <c r="D330" s="50" t="str">
        <f>IFERROR(VLOOKUP(B330,[66]工程研发事业部人员名单!B:D,3,0),"")</f>
        <v>结构二室</v>
      </c>
      <c r="E330" s="51" t="s">
        <v>643</v>
      </c>
      <c r="F330" s="52">
        <f t="shared" si="11"/>
        <v>190</v>
      </c>
      <c r="G330" s="53"/>
      <c r="H330" s="53"/>
      <c r="I330" s="72">
        <v>190</v>
      </c>
      <c r="J330" s="102"/>
      <c r="K330" s="48"/>
      <c r="L330" s="73"/>
      <c r="M330" s="81"/>
      <c r="N330" s="58" t="str">
        <f>VLOOKUP(E330,订单号!B:C,2,0)</f>
        <v>YZ40000418</v>
      </c>
      <c r="O330" s="35" t="e">
        <f>VLOOKUP(C330,领导干部!B:B,1,0)</f>
        <v>#N/A</v>
      </c>
    </row>
    <row r="331" customHeight="1" spans="1:15">
      <c r="A331" s="47">
        <f t="shared" si="10"/>
        <v>330</v>
      </c>
      <c r="B331" s="54" t="s">
        <v>491</v>
      </c>
      <c r="C331" s="49">
        <f>IFERROR(VLOOKUP(B331,[66]工程研发事业部人员名单!B:D,2,0),"")</f>
        <v>52124</v>
      </c>
      <c r="D331" s="50" t="str">
        <f>IFERROR(VLOOKUP(B331,[66]工程研发事业部人员名单!B:D,3,0),"")</f>
        <v>结构一室</v>
      </c>
      <c r="E331" s="51" t="s">
        <v>643</v>
      </c>
      <c r="F331" s="52">
        <f t="shared" si="11"/>
        <v>180</v>
      </c>
      <c r="G331" s="53"/>
      <c r="H331" s="53"/>
      <c r="I331" s="72">
        <v>180</v>
      </c>
      <c r="J331" s="102"/>
      <c r="K331" s="48"/>
      <c r="L331" s="73"/>
      <c r="M331" s="81"/>
      <c r="N331" s="58" t="str">
        <f>VLOOKUP(E331,订单号!B:C,2,0)</f>
        <v>YZ40000418</v>
      </c>
      <c r="O331" s="35" t="e">
        <f>VLOOKUP(C331,领导干部!B:B,1,0)</f>
        <v>#N/A</v>
      </c>
    </row>
    <row r="332" customHeight="1" spans="1:15">
      <c r="A332" s="47">
        <f t="shared" si="10"/>
        <v>331</v>
      </c>
      <c r="B332" s="54" t="s">
        <v>493</v>
      </c>
      <c r="C332" s="49">
        <f>IFERROR(VLOOKUP(B332,[66]工程研发事业部人员名单!B:D,2,0),"")</f>
        <v>51397</v>
      </c>
      <c r="D332" s="50" t="str">
        <f>IFERROR(VLOOKUP(B332,[66]工程研发事业部人员名单!B:D,3,0),"")</f>
        <v>结构二室</v>
      </c>
      <c r="E332" s="51" t="s">
        <v>643</v>
      </c>
      <c r="F332" s="52">
        <f t="shared" si="11"/>
        <v>210</v>
      </c>
      <c r="G332" s="53"/>
      <c r="H332" s="53"/>
      <c r="I332" s="72">
        <v>210</v>
      </c>
      <c r="J332" s="102"/>
      <c r="K332" s="48"/>
      <c r="L332" s="73"/>
      <c r="M332" s="81"/>
      <c r="N332" s="58" t="str">
        <f>VLOOKUP(E332,订单号!B:C,2,0)</f>
        <v>YZ40000418</v>
      </c>
      <c r="O332" s="35" t="e">
        <f>VLOOKUP(C332,领导干部!B:B,1,0)</f>
        <v>#N/A</v>
      </c>
    </row>
    <row r="333" customHeight="1" spans="1:15">
      <c r="A333" s="47">
        <f t="shared" si="10"/>
        <v>332</v>
      </c>
      <c r="B333" s="54" t="s">
        <v>495</v>
      </c>
      <c r="C333" s="49">
        <f>IFERROR(VLOOKUP(B333,[66]工程研发事业部人员名单!B:D,2,0),"")</f>
        <v>52345</v>
      </c>
      <c r="D333" s="50" t="str">
        <f>IFERROR(VLOOKUP(B333,[66]工程研发事业部人员名单!B:D,3,0),"")</f>
        <v>结构一室</v>
      </c>
      <c r="E333" s="51" t="s">
        <v>643</v>
      </c>
      <c r="F333" s="52">
        <f t="shared" si="11"/>
        <v>170</v>
      </c>
      <c r="G333" s="53"/>
      <c r="H333" s="53"/>
      <c r="I333" s="72">
        <v>170</v>
      </c>
      <c r="J333" s="102"/>
      <c r="K333" s="48"/>
      <c r="L333" s="73"/>
      <c r="M333" s="81"/>
      <c r="N333" s="58" t="str">
        <f>VLOOKUP(E333,订单号!B:C,2,0)</f>
        <v>YZ40000418</v>
      </c>
      <c r="O333" s="35" t="e">
        <f>VLOOKUP(C333,领导干部!B:B,1,0)</f>
        <v>#N/A</v>
      </c>
    </row>
    <row r="334" customHeight="1" spans="1:15">
      <c r="A334" s="47">
        <f t="shared" si="10"/>
        <v>333</v>
      </c>
      <c r="B334" s="54" t="s">
        <v>490</v>
      </c>
      <c r="C334" s="49">
        <f>IFERROR(VLOOKUP(B334,[66]工程研发事业部人员名单!B:D,2,0),"")</f>
        <v>51763</v>
      </c>
      <c r="D334" s="50" t="str">
        <f>IFERROR(VLOOKUP(B334,[66]工程研发事业部人员名单!B:D,3,0),"")</f>
        <v>强度室</v>
      </c>
      <c r="E334" s="51" t="s">
        <v>643</v>
      </c>
      <c r="F334" s="52">
        <f t="shared" si="11"/>
        <v>210</v>
      </c>
      <c r="G334" s="53"/>
      <c r="H334" s="53"/>
      <c r="I334" s="72">
        <v>210</v>
      </c>
      <c r="J334" s="102"/>
      <c r="K334" s="48"/>
      <c r="L334" s="73"/>
      <c r="M334" s="81"/>
      <c r="N334" s="58" t="str">
        <f>VLOOKUP(E334,订单号!B:C,2,0)</f>
        <v>YZ40000418</v>
      </c>
      <c r="O334" s="35" t="e">
        <f>VLOOKUP(C334,领导干部!B:B,1,0)</f>
        <v>#N/A</v>
      </c>
    </row>
    <row r="335" customHeight="1" spans="1:15">
      <c r="A335" s="47">
        <f t="shared" si="10"/>
        <v>334</v>
      </c>
      <c r="B335" s="54" t="s">
        <v>486</v>
      </c>
      <c r="C335" s="49">
        <f>IFERROR(VLOOKUP(B335,[66]工程研发事业部人员名单!B:D,2,0),"")</f>
        <v>28161</v>
      </c>
      <c r="D335" s="50" t="str">
        <f>IFERROR(VLOOKUP(B335,[66]工程研发事业部人员名单!B:D,3,0),"")</f>
        <v>强度室</v>
      </c>
      <c r="E335" s="51" t="s">
        <v>643</v>
      </c>
      <c r="F335" s="52">
        <f t="shared" si="11"/>
        <v>70</v>
      </c>
      <c r="G335" s="53"/>
      <c r="H335" s="53"/>
      <c r="I335" s="72">
        <v>70</v>
      </c>
      <c r="J335" s="102"/>
      <c r="K335" s="48"/>
      <c r="L335" s="73"/>
      <c r="M335" s="81"/>
      <c r="N335" s="58" t="str">
        <f>VLOOKUP(E335,订单号!B:C,2,0)</f>
        <v>YZ40000418</v>
      </c>
      <c r="O335" s="35" t="e">
        <f>VLOOKUP(C335,领导干部!B:B,1,0)</f>
        <v>#N/A</v>
      </c>
    </row>
    <row r="336" customHeight="1" spans="1:15">
      <c r="A336" s="47">
        <f t="shared" si="10"/>
        <v>335</v>
      </c>
      <c r="B336" s="54" t="s">
        <v>371</v>
      </c>
      <c r="C336" s="49">
        <f>IFERROR(VLOOKUP(B336,[66]工程研发事业部人员名单!B:D,2,0),"")</f>
        <v>51640</v>
      </c>
      <c r="D336" s="50" t="str">
        <f>IFERROR(VLOOKUP(B336,[66]工程研发事业部人员名单!B:D,3,0),"")</f>
        <v>结构一室</v>
      </c>
      <c r="E336" s="51" t="s">
        <v>643</v>
      </c>
      <c r="F336" s="52">
        <f t="shared" si="11"/>
        <v>150</v>
      </c>
      <c r="G336" s="53"/>
      <c r="H336" s="53"/>
      <c r="I336" s="72">
        <v>150</v>
      </c>
      <c r="J336" s="102"/>
      <c r="K336" s="48"/>
      <c r="L336" s="73"/>
      <c r="M336" s="81"/>
      <c r="N336" s="58" t="str">
        <f>VLOOKUP(E336,订单号!B:C,2,0)</f>
        <v>YZ40000418</v>
      </c>
      <c r="O336" s="35" t="e">
        <f>VLOOKUP(C336,领导干部!B:B,1,0)</f>
        <v>#N/A</v>
      </c>
    </row>
    <row r="337" customHeight="1" spans="1:15">
      <c r="A337" s="47">
        <f t="shared" si="10"/>
        <v>336</v>
      </c>
      <c r="B337" s="54" t="s">
        <v>455</v>
      </c>
      <c r="C337" s="49">
        <f>IFERROR(VLOOKUP(B337,[66]工程研发事业部人员名单!B:D,2,0),"")</f>
        <v>51955</v>
      </c>
      <c r="D337" s="50" t="str">
        <f>IFERROR(VLOOKUP(B337,[66]工程研发事业部人员名单!B:D,3,0),"")</f>
        <v>结构一室</v>
      </c>
      <c r="E337" s="51" t="s">
        <v>644</v>
      </c>
      <c r="F337" s="52">
        <f t="shared" si="11"/>
        <v>100</v>
      </c>
      <c r="G337" s="53"/>
      <c r="H337" s="53"/>
      <c r="I337" s="72">
        <v>100</v>
      </c>
      <c r="J337" s="102"/>
      <c r="K337" s="48"/>
      <c r="L337" s="73"/>
      <c r="M337" s="81"/>
      <c r="N337" s="58" t="str">
        <f>VLOOKUP(E337,订单号!B:C,2,0)</f>
        <v>YZ40000418</v>
      </c>
      <c r="O337" s="35" t="e">
        <f>VLOOKUP(C337,领导干部!B:B,1,0)</f>
        <v>#N/A</v>
      </c>
    </row>
    <row r="338" customHeight="1" spans="1:15">
      <c r="A338" s="47">
        <f t="shared" si="10"/>
        <v>337</v>
      </c>
      <c r="B338" s="48" t="s">
        <v>305</v>
      </c>
      <c r="C338" s="49">
        <f>IFERROR(VLOOKUP(B338,[66]工程研发事业部人员名单!B:D,2,0),"")</f>
        <v>51389</v>
      </c>
      <c r="D338" s="50" t="str">
        <f>IFERROR(VLOOKUP(B338,[66]工程研发事业部人员名单!B:D,3,0),"")</f>
        <v>系统室</v>
      </c>
      <c r="E338" s="73" t="s">
        <v>194</v>
      </c>
      <c r="F338" s="52">
        <f t="shared" si="11"/>
        <v>10</v>
      </c>
      <c r="G338" s="53"/>
      <c r="H338" s="53"/>
      <c r="I338" s="127">
        <v>10</v>
      </c>
      <c r="J338" s="72"/>
      <c r="K338" s="48"/>
      <c r="L338" s="48" t="s">
        <v>645</v>
      </c>
      <c r="M338" s="81" t="s">
        <v>646</v>
      </c>
      <c r="N338" s="58">
        <f>VLOOKUP(E338,订单号!B:C,2,0)</f>
        <v>0</v>
      </c>
      <c r="O338" s="35" t="e">
        <f>VLOOKUP(C338,领导干部!B:B,1,0)</f>
        <v>#N/A</v>
      </c>
    </row>
    <row r="339" customHeight="1" spans="1:15">
      <c r="A339" s="47">
        <f t="shared" si="10"/>
        <v>338</v>
      </c>
      <c r="B339" s="48" t="s">
        <v>360</v>
      </c>
      <c r="C339" s="49">
        <f>IFERROR(VLOOKUP(B339,[66]工程研发事业部人员名单!B:D,2,0),"")</f>
        <v>50713</v>
      </c>
      <c r="D339" s="50" t="str">
        <f>IFERROR(VLOOKUP(B339,[66]工程研发事业部人员名单!B:D,3,0),"")</f>
        <v>系统室</v>
      </c>
      <c r="E339" s="73" t="s">
        <v>194</v>
      </c>
      <c r="F339" s="52">
        <f t="shared" si="11"/>
        <v>10</v>
      </c>
      <c r="G339" s="53"/>
      <c r="H339" s="53"/>
      <c r="I339" s="127">
        <v>10</v>
      </c>
      <c r="J339" s="72"/>
      <c r="K339" s="48"/>
      <c r="L339" s="48" t="s">
        <v>645</v>
      </c>
      <c r="M339" s="81" t="s">
        <v>647</v>
      </c>
      <c r="N339" s="58">
        <f>VLOOKUP(E339,订单号!B:C,2,0)</f>
        <v>0</v>
      </c>
      <c r="O339" s="35" t="e">
        <f>VLOOKUP(C339,领导干部!B:B,1,0)</f>
        <v>#N/A</v>
      </c>
    </row>
    <row r="340" customHeight="1" spans="1:15">
      <c r="A340" s="47">
        <f t="shared" si="10"/>
        <v>339</v>
      </c>
      <c r="B340" s="48" t="s">
        <v>321</v>
      </c>
      <c r="C340" s="49">
        <f>IFERROR(VLOOKUP(B340,[66]工程研发事业部人员名单!B:D,2,0),"")</f>
        <v>51430</v>
      </c>
      <c r="D340" s="50" t="str">
        <f>IFERROR(VLOOKUP(B340,[66]工程研发事业部人员名单!B:D,3,0),"")</f>
        <v>系统室</v>
      </c>
      <c r="E340" s="73" t="s">
        <v>194</v>
      </c>
      <c r="F340" s="52">
        <f t="shared" si="11"/>
        <v>20</v>
      </c>
      <c r="G340" s="53"/>
      <c r="H340" s="53"/>
      <c r="I340" s="127">
        <v>20</v>
      </c>
      <c r="J340" s="72"/>
      <c r="K340" s="48"/>
      <c r="L340" s="48" t="s">
        <v>645</v>
      </c>
      <c r="M340" s="82" t="s">
        <v>648</v>
      </c>
      <c r="N340" s="58">
        <f>VLOOKUP(E340,订单号!B:C,2,0)</f>
        <v>0</v>
      </c>
      <c r="O340" s="35" t="e">
        <f>VLOOKUP(C340,领导干部!B:B,1,0)</f>
        <v>#N/A</v>
      </c>
    </row>
    <row r="341" customHeight="1" spans="1:15">
      <c r="A341" s="47">
        <f t="shared" si="10"/>
        <v>340</v>
      </c>
      <c r="B341" s="48" t="s">
        <v>376</v>
      </c>
      <c r="C341" s="49">
        <f>IFERROR(VLOOKUP(B341,[66]工程研发事业部人员名单!B:D,2,0),"")</f>
        <v>50872</v>
      </c>
      <c r="D341" s="50" t="str">
        <f>IFERROR(VLOOKUP(B341,[66]工程研发事业部人员名单!B:D,3,0),"")</f>
        <v>系统室</v>
      </c>
      <c r="E341" s="73" t="s">
        <v>194</v>
      </c>
      <c r="F341" s="52">
        <f t="shared" si="11"/>
        <v>20</v>
      </c>
      <c r="G341" s="53"/>
      <c r="H341" s="53"/>
      <c r="I341" s="127">
        <v>20</v>
      </c>
      <c r="J341" s="72"/>
      <c r="K341" s="48"/>
      <c r="L341" s="48" t="s">
        <v>645</v>
      </c>
      <c r="M341" s="82" t="s">
        <v>649</v>
      </c>
      <c r="N341" s="58">
        <f>VLOOKUP(E341,订单号!B:C,2,0)</f>
        <v>0</v>
      </c>
      <c r="O341" s="35" t="e">
        <f>VLOOKUP(C341,领导干部!B:B,1,0)</f>
        <v>#N/A</v>
      </c>
    </row>
    <row r="342" customHeight="1" spans="1:15">
      <c r="A342" s="47">
        <f t="shared" si="10"/>
        <v>341</v>
      </c>
      <c r="B342" s="54" t="s">
        <v>336</v>
      </c>
      <c r="C342" s="49">
        <f>IFERROR(VLOOKUP(B342,[66]工程研发事业部人员名单!B:D,2,0),"")</f>
        <v>18550</v>
      </c>
      <c r="D342" s="50" t="str">
        <f>IFERROR(VLOOKUP(B342,[66]工程研发事业部人员名单!B:D,3,0),"")</f>
        <v>总体室</v>
      </c>
      <c r="E342" s="73" t="s">
        <v>194</v>
      </c>
      <c r="F342" s="52">
        <f t="shared" si="11"/>
        <v>30</v>
      </c>
      <c r="G342" s="53"/>
      <c r="H342" s="53"/>
      <c r="I342" s="127">
        <v>30</v>
      </c>
      <c r="J342" s="75"/>
      <c r="K342" s="48"/>
      <c r="L342" s="48" t="s">
        <v>645</v>
      </c>
      <c r="M342" s="83" t="s">
        <v>650</v>
      </c>
      <c r="N342" s="58">
        <f>VLOOKUP(E342,订单号!B:C,2,0)</f>
        <v>0</v>
      </c>
      <c r="O342" s="35" t="e">
        <f>VLOOKUP(C342,领导干部!B:B,1,0)</f>
        <v>#N/A</v>
      </c>
    </row>
    <row r="343" customHeight="1" spans="1:15">
      <c r="A343" s="47">
        <f t="shared" si="10"/>
        <v>342</v>
      </c>
      <c r="B343" s="54" t="s">
        <v>375</v>
      </c>
      <c r="C343" s="49">
        <f>IFERROR(VLOOKUP(B343,[66]工程研发事业部人员名单!B:D,2,0),"")</f>
        <v>22298</v>
      </c>
      <c r="D343" s="50" t="str">
        <f>IFERROR(VLOOKUP(B343,[66]工程研发事业部人员名单!B:D,3,0),"")</f>
        <v>结构二室</v>
      </c>
      <c r="E343" s="73" t="s">
        <v>194</v>
      </c>
      <c r="F343" s="52">
        <f t="shared" si="11"/>
        <v>10</v>
      </c>
      <c r="G343" s="53"/>
      <c r="H343" s="53"/>
      <c r="I343" s="127">
        <v>10</v>
      </c>
      <c r="J343" s="75"/>
      <c r="K343" s="48"/>
      <c r="L343" s="48" t="s">
        <v>645</v>
      </c>
      <c r="M343" s="83" t="s">
        <v>651</v>
      </c>
      <c r="N343" s="58">
        <f>VLOOKUP(E343,订单号!B:C,2,0)</f>
        <v>0</v>
      </c>
      <c r="O343" s="35" t="e">
        <f>VLOOKUP(C343,领导干部!B:B,1,0)</f>
        <v>#N/A</v>
      </c>
    </row>
    <row r="344" customHeight="1" spans="1:15">
      <c r="A344" s="47">
        <f t="shared" si="10"/>
        <v>343</v>
      </c>
      <c r="B344" s="48" t="s">
        <v>308</v>
      </c>
      <c r="C344" s="49">
        <f>IFERROR(VLOOKUP(B344,[66]工程研发事业部人员名单!B:D,2,0),"")</f>
        <v>50022</v>
      </c>
      <c r="D344" s="50" t="str">
        <f>IFERROR(VLOOKUP(B344,[66]工程研发事业部人员名单!B:D,3,0),"")</f>
        <v>结构二室</v>
      </c>
      <c r="E344" s="73" t="s">
        <v>194</v>
      </c>
      <c r="F344" s="52">
        <f t="shared" si="11"/>
        <v>10</v>
      </c>
      <c r="G344" s="53"/>
      <c r="H344" s="53"/>
      <c r="I344" s="127">
        <v>10</v>
      </c>
      <c r="J344" s="72"/>
      <c r="K344" s="48"/>
      <c r="L344" s="48" t="s">
        <v>645</v>
      </c>
      <c r="M344" s="81" t="s">
        <v>652</v>
      </c>
      <c r="N344" s="58">
        <f>VLOOKUP(E344,订单号!B:C,2,0)</f>
        <v>0</v>
      </c>
      <c r="O344" s="35" t="e">
        <f>VLOOKUP(C344,领导干部!B:B,1,0)</f>
        <v>#N/A</v>
      </c>
    </row>
    <row r="345" customHeight="1" spans="1:15">
      <c r="A345" s="47">
        <f t="shared" si="10"/>
        <v>344</v>
      </c>
      <c r="B345" s="48" t="s">
        <v>322</v>
      </c>
      <c r="C345" s="49">
        <f>IFERROR(VLOOKUP(B345,[66]工程研发事业部人员名单!B:D,2,0),"")</f>
        <v>51186</v>
      </c>
      <c r="D345" s="50" t="str">
        <f>IFERROR(VLOOKUP(B345,[66]工程研发事业部人员名单!B:D,3,0),"")</f>
        <v>结构二室</v>
      </c>
      <c r="E345" s="73" t="s">
        <v>194</v>
      </c>
      <c r="F345" s="52">
        <f t="shared" si="11"/>
        <v>4</v>
      </c>
      <c r="G345" s="53"/>
      <c r="H345" s="53"/>
      <c r="I345" s="127">
        <v>4</v>
      </c>
      <c r="J345" s="72"/>
      <c r="K345" s="48"/>
      <c r="L345" s="48" t="s">
        <v>645</v>
      </c>
      <c r="M345" s="81" t="s">
        <v>652</v>
      </c>
      <c r="N345" s="58">
        <f>VLOOKUP(E345,订单号!B:C,2,0)</f>
        <v>0</v>
      </c>
      <c r="O345" s="35" t="e">
        <f>VLOOKUP(C345,领导干部!B:B,1,0)</f>
        <v>#N/A</v>
      </c>
    </row>
    <row r="346" customHeight="1" spans="1:15">
      <c r="A346" s="47">
        <f t="shared" si="10"/>
        <v>345</v>
      </c>
      <c r="B346" s="48" t="s">
        <v>422</v>
      </c>
      <c r="C346" s="49">
        <f>IFERROR(VLOOKUP(B346,[66]工程研发事业部人员名单!B:D,2,0),"")</f>
        <v>50065</v>
      </c>
      <c r="D346" s="50" t="str">
        <f>IFERROR(VLOOKUP(B346,[66]工程研发事业部人员名单!B:D,3,0),"")</f>
        <v>结构二室</v>
      </c>
      <c r="E346" s="73" t="s">
        <v>194</v>
      </c>
      <c r="F346" s="52">
        <f t="shared" si="11"/>
        <v>10</v>
      </c>
      <c r="G346" s="53"/>
      <c r="H346" s="53"/>
      <c r="I346" s="127">
        <v>10</v>
      </c>
      <c r="J346" s="72"/>
      <c r="K346" s="48"/>
      <c r="L346" s="48" t="s">
        <v>645</v>
      </c>
      <c r="M346" s="81" t="s">
        <v>653</v>
      </c>
      <c r="N346" s="58">
        <f>VLOOKUP(E346,订单号!B:C,2,0)</f>
        <v>0</v>
      </c>
      <c r="O346" s="35" t="e">
        <f>VLOOKUP(C346,领导干部!B:B,1,0)</f>
        <v>#N/A</v>
      </c>
    </row>
    <row r="347" customHeight="1" spans="1:15">
      <c r="A347" s="47">
        <f t="shared" si="10"/>
        <v>346</v>
      </c>
      <c r="B347" s="48" t="s">
        <v>482</v>
      </c>
      <c r="C347" s="49">
        <f>IFERROR(VLOOKUP(B347,[66]工程研发事业部人员名单!B:D,2,0),"")</f>
        <v>50832</v>
      </c>
      <c r="D347" s="50" t="str">
        <f>IFERROR(VLOOKUP(B347,[66]工程研发事业部人员名单!B:D,3,0),"")</f>
        <v>联络工程室</v>
      </c>
      <c r="E347" s="48" t="s">
        <v>194</v>
      </c>
      <c r="F347" s="52">
        <f t="shared" si="11"/>
        <v>10</v>
      </c>
      <c r="G347" s="53"/>
      <c r="H347" s="53"/>
      <c r="I347" s="127">
        <v>10</v>
      </c>
      <c r="J347" s="72"/>
      <c r="K347" s="48" t="s">
        <v>329</v>
      </c>
      <c r="L347" s="48" t="s">
        <v>654</v>
      </c>
      <c r="M347" s="81" t="s">
        <v>655</v>
      </c>
      <c r="N347" s="58">
        <f>VLOOKUP(E347,订单号!B:C,2,0)</f>
        <v>0</v>
      </c>
      <c r="O347" s="35" t="e">
        <f>VLOOKUP(C347,领导干部!B:B,1,0)</f>
        <v>#N/A</v>
      </c>
    </row>
    <row r="348" customHeight="1" spans="1:15">
      <c r="A348" s="47">
        <f t="shared" si="10"/>
        <v>347</v>
      </c>
      <c r="B348" s="48" t="s">
        <v>424</v>
      </c>
      <c r="C348" s="49">
        <f>IFERROR(VLOOKUP(B348,[66]工程研发事业部人员名单!B:D,2,0),"")</f>
        <v>50317</v>
      </c>
      <c r="D348" s="50" t="str">
        <f>IFERROR(VLOOKUP(B348,[66]工程研发事业部人员名单!B:D,3,0),"")</f>
        <v>联络工程室</v>
      </c>
      <c r="E348" s="73" t="s">
        <v>194</v>
      </c>
      <c r="F348" s="52">
        <f t="shared" si="11"/>
        <v>20</v>
      </c>
      <c r="G348" s="53"/>
      <c r="H348" s="53"/>
      <c r="I348" s="127">
        <v>20</v>
      </c>
      <c r="J348" s="72"/>
      <c r="K348" s="48" t="s">
        <v>191</v>
      </c>
      <c r="L348" s="48" t="s">
        <v>654</v>
      </c>
      <c r="M348" s="81" t="s">
        <v>656</v>
      </c>
      <c r="N348" s="58">
        <f>VLOOKUP(E348,订单号!B:C,2,0)</f>
        <v>0</v>
      </c>
      <c r="O348" s="35" t="e">
        <f>VLOOKUP(C348,领导干部!B:B,1,0)</f>
        <v>#N/A</v>
      </c>
    </row>
    <row r="349" customHeight="1" spans="1:15">
      <c r="A349" s="47">
        <f t="shared" si="10"/>
        <v>348</v>
      </c>
      <c r="B349" s="48" t="s">
        <v>232</v>
      </c>
      <c r="C349" s="49">
        <f>IFERROR(VLOOKUP(B349,[66]工程研发事业部人员名单!B:D,2,0),"")</f>
        <v>22253</v>
      </c>
      <c r="D349" s="50" t="str">
        <f>IFERROR(VLOOKUP(B349,[66]工程研发事业部人员名单!B:D,3,0),"")</f>
        <v>联络工程室</v>
      </c>
      <c r="E349" s="73" t="s">
        <v>194</v>
      </c>
      <c r="F349" s="52">
        <f t="shared" si="11"/>
        <v>5</v>
      </c>
      <c r="G349" s="53"/>
      <c r="H349" s="53"/>
      <c r="I349" s="127">
        <v>5</v>
      </c>
      <c r="J349" s="72"/>
      <c r="K349" s="48" t="s">
        <v>191</v>
      </c>
      <c r="L349" s="48" t="s">
        <v>654</v>
      </c>
      <c r="M349" s="81" t="s">
        <v>656</v>
      </c>
      <c r="N349" s="58">
        <f>VLOOKUP(E349,订单号!B:C,2,0)</f>
        <v>0</v>
      </c>
      <c r="O349" s="35" t="e">
        <f>VLOOKUP(C349,领导干部!B:B,1,0)</f>
        <v>#N/A</v>
      </c>
    </row>
    <row r="350" customHeight="1" spans="1:15">
      <c r="A350" s="47">
        <f t="shared" si="10"/>
        <v>349</v>
      </c>
      <c r="B350" s="48" t="s">
        <v>373</v>
      </c>
      <c r="C350" s="49">
        <f>IFERROR(VLOOKUP(B350,[66]工程研发事业部人员名单!B:D,2,0),"")</f>
        <v>51234</v>
      </c>
      <c r="D350" s="50" t="str">
        <f>IFERROR(VLOOKUP(B350,[66]工程研发事业部人员名单!B:D,3,0),"")</f>
        <v>结构二室</v>
      </c>
      <c r="E350" s="73" t="s">
        <v>194</v>
      </c>
      <c r="F350" s="52">
        <f t="shared" si="11"/>
        <v>10</v>
      </c>
      <c r="G350" s="53"/>
      <c r="H350" s="53"/>
      <c r="I350" s="127">
        <v>10</v>
      </c>
      <c r="J350" s="72"/>
      <c r="K350" s="48" t="s">
        <v>255</v>
      </c>
      <c r="L350" s="48" t="s">
        <v>654</v>
      </c>
      <c r="M350" s="81" t="s">
        <v>657</v>
      </c>
      <c r="N350" s="58">
        <f>VLOOKUP(E350,订单号!B:C,2,0)</f>
        <v>0</v>
      </c>
      <c r="O350" s="35" t="e">
        <f>VLOOKUP(C350,领导干部!B:B,1,0)</f>
        <v>#N/A</v>
      </c>
    </row>
    <row r="351" customHeight="1" spans="1:15">
      <c r="A351" s="47">
        <f t="shared" si="10"/>
        <v>350</v>
      </c>
      <c r="B351" s="48" t="s">
        <v>288</v>
      </c>
      <c r="C351" s="49">
        <f>IFERROR(VLOOKUP(B351,[66]工程研发事业部人员名单!B:D,2,0),"")</f>
        <v>52132</v>
      </c>
      <c r="D351" s="50" t="str">
        <f>IFERROR(VLOOKUP(B351,[66]工程研发事业部人员名单!B:D,3,0),"")</f>
        <v>结构二室</v>
      </c>
      <c r="E351" s="73" t="s">
        <v>194</v>
      </c>
      <c r="F351" s="52">
        <f t="shared" si="11"/>
        <v>10</v>
      </c>
      <c r="G351" s="53"/>
      <c r="H351" s="53"/>
      <c r="I351" s="127">
        <v>10</v>
      </c>
      <c r="J351" s="72"/>
      <c r="K351" s="48" t="s">
        <v>255</v>
      </c>
      <c r="L351" s="48" t="s">
        <v>654</v>
      </c>
      <c r="M351" s="81" t="s">
        <v>658</v>
      </c>
      <c r="N351" s="58">
        <f>VLOOKUP(E351,订单号!B:C,2,0)</f>
        <v>0</v>
      </c>
      <c r="O351" s="35" t="e">
        <f>VLOOKUP(C351,领导干部!B:B,1,0)</f>
        <v>#N/A</v>
      </c>
    </row>
    <row r="352" customHeight="1" spans="1:15">
      <c r="A352" s="47">
        <f t="shared" si="10"/>
        <v>351</v>
      </c>
      <c r="B352" s="48" t="s">
        <v>384</v>
      </c>
      <c r="C352" s="49">
        <f>IFERROR(VLOOKUP(B352,[66]工程研发事业部人员名单!B:D,2,0),"")</f>
        <v>50710</v>
      </c>
      <c r="D352" s="50" t="str">
        <f>IFERROR(VLOOKUP(B352,[66]工程研发事业部人员名单!B:D,3,0),"")</f>
        <v>结构二室</v>
      </c>
      <c r="E352" s="73" t="s">
        <v>194</v>
      </c>
      <c r="F352" s="52">
        <f t="shared" si="11"/>
        <v>20</v>
      </c>
      <c r="G352" s="53"/>
      <c r="H352" s="53"/>
      <c r="I352" s="127">
        <v>20</v>
      </c>
      <c r="J352" s="72"/>
      <c r="K352" s="48" t="s">
        <v>255</v>
      </c>
      <c r="L352" s="48" t="s">
        <v>654</v>
      </c>
      <c r="M352" s="81" t="s">
        <v>659</v>
      </c>
      <c r="N352" s="58">
        <f>VLOOKUP(E352,订单号!B:C,2,0)</f>
        <v>0</v>
      </c>
      <c r="O352" s="35" t="e">
        <f>VLOOKUP(C352,领导干部!B:B,1,0)</f>
        <v>#N/A</v>
      </c>
    </row>
    <row r="353" customHeight="1" spans="1:15">
      <c r="A353" s="47">
        <f t="shared" si="10"/>
        <v>352</v>
      </c>
      <c r="B353" s="48" t="s">
        <v>236</v>
      </c>
      <c r="C353" s="49">
        <f>IFERROR(VLOOKUP(B353,[66]工程研发事业部人员名单!B:D,2,0),"")</f>
        <v>51211</v>
      </c>
      <c r="D353" s="50" t="str">
        <f>IFERROR(VLOOKUP(B353,[66]工程研发事业部人员名单!B:D,3,0),"")</f>
        <v>结构一室</v>
      </c>
      <c r="E353" s="73" t="s">
        <v>194</v>
      </c>
      <c r="F353" s="52">
        <f t="shared" si="11"/>
        <v>5</v>
      </c>
      <c r="G353" s="53"/>
      <c r="H353" s="53"/>
      <c r="I353" s="127">
        <v>5</v>
      </c>
      <c r="J353" s="72"/>
      <c r="K353" s="48" t="s">
        <v>255</v>
      </c>
      <c r="L353" s="48" t="s">
        <v>654</v>
      </c>
      <c r="M353" s="81" t="s">
        <v>660</v>
      </c>
      <c r="N353" s="58">
        <f>VLOOKUP(E353,订单号!B:C,2,0)</f>
        <v>0</v>
      </c>
      <c r="O353" s="35" t="e">
        <f>VLOOKUP(C353,领导干部!B:B,1,0)</f>
        <v>#N/A</v>
      </c>
    </row>
    <row r="354" customHeight="1" spans="1:15">
      <c r="A354" s="47">
        <f t="shared" si="10"/>
        <v>353</v>
      </c>
      <c r="B354" s="48" t="s">
        <v>262</v>
      </c>
      <c r="C354" s="49">
        <f>IFERROR(VLOOKUP(B354,[66]工程研发事业部人员名单!B:D,2,0),"")</f>
        <v>22294</v>
      </c>
      <c r="D354" s="50" t="str">
        <f>IFERROR(VLOOKUP(B354,[66]工程研发事业部人员名单!B:D,3,0),"")</f>
        <v>结构一室</v>
      </c>
      <c r="E354" s="73" t="s">
        <v>194</v>
      </c>
      <c r="F354" s="52">
        <f t="shared" si="11"/>
        <v>5</v>
      </c>
      <c r="G354" s="53"/>
      <c r="H354" s="53"/>
      <c r="I354" s="127">
        <v>5</v>
      </c>
      <c r="J354" s="72"/>
      <c r="K354" s="48" t="s">
        <v>255</v>
      </c>
      <c r="L354" s="48" t="s">
        <v>645</v>
      </c>
      <c r="M354" s="81" t="s">
        <v>661</v>
      </c>
      <c r="N354" s="58">
        <f>VLOOKUP(E354,订单号!B:C,2,0)</f>
        <v>0</v>
      </c>
      <c r="O354" s="35" t="e">
        <f>VLOOKUP(C354,领导干部!B:B,1,0)</f>
        <v>#N/A</v>
      </c>
    </row>
    <row r="355" customHeight="1" spans="1:15">
      <c r="A355" s="47">
        <f t="shared" si="10"/>
        <v>354</v>
      </c>
      <c r="B355" s="48" t="s">
        <v>267</v>
      </c>
      <c r="C355" s="49">
        <f>IFERROR(VLOOKUP(B355,[66]工程研发事业部人员名单!B:D,2,0),"")</f>
        <v>51624</v>
      </c>
      <c r="D355" s="50" t="str">
        <f>IFERROR(VLOOKUP(B355,[66]工程研发事业部人员名单!B:D,3,0),"")</f>
        <v>结构一室</v>
      </c>
      <c r="E355" s="73" t="s">
        <v>194</v>
      </c>
      <c r="F355" s="52">
        <f t="shared" si="11"/>
        <v>5</v>
      </c>
      <c r="G355" s="53"/>
      <c r="H355" s="53"/>
      <c r="I355" s="127">
        <v>5</v>
      </c>
      <c r="J355" s="72"/>
      <c r="K355" s="48" t="s">
        <v>255</v>
      </c>
      <c r="L355" s="48" t="s">
        <v>645</v>
      </c>
      <c r="M355" s="81" t="s">
        <v>661</v>
      </c>
      <c r="N355" s="58">
        <f>VLOOKUP(E355,订单号!B:C,2,0)</f>
        <v>0</v>
      </c>
      <c r="O355" s="35" t="e">
        <f>VLOOKUP(C355,领导干部!B:B,1,0)</f>
        <v>#N/A</v>
      </c>
    </row>
    <row r="356" customHeight="1" spans="1:15">
      <c r="A356" s="47">
        <f t="shared" si="10"/>
        <v>355</v>
      </c>
      <c r="B356" s="48" t="s">
        <v>262</v>
      </c>
      <c r="C356" s="49">
        <f>IFERROR(VLOOKUP(B356,[66]工程研发事业部人员名单!B:D,2,0),"")</f>
        <v>22294</v>
      </c>
      <c r="D356" s="50" t="str">
        <f>IFERROR(VLOOKUP(B356,[66]工程研发事业部人员名单!B:D,3,0),"")</f>
        <v>结构一室</v>
      </c>
      <c r="E356" s="73" t="s">
        <v>194</v>
      </c>
      <c r="F356" s="52">
        <f t="shared" si="11"/>
        <v>5</v>
      </c>
      <c r="G356" s="53"/>
      <c r="H356" s="53"/>
      <c r="I356" s="127">
        <v>5</v>
      </c>
      <c r="J356" s="72"/>
      <c r="K356" s="48" t="s">
        <v>255</v>
      </c>
      <c r="L356" s="48" t="s">
        <v>654</v>
      </c>
      <c r="M356" s="81" t="s">
        <v>662</v>
      </c>
      <c r="N356" s="58"/>
      <c r="O356" s="35"/>
    </row>
    <row r="357" customHeight="1" spans="1:15">
      <c r="A357" s="47">
        <f t="shared" si="10"/>
        <v>356</v>
      </c>
      <c r="B357" s="48" t="s">
        <v>270</v>
      </c>
      <c r="C357" s="49">
        <f>IFERROR(VLOOKUP(B357,[66]工程研发事业部人员名单!B:D,2,0),"")</f>
        <v>51615</v>
      </c>
      <c r="D357" s="50" t="str">
        <f>IFERROR(VLOOKUP(B357,[66]工程研发事业部人员名单!B:D,3,0),"")</f>
        <v>结构一室</v>
      </c>
      <c r="E357" s="73" t="s">
        <v>194</v>
      </c>
      <c r="F357" s="52">
        <f t="shared" si="11"/>
        <v>5</v>
      </c>
      <c r="G357" s="53"/>
      <c r="H357" s="53"/>
      <c r="I357" s="127">
        <v>5</v>
      </c>
      <c r="J357" s="72"/>
      <c r="K357" s="48" t="s">
        <v>255</v>
      </c>
      <c r="L357" s="48" t="s">
        <v>654</v>
      </c>
      <c r="M357" s="81" t="s">
        <v>662</v>
      </c>
      <c r="N357" s="58"/>
      <c r="O357" s="35"/>
    </row>
    <row r="358" customHeight="1" spans="1:15">
      <c r="A358" s="47">
        <f t="shared" si="10"/>
        <v>357</v>
      </c>
      <c r="B358" s="48" t="s">
        <v>339</v>
      </c>
      <c r="C358" s="49">
        <f>IFERROR(VLOOKUP(B358,[66]工程研发事业部人员名单!B:D,2,0),"")</f>
        <v>50874</v>
      </c>
      <c r="D358" s="50" t="str">
        <f>IFERROR(VLOOKUP(B358,[66]工程研发事业部人员名单!B:D,3,0),"")</f>
        <v>总体室</v>
      </c>
      <c r="E358" s="73"/>
      <c r="F358" s="52">
        <f t="shared" si="11"/>
        <v>20</v>
      </c>
      <c r="G358" s="53"/>
      <c r="H358" s="53"/>
      <c r="I358" s="127">
        <v>20</v>
      </c>
      <c r="J358" s="72"/>
      <c r="K358" s="48"/>
      <c r="L358" s="48"/>
      <c r="M358" s="81" t="s">
        <v>663</v>
      </c>
      <c r="N358" s="58"/>
      <c r="O358" s="35"/>
    </row>
    <row r="359" customHeight="1" spans="1:15">
      <c r="A359" s="47">
        <f t="shared" si="10"/>
        <v>358</v>
      </c>
      <c r="B359" s="48" t="s">
        <v>339</v>
      </c>
      <c r="C359" s="49">
        <f>IFERROR(VLOOKUP(B359,[66]工程研发事业部人员名单!B:D,2,0),"")</f>
        <v>50874</v>
      </c>
      <c r="D359" s="50" t="str">
        <f>IFERROR(VLOOKUP(B359,[66]工程研发事业部人员名单!B:D,3,0),"")</f>
        <v>总体室</v>
      </c>
      <c r="E359" s="73"/>
      <c r="F359" s="52">
        <f t="shared" si="11"/>
        <v>40</v>
      </c>
      <c r="G359" s="53"/>
      <c r="H359" s="53"/>
      <c r="I359" s="127">
        <v>40</v>
      </c>
      <c r="J359" s="72"/>
      <c r="K359" s="48"/>
      <c r="L359" s="48"/>
      <c r="M359" s="81" t="s">
        <v>664</v>
      </c>
      <c r="N359" s="58"/>
      <c r="O359" s="35"/>
    </row>
    <row r="360" customHeight="1" spans="1:15">
      <c r="A360" s="47">
        <f t="shared" si="10"/>
        <v>359</v>
      </c>
      <c r="B360" s="48" t="s">
        <v>324</v>
      </c>
      <c r="C360" s="49">
        <f>IFERROR(VLOOKUP(B360,[66]工程研发事业部人员名单!B:D,2,0),"")</f>
        <v>51860</v>
      </c>
      <c r="D360" s="50" t="str">
        <f>IFERROR(VLOOKUP(B360,[66]工程研发事业部人员名单!B:D,3,0),"")</f>
        <v>总体室</v>
      </c>
      <c r="E360" s="73"/>
      <c r="F360" s="52">
        <f t="shared" si="11"/>
        <v>10</v>
      </c>
      <c r="G360" s="53"/>
      <c r="H360" s="53"/>
      <c r="I360" s="127">
        <v>10</v>
      </c>
      <c r="J360" s="72"/>
      <c r="K360" s="48"/>
      <c r="L360" s="48"/>
      <c r="M360" s="81" t="s">
        <v>582</v>
      </c>
      <c r="N360" s="58"/>
      <c r="O360" s="35"/>
    </row>
    <row r="361" customHeight="1" spans="1:15">
      <c r="A361" s="47">
        <f t="shared" si="10"/>
        <v>360</v>
      </c>
      <c r="B361" s="92"/>
      <c r="C361" s="49" t="str">
        <f>IFERROR(VLOOKUP(B361,[66]工程研发事业部人员名单!B:D,2,0),"")</f>
        <v/>
      </c>
      <c r="D361" s="50" t="str">
        <f>IFERROR(VLOOKUP(B361,[66]工程研发事业部人员名单!B:D,3,0),"")</f>
        <v/>
      </c>
      <c r="E361" s="98"/>
      <c r="F361" s="52">
        <f t="shared" si="11"/>
        <v>0</v>
      </c>
      <c r="G361" s="53"/>
      <c r="H361" s="53"/>
      <c r="I361" s="102"/>
      <c r="J361" s="102"/>
      <c r="K361" s="48"/>
      <c r="L361" s="73"/>
      <c r="M361" s="81"/>
      <c r="N361" s="58"/>
      <c r="O361" s="35"/>
    </row>
    <row r="362" customHeight="1" spans="1:15">
      <c r="A362" s="47">
        <f t="shared" si="10"/>
        <v>361</v>
      </c>
      <c r="B362" s="92"/>
      <c r="C362" s="49" t="str">
        <f>IFERROR(VLOOKUP(B362,[66]工程研发事业部人员名单!B:D,2,0),"")</f>
        <v/>
      </c>
      <c r="D362" s="50" t="str">
        <f>IFERROR(VLOOKUP(B362,[66]工程研发事业部人员名单!B:D,3,0),"")</f>
        <v/>
      </c>
      <c r="E362" s="98"/>
      <c r="F362" s="52">
        <f t="shared" si="11"/>
        <v>0</v>
      </c>
      <c r="G362" s="53"/>
      <c r="H362" s="53"/>
      <c r="I362" s="102"/>
      <c r="J362" s="102"/>
      <c r="K362" s="48"/>
      <c r="L362" s="73"/>
      <c r="M362" s="81"/>
      <c r="N362" s="58"/>
      <c r="O362" s="35"/>
    </row>
    <row r="363" customHeight="1" spans="1:15">
      <c r="A363" s="47">
        <f t="shared" si="10"/>
        <v>362</v>
      </c>
      <c r="B363" s="92"/>
      <c r="C363" s="49" t="str">
        <f>IFERROR(VLOOKUP(B363,[66]工程研发事业部人员名单!B:D,2,0),"")</f>
        <v/>
      </c>
      <c r="D363" s="50" t="str">
        <f>IFERROR(VLOOKUP(B363,[66]工程研发事业部人员名单!B:D,3,0),"")</f>
        <v/>
      </c>
      <c r="E363" s="98"/>
      <c r="F363" s="52">
        <f t="shared" si="11"/>
        <v>0</v>
      </c>
      <c r="G363" s="53"/>
      <c r="H363" s="53"/>
      <c r="I363" s="102"/>
      <c r="J363" s="102"/>
      <c r="K363" s="48"/>
      <c r="L363" s="73"/>
      <c r="M363" s="81"/>
      <c r="N363" s="58"/>
      <c r="O363" s="35"/>
    </row>
    <row r="364" customHeight="1" spans="1:15">
      <c r="A364" s="47">
        <f t="shared" si="10"/>
        <v>363</v>
      </c>
      <c r="B364" s="92"/>
      <c r="C364" s="49" t="str">
        <f>IFERROR(VLOOKUP(B364,[66]工程研发事业部人员名单!B:D,2,0),"")</f>
        <v/>
      </c>
      <c r="D364" s="50" t="str">
        <f>IFERROR(VLOOKUP(B364,[66]工程研发事业部人员名单!B:D,3,0),"")</f>
        <v/>
      </c>
      <c r="E364" s="98"/>
      <c r="F364" s="52">
        <f t="shared" si="11"/>
        <v>0</v>
      </c>
      <c r="G364" s="53"/>
      <c r="H364" s="53"/>
      <c r="I364" s="102"/>
      <c r="J364" s="102"/>
      <c r="K364" s="48"/>
      <c r="L364" s="73"/>
      <c r="M364" s="81"/>
      <c r="N364" s="58"/>
      <c r="O364" s="35"/>
    </row>
    <row r="365" customHeight="1" spans="1:15">
      <c r="A365" s="47">
        <f t="shared" si="10"/>
        <v>364</v>
      </c>
      <c r="B365" s="92"/>
      <c r="C365" s="49" t="str">
        <f>IFERROR(VLOOKUP(B365,[66]工程研发事业部人员名单!B:D,2,0),"")</f>
        <v/>
      </c>
      <c r="D365" s="50" t="str">
        <f>IFERROR(VLOOKUP(B365,[66]工程研发事业部人员名单!B:D,3,0),"")</f>
        <v/>
      </c>
      <c r="E365" s="98"/>
      <c r="F365" s="52">
        <f t="shared" si="11"/>
        <v>0</v>
      </c>
      <c r="G365" s="53"/>
      <c r="H365" s="53"/>
      <c r="I365" s="102"/>
      <c r="J365" s="102"/>
      <c r="K365" s="48"/>
      <c r="L365" s="73"/>
      <c r="M365" s="81"/>
      <c r="N365" s="58"/>
      <c r="O365" s="35"/>
    </row>
    <row r="366" customHeight="1" spans="1:13">
      <c r="A366" s="47">
        <f t="shared" si="10"/>
        <v>365</v>
      </c>
      <c r="B366" s="92"/>
      <c r="C366" s="49" t="str">
        <f>IFERROR(VLOOKUP(B366,[66]工程研发事业部人员名单!B:D,2,0),"")</f>
        <v/>
      </c>
      <c r="D366" s="50" t="str">
        <f>IFERROR(VLOOKUP(B366,[66]工程研发事业部人员名单!B:D,3,0),"")</f>
        <v/>
      </c>
      <c r="E366" s="98"/>
      <c r="F366" s="52">
        <f t="shared" si="11"/>
        <v>0</v>
      </c>
      <c r="G366" s="53"/>
      <c r="H366" s="53"/>
      <c r="I366" s="102"/>
      <c r="J366" s="102"/>
      <c r="K366" s="48"/>
      <c r="L366" s="73"/>
      <c r="M366" s="81"/>
    </row>
    <row r="367" customHeight="1" spans="1:13">
      <c r="A367" s="47">
        <f t="shared" si="10"/>
        <v>366</v>
      </c>
      <c r="B367" s="92"/>
      <c r="C367" s="49" t="str">
        <f>IFERROR(VLOOKUP(B367,[66]工程研发事业部人员名单!B:D,2,0),"")</f>
        <v/>
      </c>
      <c r="D367" s="50" t="str">
        <f>IFERROR(VLOOKUP(B367,[66]工程研发事业部人员名单!B:D,3,0),"")</f>
        <v/>
      </c>
      <c r="E367" s="98"/>
      <c r="F367" s="52">
        <f t="shared" si="11"/>
        <v>0</v>
      </c>
      <c r="G367" s="53"/>
      <c r="H367" s="53"/>
      <c r="I367" s="102"/>
      <c r="J367" s="102"/>
      <c r="K367" s="48"/>
      <c r="L367" s="73"/>
      <c r="M367" s="81"/>
    </row>
    <row r="368" customHeight="1" spans="1:13">
      <c r="A368" s="47">
        <f t="shared" si="10"/>
        <v>367</v>
      </c>
      <c r="B368" s="92"/>
      <c r="C368" s="49" t="str">
        <f>IFERROR(VLOOKUP(B368,[66]工程研发事业部人员名单!B:D,2,0),"")</f>
        <v/>
      </c>
      <c r="D368" s="50" t="str">
        <f>IFERROR(VLOOKUP(B368,[66]工程研发事业部人员名单!B:D,3,0),"")</f>
        <v/>
      </c>
      <c r="E368" s="98"/>
      <c r="F368" s="52">
        <f t="shared" si="11"/>
        <v>0</v>
      </c>
      <c r="G368" s="53"/>
      <c r="H368" s="53"/>
      <c r="I368" s="102"/>
      <c r="J368" s="102"/>
      <c r="K368" s="48"/>
      <c r="L368" s="73"/>
      <c r="M368" s="81"/>
    </row>
    <row r="369" customHeight="1" spans="1:13">
      <c r="A369" s="47">
        <f t="shared" si="10"/>
        <v>368</v>
      </c>
      <c r="B369" s="92"/>
      <c r="C369" s="49" t="str">
        <f>IFERROR(VLOOKUP(B369,[66]工程研发事业部人员名单!B:D,2,0),"")</f>
        <v/>
      </c>
      <c r="D369" s="50" t="str">
        <f>IFERROR(VLOOKUP(B369,[66]工程研发事业部人员名单!B:D,3,0),"")</f>
        <v/>
      </c>
      <c r="E369" s="98"/>
      <c r="F369" s="52">
        <f t="shared" si="11"/>
        <v>0</v>
      </c>
      <c r="G369" s="53"/>
      <c r="H369" s="53"/>
      <c r="I369" s="102"/>
      <c r="J369" s="102"/>
      <c r="K369" s="48"/>
      <c r="L369" s="73"/>
      <c r="M369" s="81"/>
    </row>
    <row r="370" customHeight="1" spans="1:13">
      <c r="A370" s="47">
        <f t="shared" si="10"/>
        <v>369</v>
      </c>
      <c r="B370" s="92"/>
      <c r="C370" s="49" t="str">
        <f>IFERROR(VLOOKUP(B370,[66]工程研发事业部人员名单!B:D,2,0),"")</f>
        <v/>
      </c>
      <c r="D370" s="50" t="str">
        <f>IFERROR(VLOOKUP(B370,[66]工程研发事业部人员名单!B:D,3,0),"")</f>
        <v/>
      </c>
      <c r="E370" s="98"/>
      <c r="F370" s="52">
        <f t="shared" si="11"/>
        <v>0</v>
      </c>
      <c r="G370" s="53"/>
      <c r="H370" s="53"/>
      <c r="I370" s="102"/>
      <c r="J370" s="102"/>
      <c r="K370" s="48"/>
      <c r="L370" s="73"/>
      <c r="M370" s="81"/>
    </row>
    <row r="371" customHeight="1" spans="1:13">
      <c r="A371" s="47">
        <f t="shared" si="10"/>
        <v>370</v>
      </c>
      <c r="B371" s="92"/>
      <c r="C371" s="49" t="str">
        <f>IFERROR(VLOOKUP(B371,[66]工程研发事业部人员名单!B:D,2,0),"")</f>
        <v/>
      </c>
      <c r="D371" s="50" t="str">
        <f>IFERROR(VLOOKUP(B371,[66]工程研发事业部人员名单!B:D,3,0),"")</f>
        <v/>
      </c>
      <c r="E371" s="98"/>
      <c r="F371" s="52">
        <f t="shared" si="11"/>
        <v>0</v>
      </c>
      <c r="G371" s="53"/>
      <c r="H371" s="53"/>
      <c r="I371" s="102"/>
      <c r="J371" s="102"/>
      <c r="K371" s="48"/>
      <c r="L371" s="73"/>
      <c r="M371" s="81"/>
    </row>
    <row r="372" customHeight="1" spans="1:13">
      <c r="A372" s="47">
        <f t="shared" si="10"/>
        <v>371</v>
      </c>
      <c r="B372" s="92"/>
      <c r="C372" s="49" t="str">
        <f>IFERROR(VLOOKUP(B372,[66]工程研发事业部人员名单!B:D,2,0),"")</f>
        <v/>
      </c>
      <c r="D372" s="50" t="str">
        <f>IFERROR(VLOOKUP(B372,[66]工程研发事业部人员名单!B:D,3,0),"")</f>
        <v/>
      </c>
      <c r="E372" s="98"/>
      <c r="F372" s="52">
        <f t="shared" si="11"/>
        <v>0</v>
      </c>
      <c r="G372" s="53"/>
      <c r="H372" s="53"/>
      <c r="I372" s="102"/>
      <c r="J372" s="102"/>
      <c r="K372" s="48"/>
      <c r="L372" s="73"/>
      <c r="M372" s="81"/>
    </row>
    <row r="373" customHeight="1" spans="1:13">
      <c r="A373" s="47">
        <f t="shared" si="10"/>
        <v>372</v>
      </c>
      <c r="B373" s="92"/>
      <c r="C373" s="49" t="str">
        <f>IFERROR(VLOOKUP(B373,[66]工程研发事业部人员名单!B:D,2,0),"")</f>
        <v/>
      </c>
      <c r="D373" s="50" t="str">
        <f>IFERROR(VLOOKUP(B373,[66]工程研发事业部人员名单!B:D,3,0),"")</f>
        <v/>
      </c>
      <c r="E373" s="98"/>
      <c r="F373" s="52">
        <f t="shared" si="11"/>
        <v>0</v>
      </c>
      <c r="G373" s="53"/>
      <c r="H373" s="53"/>
      <c r="I373" s="102"/>
      <c r="J373" s="102"/>
      <c r="K373" s="48"/>
      <c r="L373" s="73"/>
      <c r="M373" s="81"/>
    </row>
    <row r="374" customHeight="1" spans="1:13">
      <c r="A374" s="47">
        <f t="shared" si="10"/>
        <v>373</v>
      </c>
      <c r="B374" s="92"/>
      <c r="C374" s="49" t="str">
        <f>IFERROR(VLOOKUP(B374,[66]工程研发事业部人员名单!B:D,2,0),"")</f>
        <v/>
      </c>
      <c r="D374" s="50" t="str">
        <f>IFERROR(VLOOKUP(B374,[66]工程研发事业部人员名单!B:D,3,0),"")</f>
        <v/>
      </c>
      <c r="E374" s="98"/>
      <c r="F374" s="52">
        <f t="shared" si="11"/>
        <v>0</v>
      </c>
      <c r="G374" s="53"/>
      <c r="H374" s="53"/>
      <c r="I374" s="102"/>
      <c r="J374" s="102"/>
      <c r="K374" s="48"/>
      <c r="L374" s="73"/>
      <c r="M374" s="81"/>
    </row>
    <row r="375" customHeight="1" spans="1:13">
      <c r="A375" s="47">
        <f t="shared" si="10"/>
        <v>374</v>
      </c>
      <c r="B375" s="92"/>
      <c r="C375" s="49" t="str">
        <f>IFERROR(VLOOKUP(B375,[66]工程研发事业部人员名单!B:D,2,0),"")</f>
        <v/>
      </c>
      <c r="D375" s="50" t="str">
        <f>IFERROR(VLOOKUP(B375,[66]工程研发事业部人员名单!B:D,3,0),"")</f>
        <v/>
      </c>
      <c r="E375" s="98"/>
      <c r="F375" s="52">
        <f t="shared" si="11"/>
        <v>0</v>
      </c>
      <c r="G375" s="53"/>
      <c r="H375" s="53"/>
      <c r="I375" s="102"/>
      <c r="J375" s="102"/>
      <c r="K375" s="48"/>
      <c r="L375" s="73"/>
      <c r="M375" s="81"/>
    </row>
    <row r="376" customHeight="1" spans="1:13">
      <c r="A376" s="47">
        <f t="shared" si="10"/>
        <v>375</v>
      </c>
      <c r="B376" s="92"/>
      <c r="C376" s="49" t="str">
        <f>IFERROR(VLOOKUP(B376,[66]工程研发事业部人员名单!B:D,2,0),"")</f>
        <v/>
      </c>
      <c r="D376" s="50" t="str">
        <f>IFERROR(VLOOKUP(B376,[66]工程研发事业部人员名单!B:D,3,0),"")</f>
        <v/>
      </c>
      <c r="E376" s="98"/>
      <c r="F376" s="52">
        <f t="shared" si="11"/>
        <v>0</v>
      </c>
      <c r="G376" s="53"/>
      <c r="H376" s="53"/>
      <c r="I376" s="102"/>
      <c r="J376" s="102"/>
      <c r="K376" s="48"/>
      <c r="L376" s="73"/>
      <c r="M376" s="81"/>
    </row>
    <row r="377" customHeight="1" spans="1:13">
      <c r="A377" s="47">
        <f t="shared" si="10"/>
        <v>376</v>
      </c>
      <c r="B377" s="92"/>
      <c r="C377" s="49" t="str">
        <f>IFERROR(VLOOKUP(B377,[66]工程研发事业部人员名单!B:D,2,0),"")</f>
        <v/>
      </c>
      <c r="D377" s="50" t="str">
        <f>IFERROR(VLOOKUP(B377,[66]工程研发事业部人员名单!B:D,3,0),"")</f>
        <v/>
      </c>
      <c r="E377" s="98"/>
      <c r="F377" s="52">
        <f t="shared" si="11"/>
        <v>0</v>
      </c>
      <c r="G377" s="53"/>
      <c r="H377" s="53"/>
      <c r="I377" s="102"/>
      <c r="J377" s="102"/>
      <c r="K377" s="48"/>
      <c r="L377" s="73"/>
      <c r="M377" s="81"/>
    </row>
    <row r="378" customHeight="1" spans="1:13">
      <c r="A378" s="47">
        <f t="shared" si="10"/>
        <v>377</v>
      </c>
      <c r="B378" s="92"/>
      <c r="C378" s="49" t="str">
        <f>IFERROR(VLOOKUP(B378,[66]工程研发事业部人员名单!B:D,2,0),"")</f>
        <v/>
      </c>
      <c r="D378" s="50" t="str">
        <f>IFERROR(VLOOKUP(B378,[66]工程研发事业部人员名单!B:D,3,0),"")</f>
        <v/>
      </c>
      <c r="E378" s="98"/>
      <c r="F378" s="52">
        <f t="shared" si="11"/>
        <v>0</v>
      </c>
      <c r="G378" s="53"/>
      <c r="H378" s="53"/>
      <c r="I378" s="102"/>
      <c r="J378" s="102"/>
      <c r="K378" s="48"/>
      <c r="L378" s="73"/>
      <c r="M378" s="81"/>
    </row>
    <row r="379" customHeight="1" spans="1:13">
      <c r="A379" s="47">
        <f t="shared" si="10"/>
        <v>378</v>
      </c>
      <c r="B379" s="92"/>
      <c r="C379" s="49" t="str">
        <f>IFERROR(VLOOKUP(B379,[66]工程研发事业部人员名单!B:D,2,0),"")</f>
        <v/>
      </c>
      <c r="D379" s="50" t="str">
        <f>IFERROR(VLOOKUP(B379,[66]工程研发事业部人员名单!B:D,3,0),"")</f>
        <v/>
      </c>
      <c r="E379" s="98"/>
      <c r="F379" s="52">
        <f t="shared" si="11"/>
        <v>0</v>
      </c>
      <c r="G379" s="53"/>
      <c r="H379" s="53"/>
      <c r="I379" s="102"/>
      <c r="J379" s="102"/>
      <c r="K379" s="48"/>
      <c r="L379" s="73"/>
      <c r="M379" s="81"/>
    </row>
    <row r="380" customHeight="1" spans="1:13">
      <c r="A380" s="47">
        <f t="shared" si="10"/>
        <v>379</v>
      </c>
      <c r="B380" s="92"/>
      <c r="C380" s="49" t="str">
        <f>IFERROR(VLOOKUP(B380,[66]工程研发事业部人员名单!B:D,2,0),"")</f>
        <v/>
      </c>
      <c r="D380" s="50" t="str">
        <f>IFERROR(VLOOKUP(B380,[66]工程研发事业部人员名单!B:D,3,0),"")</f>
        <v/>
      </c>
      <c r="E380" s="98"/>
      <c r="F380" s="52">
        <f t="shared" si="11"/>
        <v>0</v>
      </c>
      <c r="G380" s="53"/>
      <c r="H380" s="53"/>
      <c r="I380" s="102"/>
      <c r="J380" s="102"/>
      <c r="K380" s="48"/>
      <c r="L380" s="73"/>
      <c r="M380" s="81"/>
    </row>
    <row r="381" customHeight="1" spans="1:13">
      <c r="A381" s="47">
        <f t="shared" si="10"/>
        <v>380</v>
      </c>
      <c r="B381" s="92"/>
      <c r="C381" s="49" t="str">
        <f>IFERROR(VLOOKUP(B381,[66]工程研发事业部人员名单!B:D,2,0),"")</f>
        <v/>
      </c>
      <c r="D381" s="50" t="str">
        <f>IFERROR(VLOOKUP(B381,[66]工程研发事业部人员名单!B:D,3,0),"")</f>
        <v/>
      </c>
      <c r="E381" s="98"/>
      <c r="F381" s="52">
        <f t="shared" si="11"/>
        <v>0</v>
      </c>
      <c r="G381" s="53"/>
      <c r="H381" s="53"/>
      <c r="I381" s="102"/>
      <c r="J381" s="102"/>
      <c r="K381" s="48"/>
      <c r="L381" s="73"/>
      <c r="M381" s="81"/>
    </row>
    <row r="382" customHeight="1" spans="1:13">
      <c r="A382" s="47">
        <f t="shared" si="10"/>
        <v>381</v>
      </c>
      <c r="B382" s="92"/>
      <c r="C382" s="49" t="str">
        <f>IFERROR(VLOOKUP(B382,[66]工程研发事业部人员名单!B:D,2,0),"")</f>
        <v/>
      </c>
      <c r="D382" s="50" t="str">
        <f>IFERROR(VLOOKUP(B382,[66]工程研发事业部人员名单!B:D,3,0),"")</f>
        <v/>
      </c>
      <c r="E382" s="98"/>
      <c r="F382" s="52">
        <f t="shared" si="11"/>
        <v>0</v>
      </c>
      <c r="G382" s="53"/>
      <c r="H382" s="53"/>
      <c r="I382" s="102"/>
      <c r="J382" s="102"/>
      <c r="K382" s="48"/>
      <c r="L382" s="73"/>
      <c r="M382" s="81"/>
    </row>
    <row r="383" customHeight="1" spans="1:13">
      <c r="A383" s="47">
        <f t="shared" si="10"/>
        <v>382</v>
      </c>
      <c r="B383" s="92"/>
      <c r="C383" s="49" t="str">
        <f>IFERROR(VLOOKUP(B383,[66]工程研发事业部人员名单!B:D,2,0),"")</f>
        <v/>
      </c>
      <c r="D383" s="50" t="str">
        <f>IFERROR(VLOOKUP(B383,[66]工程研发事业部人员名单!B:D,3,0),"")</f>
        <v/>
      </c>
      <c r="E383" s="98"/>
      <c r="F383" s="52">
        <f t="shared" si="11"/>
        <v>0</v>
      </c>
      <c r="G383" s="53"/>
      <c r="H383" s="53"/>
      <c r="I383" s="102"/>
      <c r="J383" s="102"/>
      <c r="K383" s="48"/>
      <c r="L383" s="73"/>
      <c r="M383" s="81"/>
    </row>
    <row r="384" customHeight="1" spans="1:13">
      <c r="A384" s="47">
        <f t="shared" si="10"/>
        <v>383</v>
      </c>
      <c r="B384" s="92"/>
      <c r="C384" s="49" t="str">
        <f>IFERROR(VLOOKUP(B384,[66]工程研发事业部人员名单!B:D,2,0),"")</f>
        <v/>
      </c>
      <c r="D384" s="50" t="str">
        <f>IFERROR(VLOOKUP(B384,[66]工程研发事业部人员名单!B:D,3,0),"")</f>
        <v/>
      </c>
      <c r="E384" s="98"/>
      <c r="F384" s="52">
        <f t="shared" si="11"/>
        <v>0</v>
      </c>
      <c r="G384" s="53"/>
      <c r="H384" s="53"/>
      <c r="I384" s="102"/>
      <c r="J384" s="102"/>
      <c r="K384" s="48"/>
      <c r="L384" s="73"/>
      <c r="M384" s="81"/>
    </row>
    <row r="385" customHeight="1" spans="1:13">
      <c r="A385" s="47">
        <f t="shared" si="10"/>
        <v>384</v>
      </c>
      <c r="B385" s="92"/>
      <c r="C385" s="49" t="str">
        <f>IFERROR(VLOOKUP(B385,[66]工程研发事业部人员名单!B:D,2,0),"")</f>
        <v/>
      </c>
      <c r="D385" s="50" t="str">
        <f>IFERROR(VLOOKUP(B385,[66]工程研发事业部人员名单!B:D,3,0),"")</f>
        <v/>
      </c>
      <c r="E385" s="98"/>
      <c r="F385" s="52">
        <f t="shared" si="11"/>
        <v>0</v>
      </c>
      <c r="G385" s="53"/>
      <c r="H385" s="53"/>
      <c r="I385" s="102"/>
      <c r="J385" s="102"/>
      <c r="K385" s="48"/>
      <c r="L385" s="73"/>
      <c r="M385" s="81"/>
    </row>
    <row r="386" customHeight="1" spans="1:13">
      <c r="A386" s="47">
        <f t="shared" ref="A386:A449" si="12">ROW()-1</f>
        <v>385</v>
      </c>
      <c r="B386" s="92"/>
      <c r="C386" s="49" t="str">
        <f>IFERROR(VLOOKUP(B386,[66]工程研发事业部人员名单!B:D,2,0),"")</f>
        <v/>
      </c>
      <c r="D386" s="50" t="str">
        <f>IFERROR(VLOOKUP(B386,[66]工程研发事业部人员名单!B:D,3,0),"")</f>
        <v/>
      </c>
      <c r="E386" s="98"/>
      <c r="F386" s="52">
        <f t="shared" ref="F386:F449" si="13">G386+H386+I386+J386</f>
        <v>0</v>
      </c>
      <c r="G386" s="53"/>
      <c r="H386" s="53"/>
      <c r="I386" s="102"/>
      <c r="J386" s="102"/>
      <c r="K386" s="48"/>
      <c r="L386" s="73"/>
      <c r="M386" s="81"/>
    </row>
    <row r="387" customHeight="1" spans="1:13">
      <c r="A387" s="47">
        <f t="shared" si="12"/>
        <v>386</v>
      </c>
      <c r="B387" s="92"/>
      <c r="C387" s="49" t="str">
        <f>IFERROR(VLOOKUP(B387,[66]工程研发事业部人员名单!B:D,2,0),"")</f>
        <v/>
      </c>
      <c r="D387" s="50" t="str">
        <f>IFERROR(VLOOKUP(B387,[66]工程研发事业部人员名单!B:D,3,0),"")</f>
        <v/>
      </c>
      <c r="E387" s="98"/>
      <c r="F387" s="52">
        <f t="shared" si="13"/>
        <v>0</v>
      </c>
      <c r="G387" s="53"/>
      <c r="H387" s="53"/>
      <c r="I387" s="102"/>
      <c r="J387" s="102"/>
      <c r="K387" s="48"/>
      <c r="L387" s="73"/>
      <c r="M387" s="81"/>
    </row>
    <row r="388" customHeight="1" spans="1:13">
      <c r="A388" s="47">
        <f t="shared" si="12"/>
        <v>387</v>
      </c>
      <c r="B388" s="92"/>
      <c r="C388" s="49" t="str">
        <f>IFERROR(VLOOKUP(B388,[66]工程研发事业部人员名单!B:D,2,0),"")</f>
        <v/>
      </c>
      <c r="D388" s="50" t="str">
        <f>IFERROR(VLOOKUP(B388,[66]工程研发事业部人员名单!B:D,3,0),"")</f>
        <v/>
      </c>
      <c r="E388" s="98"/>
      <c r="F388" s="52">
        <f t="shared" si="13"/>
        <v>0</v>
      </c>
      <c r="G388" s="53"/>
      <c r="H388" s="53"/>
      <c r="I388" s="102"/>
      <c r="J388" s="102"/>
      <c r="K388" s="48"/>
      <c r="L388" s="73"/>
      <c r="M388" s="81"/>
    </row>
    <row r="389" customHeight="1" spans="1:13">
      <c r="A389" s="47">
        <f t="shared" si="12"/>
        <v>388</v>
      </c>
      <c r="B389" s="92"/>
      <c r="C389" s="49" t="str">
        <f>IFERROR(VLOOKUP(B389,[66]工程研发事业部人员名单!B:D,2,0),"")</f>
        <v/>
      </c>
      <c r="D389" s="50" t="str">
        <f>IFERROR(VLOOKUP(B389,[66]工程研发事业部人员名单!B:D,3,0),"")</f>
        <v/>
      </c>
      <c r="E389" s="98"/>
      <c r="F389" s="52">
        <f t="shared" si="13"/>
        <v>0</v>
      </c>
      <c r="G389" s="53"/>
      <c r="H389" s="53"/>
      <c r="I389" s="102"/>
      <c r="J389" s="102"/>
      <c r="K389" s="48"/>
      <c r="L389" s="73"/>
      <c r="M389" s="81"/>
    </row>
    <row r="390" customHeight="1" spans="1:13">
      <c r="A390" s="47">
        <f t="shared" si="12"/>
        <v>389</v>
      </c>
      <c r="B390" s="92"/>
      <c r="C390" s="49" t="str">
        <f>IFERROR(VLOOKUP(B390,[66]工程研发事业部人员名单!B:D,2,0),"")</f>
        <v/>
      </c>
      <c r="D390" s="50" t="str">
        <f>IFERROR(VLOOKUP(B390,[66]工程研发事业部人员名单!B:D,3,0),"")</f>
        <v/>
      </c>
      <c r="E390" s="98"/>
      <c r="F390" s="52">
        <f t="shared" si="13"/>
        <v>0</v>
      </c>
      <c r="G390" s="53"/>
      <c r="H390" s="53"/>
      <c r="I390" s="102"/>
      <c r="J390" s="102"/>
      <c r="K390" s="48"/>
      <c r="L390" s="73"/>
      <c r="M390" s="81"/>
    </row>
    <row r="391" customHeight="1" spans="1:13">
      <c r="A391" s="47">
        <f t="shared" si="12"/>
        <v>390</v>
      </c>
      <c r="B391" s="92"/>
      <c r="C391" s="49" t="str">
        <f>IFERROR(VLOOKUP(B391,[66]工程研发事业部人员名单!B:D,2,0),"")</f>
        <v/>
      </c>
      <c r="D391" s="50" t="str">
        <f>IFERROR(VLOOKUP(B391,[66]工程研发事业部人员名单!B:D,3,0),"")</f>
        <v/>
      </c>
      <c r="E391" s="98"/>
      <c r="F391" s="52">
        <f t="shared" si="13"/>
        <v>0</v>
      </c>
      <c r="G391" s="53"/>
      <c r="H391" s="53"/>
      <c r="I391" s="102"/>
      <c r="J391" s="102"/>
      <c r="K391" s="48"/>
      <c r="L391" s="73"/>
      <c r="M391" s="81"/>
    </row>
    <row r="392" customHeight="1" spans="1:13">
      <c r="A392" s="47">
        <f t="shared" si="12"/>
        <v>391</v>
      </c>
      <c r="B392" s="92"/>
      <c r="C392" s="49" t="str">
        <f>IFERROR(VLOOKUP(B392,[66]工程研发事业部人员名单!B:D,2,0),"")</f>
        <v/>
      </c>
      <c r="D392" s="50" t="str">
        <f>IFERROR(VLOOKUP(B392,[66]工程研发事业部人员名单!B:D,3,0),"")</f>
        <v/>
      </c>
      <c r="E392" s="98"/>
      <c r="F392" s="52">
        <f t="shared" si="13"/>
        <v>0</v>
      </c>
      <c r="G392" s="53"/>
      <c r="H392" s="53"/>
      <c r="I392" s="102"/>
      <c r="J392" s="102"/>
      <c r="K392" s="48"/>
      <c r="L392" s="73"/>
      <c r="M392" s="81"/>
    </row>
    <row r="393" customHeight="1" spans="1:13">
      <c r="A393" s="47">
        <f t="shared" si="12"/>
        <v>392</v>
      </c>
      <c r="B393" s="92"/>
      <c r="C393" s="49" t="str">
        <f>IFERROR(VLOOKUP(B393,[66]工程研发事业部人员名单!B:D,2,0),"")</f>
        <v/>
      </c>
      <c r="D393" s="50" t="str">
        <f>IFERROR(VLOOKUP(B393,[66]工程研发事业部人员名单!B:D,3,0),"")</f>
        <v/>
      </c>
      <c r="E393" s="98"/>
      <c r="F393" s="52">
        <f t="shared" si="13"/>
        <v>0</v>
      </c>
      <c r="G393" s="53"/>
      <c r="H393" s="53"/>
      <c r="I393" s="102"/>
      <c r="J393" s="102"/>
      <c r="K393" s="48"/>
      <c r="L393" s="73"/>
      <c r="M393" s="81"/>
    </row>
    <row r="394" customHeight="1" spans="1:13">
      <c r="A394" s="47">
        <f t="shared" si="12"/>
        <v>393</v>
      </c>
      <c r="B394" s="92"/>
      <c r="C394" s="49" t="str">
        <f>IFERROR(VLOOKUP(B394,[66]工程研发事业部人员名单!B:D,2,0),"")</f>
        <v/>
      </c>
      <c r="D394" s="50" t="str">
        <f>IFERROR(VLOOKUP(B394,[66]工程研发事业部人员名单!B:D,3,0),"")</f>
        <v/>
      </c>
      <c r="E394" s="98"/>
      <c r="F394" s="52">
        <f t="shared" si="13"/>
        <v>0</v>
      </c>
      <c r="G394" s="53"/>
      <c r="H394" s="53"/>
      <c r="I394" s="102"/>
      <c r="J394" s="102"/>
      <c r="K394" s="48"/>
      <c r="L394" s="73"/>
      <c r="M394" s="81"/>
    </row>
    <row r="395" customHeight="1" spans="1:13">
      <c r="A395" s="47">
        <f t="shared" si="12"/>
        <v>394</v>
      </c>
      <c r="B395" s="92"/>
      <c r="C395" s="49" t="str">
        <f>IFERROR(VLOOKUP(B395,[66]工程研发事业部人员名单!B:D,2,0),"")</f>
        <v/>
      </c>
      <c r="D395" s="50" t="str">
        <f>IFERROR(VLOOKUP(B395,[66]工程研发事业部人员名单!B:D,3,0),"")</f>
        <v/>
      </c>
      <c r="E395" s="98"/>
      <c r="F395" s="52">
        <f t="shared" si="13"/>
        <v>0</v>
      </c>
      <c r="G395" s="53"/>
      <c r="H395" s="53"/>
      <c r="I395" s="102"/>
      <c r="J395" s="102"/>
      <c r="K395" s="48"/>
      <c r="L395" s="73"/>
      <c r="M395" s="81"/>
    </row>
    <row r="396" customHeight="1" spans="1:13">
      <c r="A396" s="47">
        <f t="shared" si="12"/>
        <v>395</v>
      </c>
      <c r="B396" s="92"/>
      <c r="C396" s="49" t="str">
        <f>IFERROR(VLOOKUP(B396,[66]工程研发事业部人员名单!B:D,2,0),"")</f>
        <v/>
      </c>
      <c r="D396" s="50" t="str">
        <f>IFERROR(VLOOKUP(B396,[66]工程研发事业部人员名单!B:D,3,0),"")</f>
        <v/>
      </c>
      <c r="E396" s="98"/>
      <c r="F396" s="52">
        <f t="shared" si="13"/>
        <v>0</v>
      </c>
      <c r="G396" s="53"/>
      <c r="H396" s="53"/>
      <c r="I396" s="102"/>
      <c r="J396" s="102"/>
      <c r="K396" s="48"/>
      <c r="L396" s="73"/>
      <c r="M396" s="81"/>
    </row>
    <row r="397" customHeight="1" spans="1:13">
      <c r="A397" s="47">
        <f t="shared" si="12"/>
        <v>396</v>
      </c>
      <c r="B397" s="92"/>
      <c r="C397" s="49" t="str">
        <f>IFERROR(VLOOKUP(B397,[66]工程研发事业部人员名单!B:D,2,0),"")</f>
        <v/>
      </c>
      <c r="D397" s="50" t="str">
        <f>IFERROR(VLOOKUP(B397,[66]工程研发事业部人员名单!B:D,3,0),"")</f>
        <v/>
      </c>
      <c r="E397" s="98"/>
      <c r="F397" s="52">
        <f t="shared" si="13"/>
        <v>0</v>
      </c>
      <c r="G397" s="53"/>
      <c r="H397" s="53"/>
      <c r="I397" s="102"/>
      <c r="J397" s="102"/>
      <c r="K397" s="48"/>
      <c r="L397" s="73"/>
      <c r="M397" s="81"/>
    </row>
    <row r="398" customHeight="1" spans="1:13">
      <c r="A398" s="47">
        <f t="shared" si="12"/>
        <v>397</v>
      </c>
      <c r="B398" s="92"/>
      <c r="C398" s="49" t="str">
        <f>IFERROR(VLOOKUP(B398,[66]工程研发事业部人员名单!B:D,2,0),"")</f>
        <v/>
      </c>
      <c r="D398" s="50" t="str">
        <f>IFERROR(VLOOKUP(B398,[66]工程研发事业部人员名单!B:D,3,0),"")</f>
        <v/>
      </c>
      <c r="E398" s="98"/>
      <c r="F398" s="52">
        <f t="shared" si="13"/>
        <v>0</v>
      </c>
      <c r="G398" s="53"/>
      <c r="H398" s="53"/>
      <c r="I398" s="102"/>
      <c r="J398" s="102"/>
      <c r="K398" s="48"/>
      <c r="L398" s="73"/>
      <c r="M398" s="81"/>
    </row>
    <row r="399" customHeight="1" spans="1:13">
      <c r="A399" s="47">
        <f t="shared" si="12"/>
        <v>398</v>
      </c>
      <c r="B399" s="92"/>
      <c r="C399" s="49" t="str">
        <f>IFERROR(VLOOKUP(B399,[66]工程研发事业部人员名单!B:D,2,0),"")</f>
        <v/>
      </c>
      <c r="D399" s="50" t="str">
        <f>IFERROR(VLOOKUP(B399,[66]工程研发事业部人员名单!B:D,3,0),"")</f>
        <v/>
      </c>
      <c r="E399" s="98"/>
      <c r="F399" s="52">
        <f t="shared" si="13"/>
        <v>0</v>
      </c>
      <c r="G399" s="53"/>
      <c r="H399" s="53"/>
      <c r="I399" s="102"/>
      <c r="J399" s="102"/>
      <c r="K399" s="48"/>
      <c r="L399" s="73"/>
      <c r="M399" s="81"/>
    </row>
    <row r="400" customHeight="1" spans="1:13">
      <c r="A400" s="47">
        <f t="shared" si="12"/>
        <v>399</v>
      </c>
      <c r="B400" s="92"/>
      <c r="C400" s="49" t="str">
        <f>IFERROR(VLOOKUP(B400,[66]工程研发事业部人员名单!B:D,2,0),"")</f>
        <v/>
      </c>
      <c r="D400" s="50" t="str">
        <f>IFERROR(VLOOKUP(B400,[66]工程研发事业部人员名单!B:D,3,0),"")</f>
        <v/>
      </c>
      <c r="E400" s="98"/>
      <c r="F400" s="52">
        <f t="shared" si="13"/>
        <v>0</v>
      </c>
      <c r="G400" s="53"/>
      <c r="H400" s="53"/>
      <c r="I400" s="102"/>
      <c r="J400" s="102"/>
      <c r="K400" s="48"/>
      <c r="L400" s="73"/>
      <c r="M400" s="81"/>
    </row>
    <row r="401" customHeight="1" spans="1:13">
      <c r="A401" s="47">
        <f t="shared" si="12"/>
        <v>400</v>
      </c>
      <c r="B401" s="92"/>
      <c r="C401" s="49" t="str">
        <f>IFERROR(VLOOKUP(B401,[66]工程研发事业部人员名单!B:D,2,0),"")</f>
        <v/>
      </c>
      <c r="D401" s="50" t="str">
        <f>IFERROR(VLOOKUP(B401,[66]工程研发事业部人员名单!B:D,3,0),"")</f>
        <v/>
      </c>
      <c r="E401" s="98"/>
      <c r="F401" s="52">
        <f t="shared" si="13"/>
        <v>0</v>
      </c>
      <c r="G401" s="53"/>
      <c r="H401" s="53"/>
      <c r="I401" s="102"/>
      <c r="J401" s="102"/>
      <c r="K401" s="48"/>
      <c r="L401" s="73"/>
      <c r="M401" s="81"/>
    </row>
    <row r="402" customHeight="1" spans="1:13">
      <c r="A402" s="47">
        <f t="shared" si="12"/>
        <v>401</v>
      </c>
      <c r="B402" s="92"/>
      <c r="C402" s="49" t="str">
        <f>IFERROR(VLOOKUP(B402,[66]工程研发事业部人员名单!B:D,2,0),"")</f>
        <v/>
      </c>
      <c r="D402" s="50" t="str">
        <f>IFERROR(VLOOKUP(B402,[66]工程研发事业部人员名单!B:D,3,0),"")</f>
        <v/>
      </c>
      <c r="E402" s="98"/>
      <c r="F402" s="52">
        <f t="shared" si="13"/>
        <v>0</v>
      </c>
      <c r="G402" s="53"/>
      <c r="H402" s="53"/>
      <c r="I402" s="102"/>
      <c r="J402" s="102"/>
      <c r="K402" s="48"/>
      <c r="L402" s="73"/>
      <c r="M402" s="81"/>
    </row>
    <row r="403" customHeight="1" spans="1:13">
      <c r="A403" s="47">
        <f t="shared" si="12"/>
        <v>402</v>
      </c>
      <c r="B403" s="92"/>
      <c r="C403" s="49" t="str">
        <f>IFERROR(VLOOKUP(B403,[66]工程研发事业部人员名单!B:D,2,0),"")</f>
        <v/>
      </c>
      <c r="D403" s="50" t="str">
        <f>IFERROR(VLOOKUP(B403,[66]工程研发事业部人员名单!B:D,3,0),"")</f>
        <v/>
      </c>
      <c r="E403" s="98"/>
      <c r="F403" s="52">
        <f t="shared" si="13"/>
        <v>0</v>
      </c>
      <c r="G403" s="53"/>
      <c r="H403" s="53"/>
      <c r="I403" s="102"/>
      <c r="J403" s="102"/>
      <c r="K403" s="48"/>
      <c r="L403" s="73"/>
      <c r="M403" s="81"/>
    </row>
    <row r="404" customHeight="1" spans="1:13">
      <c r="A404" s="47">
        <f t="shared" si="12"/>
        <v>403</v>
      </c>
      <c r="B404" s="92"/>
      <c r="C404" s="49" t="str">
        <f>IFERROR(VLOOKUP(B404,[66]工程研发事业部人员名单!B:D,2,0),"")</f>
        <v/>
      </c>
      <c r="D404" s="50" t="str">
        <f>IFERROR(VLOOKUP(B404,[66]工程研发事业部人员名单!B:D,3,0),"")</f>
        <v/>
      </c>
      <c r="E404" s="98"/>
      <c r="F404" s="52">
        <f t="shared" si="13"/>
        <v>0</v>
      </c>
      <c r="G404" s="53"/>
      <c r="H404" s="53"/>
      <c r="I404" s="102"/>
      <c r="J404" s="102"/>
      <c r="K404" s="48"/>
      <c r="L404" s="73"/>
      <c r="M404" s="81"/>
    </row>
    <row r="405" customHeight="1" spans="1:13">
      <c r="A405" s="47">
        <f t="shared" si="12"/>
        <v>404</v>
      </c>
      <c r="B405" s="92"/>
      <c r="C405" s="49" t="str">
        <f>IFERROR(VLOOKUP(B405,[66]工程研发事业部人员名单!B:D,2,0),"")</f>
        <v/>
      </c>
      <c r="D405" s="50" t="str">
        <f>IFERROR(VLOOKUP(B405,[66]工程研发事业部人员名单!B:D,3,0),"")</f>
        <v/>
      </c>
      <c r="E405" s="98"/>
      <c r="F405" s="52">
        <f t="shared" si="13"/>
        <v>0</v>
      </c>
      <c r="G405" s="53"/>
      <c r="H405" s="53"/>
      <c r="I405" s="102"/>
      <c r="J405" s="102"/>
      <c r="K405" s="48"/>
      <c r="L405" s="73"/>
      <c r="M405" s="81"/>
    </row>
    <row r="406" customHeight="1" spans="1:13">
      <c r="A406" s="47">
        <f t="shared" si="12"/>
        <v>405</v>
      </c>
      <c r="B406" s="92"/>
      <c r="C406" s="49" t="str">
        <f>IFERROR(VLOOKUP(B406,[66]工程研发事业部人员名单!B:D,2,0),"")</f>
        <v/>
      </c>
      <c r="D406" s="50" t="str">
        <f>IFERROR(VLOOKUP(B406,[66]工程研发事业部人员名单!B:D,3,0),"")</f>
        <v/>
      </c>
      <c r="E406" s="98"/>
      <c r="F406" s="52">
        <f t="shared" si="13"/>
        <v>0</v>
      </c>
      <c r="G406" s="53"/>
      <c r="H406" s="53"/>
      <c r="I406" s="102"/>
      <c r="J406" s="102"/>
      <c r="K406" s="48"/>
      <c r="L406" s="73"/>
      <c r="M406" s="81"/>
    </row>
    <row r="407" customHeight="1" spans="1:13">
      <c r="A407" s="47">
        <f t="shared" si="12"/>
        <v>406</v>
      </c>
      <c r="B407" s="92"/>
      <c r="C407" s="49" t="str">
        <f>IFERROR(VLOOKUP(B407,[37]工程研发事业部人员名单!B:D,2,0),"")</f>
        <v/>
      </c>
      <c r="D407" s="50" t="str">
        <f>IFERROR(VLOOKUP(B407,[37]工程研发事业部人员名单!B:D,3,0),"")</f>
        <v/>
      </c>
      <c r="E407" s="98"/>
      <c r="F407" s="52">
        <f t="shared" si="13"/>
        <v>0</v>
      </c>
      <c r="G407" s="53"/>
      <c r="H407" s="53"/>
      <c r="I407" s="102"/>
      <c r="J407" s="102"/>
      <c r="K407" s="48"/>
      <c r="L407" s="73"/>
      <c r="M407" s="81"/>
    </row>
    <row r="408" customHeight="1" spans="1:13">
      <c r="A408" s="47">
        <f t="shared" si="12"/>
        <v>407</v>
      </c>
      <c r="B408" s="92"/>
      <c r="C408" s="49" t="str">
        <f>IFERROR(VLOOKUP(B408,[37]工程研发事业部人员名单!B:D,2,0),"")</f>
        <v/>
      </c>
      <c r="D408" s="50" t="str">
        <f>IFERROR(VLOOKUP(B408,[37]工程研发事业部人员名单!B:D,3,0),"")</f>
        <v/>
      </c>
      <c r="E408" s="98"/>
      <c r="F408" s="52">
        <f t="shared" si="13"/>
        <v>0</v>
      </c>
      <c r="G408" s="53"/>
      <c r="H408" s="53"/>
      <c r="I408" s="102"/>
      <c r="J408" s="102"/>
      <c r="K408" s="48"/>
      <c r="L408" s="73"/>
      <c r="M408" s="81"/>
    </row>
    <row r="409" customHeight="1" spans="1:13">
      <c r="A409" s="47">
        <f t="shared" si="12"/>
        <v>408</v>
      </c>
      <c r="B409" s="92"/>
      <c r="C409" s="49" t="str">
        <f>IFERROR(VLOOKUP(B409,[37]工程研发事业部人员名单!B:D,2,0),"")</f>
        <v/>
      </c>
      <c r="D409" s="50" t="str">
        <f>IFERROR(VLOOKUP(B409,[37]工程研发事业部人员名单!B:D,3,0),"")</f>
        <v/>
      </c>
      <c r="E409" s="98"/>
      <c r="F409" s="52">
        <f t="shared" si="13"/>
        <v>0</v>
      </c>
      <c r="G409" s="53"/>
      <c r="H409" s="53"/>
      <c r="I409" s="102"/>
      <c r="J409" s="102"/>
      <c r="K409" s="48"/>
      <c r="L409" s="73"/>
      <c r="M409" s="81"/>
    </row>
    <row r="410" customHeight="1" spans="1:13">
      <c r="A410" s="47">
        <f t="shared" si="12"/>
        <v>409</v>
      </c>
      <c r="B410" s="92"/>
      <c r="C410" s="49" t="str">
        <f>IFERROR(VLOOKUP(B410,[37]工程研发事业部人员名单!B:D,2,0),"")</f>
        <v/>
      </c>
      <c r="D410" s="50" t="str">
        <f>IFERROR(VLOOKUP(B410,[37]工程研发事业部人员名单!B:D,3,0),"")</f>
        <v/>
      </c>
      <c r="E410" s="98"/>
      <c r="F410" s="52">
        <f t="shared" si="13"/>
        <v>0</v>
      </c>
      <c r="G410" s="53"/>
      <c r="H410" s="53"/>
      <c r="I410" s="102"/>
      <c r="J410" s="102"/>
      <c r="K410" s="48"/>
      <c r="L410" s="73"/>
      <c r="M410" s="81"/>
    </row>
    <row r="411" customHeight="1" spans="1:13">
      <c r="A411" s="47">
        <f t="shared" si="12"/>
        <v>410</v>
      </c>
      <c r="B411" s="92"/>
      <c r="C411" s="49" t="str">
        <f>IFERROR(VLOOKUP(B411,[37]工程研发事业部人员名单!B:D,2,0),"")</f>
        <v/>
      </c>
      <c r="D411" s="50" t="str">
        <f>IFERROR(VLOOKUP(B411,[37]工程研发事业部人员名单!B:D,3,0),"")</f>
        <v/>
      </c>
      <c r="E411" s="98"/>
      <c r="F411" s="52">
        <f t="shared" si="13"/>
        <v>0</v>
      </c>
      <c r="G411" s="53"/>
      <c r="H411" s="53"/>
      <c r="I411" s="102"/>
      <c r="J411" s="102"/>
      <c r="K411" s="48"/>
      <c r="L411" s="73"/>
      <c r="M411" s="81"/>
    </row>
    <row r="412" customHeight="1" spans="1:13">
      <c r="A412" s="47">
        <f t="shared" si="12"/>
        <v>411</v>
      </c>
      <c r="B412" s="92"/>
      <c r="C412" s="49" t="str">
        <f>IFERROR(VLOOKUP(B412,[37]工程研发事业部人员名单!B:D,2,0),"")</f>
        <v/>
      </c>
      <c r="D412" s="50" t="str">
        <f>IFERROR(VLOOKUP(B412,[37]工程研发事业部人员名单!B:D,3,0),"")</f>
        <v/>
      </c>
      <c r="E412" s="98"/>
      <c r="F412" s="52">
        <f t="shared" si="13"/>
        <v>0</v>
      </c>
      <c r="G412" s="53"/>
      <c r="H412" s="53"/>
      <c r="I412" s="102"/>
      <c r="J412" s="102"/>
      <c r="K412" s="48"/>
      <c r="L412" s="73"/>
      <c r="M412" s="81"/>
    </row>
    <row r="413" customHeight="1" spans="1:13">
      <c r="A413" s="47">
        <f t="shared" si="12"/>
        <v>412</v>
      </c>
      <c r="B413" s="92"/>
      <c r="C413" s="49" t="str">
        <f>IFERROR(VLOOKUP(B413,[37]工程研发事业部人员名单!B:D,2,0),"")</f>
        <v/>
      </c>
      <c r="D413" s="50" t="str">
        <f>IFERROR(VLOOKUP(B413,[37]工程研发事业部人员名单!B:D,3,0),"")</f>
        <v/>
      </c>
      <c r="E413" s="98"/>
      <c r="F413" s="52">
        <f t="shared" si="13"/>
        <v>0</v>
      </c>
      <c r="G413" s="53"/>
      <c r="H413" s="53"/>
      <c r="I413" s="102"/>
      <c r="J413" s="102"/>
      <c r="K413" s="48"/>
      <c r="L413" s="73"/>
      <c r="M413" s="81"/>
    </row>
    <row r="414" customHeight="1" spans="1:13">
      <c r="A414" s="47">
        <f t="shared" si="12"/>
        <v>413</v>
      </c>
      <c r="B414" s="92"/>
      <c r="C414" s="49" t="str">
        <f>IFERROR(VLOOKUP(B414,[37]工程研发事业部人员名单!B:D,2,0),"")</f>
        <v/>
      </c>
      <c r="D414" s="50" t="str">
        <f>IFERROR(VLOOKUP(B414,[37]工程研发事业部人员名单!B:D,3,0),"")</f>
        <v/>
      </c>
      <c r="E414" s="98"/>
      <c r="F414" s="52">
        <f t="shared" si="13"/>
        <v>0</v>
      </c>
      <c r="G414" s="53"/>
      <c r="H414" s="53"/>
      <c r="I414" s="102"/>
      <c r="J414" s="102"/>
      <c r="K414" s="48"/>
      <c r="L414" s="73"/>
      <c r="M414" s="81"/>
    </row>
    <row r="415" customHeight="1" spans="1:13">
      <c r="A415" s="47">
        <f t="shared" si="12"/>
        <v>414</v>
      </c>
      <c r="B415" s="92"/>
      <c r="C415" s="49" t="str">
        <f>IFERROR(VLOOKUP(B415,[37]工程研发事业部人员名单!B:D,2,0),"")</f>
        <v/>
      </c>
      <c r="D415" s="50" t="str">
        <f>IFERROR(VLOOKUP(B415,[37]工程研发事业部人员名单!B:D,3,0),"")</f>
        <v/>
      </c>
      <c r="E415" s="98"/>
      <c r="F415" s="52">
        <f t="shared" si="13"/>
        <v>0</v>
      </c>
      <c r="G415" s="53"/>
      <c r="H415" s="53"/>
      <c r="I415" s="102"/>
      <c r="J415" s="102"/>
      <c r="K415" s="48"/>
      <c r="L415" s="73"/>
      <c r="M415" s="81"/>
    </row>
    <row r="416" customHeight="1" spans="1:13">
      <c r="A416" s="47">
        <f t="shared" si="12"/>
        <v>415</v>
      </c>
      <c r="B416" s="92"/>
      <c r="C416" s="49" t="str">
        <f>IFERROR(VLOOKUP(B416,[37]工程研发事业部人员名单!B:D,2,0),"")</f>
        <v/>
      </c>
      <c r="D416" s="50" t="str">
        <f>IFERROR(VLOOKUP(B416,[37]工程研发事业部人员名单!B:D,3,0),"")</f>
        <v/>
      </c>
      <c r="E416" s="98"/>
      <c r="F416" s="52">
        <f t="shared" si="13"/>
        <v>0</v>
      </c>
      <c r="G416" s="53"/>
      <c r="H416" s="53"/>
      <c r="I416" s="102"/>
      <c r="J416" s="102"/>
      <c r="K416" s="48"/>
      <c r="L416" s="73"/>
      <c r="M416" s="81"/>
    </row>
    <row r="417" customHeight="1" spans="1:13">
      <c r="A417" s="47">
        <f t="shared" si="12"/>
        <v>416</v>
      </c>
      <c r="B417" s="92"/>
      <c r="C417" s="49" t="str">
        <f>IFERROR(VLOOKUP(B417,[37]工程研发事业部人员名单!B:D,2,0),"")</f>
        <v/>
      </c>
      <c r="D417" s="50" t="str">
        <f>IFERROR(VLOOKUP(B417,[37]工程研发事业部人员名单!B:D,3,0),"")</f>
        <v/>
      </c>
      <c r="E417" s="98"/>
      <c r="F417" s="52">
        <f t="shared" si="13"/>
        <v>0</v>
      </c>
      <c r="G417" s="53"/>
      <c r="H417" s="53"/>
      <c r="I417" s="102"/>
      <c r="J417" s="102"/>
      <c r="K417" s="48"/>
      <c r="L417" s="73"/>
      <c r="M417" s="81"/>
    </row>
    <row r="418" customHeight="1" spans="1:13">
      <c r="A418" s="47">
        <f t="shared" si="12"/>
        <v>417</v>
      </c>
      <c r="B418" s="92"/>
      <c r="C418" s="49" t="str">
        <f>IFERROR(VLOOKUP(B418,[37]工程研发事业部人员名单!B:D,2,0),"")</f>
        <v/>
      </c>
      <c r="D418" s="50" t="str">
        <f>IFERROR(VLOOKUP(B418,[37]工程研发事业部人员名单!B:D,3,0),"")</f>
        <v/>
      </c>
      <c r="E418" s="98"/>
      <c r="F418" s="52">
        <f t="shared" si="13"/>
        <v>0</v>
      </c>
      <c r="G418" s="53"/>
      <c r="H418" s="53"/>
      <c r="I418" s="102"/>
      <c r="J418" s="102"/>
      <c r="K418" s="48"/>
      <c r="L418" s="73"/>
      <c r="M418" s="81"/>
    </row>
    <row r="419" customHeight="1" spans="1:13">
      <c r="A419" s="47">
        <f t="shared" si="12"/>
        <v>418</v>
      </c>
      <c r="B419" s="92"/>
      <c r="C419" s="49" t="str">
        <f>IFERROR(VLOOKUP(B419,[37]工程研发事业部人员名单!B:D,2,0),"")</f>
        <v/>
      </c>
      <c r="D419" s="50" t="str">
        <f>IFERROR(VLOOKUP(B419,[37]工程研发事业部人员名单!B:D,3,0),"")</f>
        <v/>
      </c>
      <c r="E419" s="98"/>
      <c r="F419" s="52">
        <f t="shared" si="13"/>
        <v>0</v>
      </c>
      <c r="G419" s="53"/>
      <c r="H419" s="53"/>
      <c r="I419" s="102"/>
      <c r="J419" s="102"/>
      <c r="K419" s="48"/>
      <c r="L419" s="73"/>
      <c r="M419" s="81"/>
    </row>
    <row r="420" customHeight="1" spans="1:13">
      <c r="A420" s="47">
        <f t="shared" si="12"/>
        <v>419</v>
      </c>
      <c r="B420" s="92"/>
      <c r="C420" s="49" t="str">
        <f>IFERROR(VLOOKUP(B420,[37]工程研发事业部人员名单!B:D,2,0),"")</f>
        <v/>
      </c>
      <c r="D420" s="50" t="str">
        <f>IFERROR(VLOOKUP(B420,[37]工程研发事业部人员名单!B:D,3,0),"")</f>
        <v/>
      </c>
      <c r="E420" s="98"/>
      <c r="F420" s="52">
        <f t="shared" si="13"/>
        <v>0</v>
      </c>
      <c r="G420" s="53"/>
      <c r="H420" s="53"/>
      <c r="I420" s="102"/>
      <c r="J420" s="102"/>
      <c r="K420" s="48"/>
      <c r="L420" s="73"/>
      <c r="M420" s="81"/>
    </row>
    <row r="421" customHeight="1" spans="1:13">
      <c r="A421" s="47">
        <f t="shared" si="12"/>
        <v>420</v>
      </c>
      <c r="B421" s="92"/>
      <c r="C421" s="49" t="str">
        <f>IFERROR(VLOOKUP(B421,[37]工程研发事业部人员名单!B:D,2,0),"")</f>
        <v/>
      </c>
      <c r="D421" s="50" t="str">
        <f>IFERROR(VLOOKUP(B421,[37]工程研发事业部人员名单!B:D,3,0),"")</f>
        <v/>
      </c>
      <c r="E421" s="98"/>
      <c r="F421" s="52">
        <f t="shared" si="13"/>
        <v>0</v>
      </c>
      <c r="G421" s="53"/>
      <c r="H421" s="53"/>
      <c r="I421" s="102"/>
      <c r="J421" s="102"/>
      <c r="K421" s="48"/>
      <c r="L421" s="73"/>
      <c r="M421" s="81"/>
    </row>
    <row r="422" customHeight="1" spans="1:13">
      <c r="A422" s="47">
        <f t="shared" si="12"/>
        <v>421</v>
      </c>
      <c r="B422" s="92"/>
      <c r="C422" s="49" t="str">
        <f>IFERROR(VLOOKUP(B422,[37]工程研发事业部人员名单!B:D,2,0),"")</f>
        <v/>
      </c>
      <c r="D422" s="50" t="str">
        <f>IFERROR(VLOOKUP(B422,[37]工程研发事业部人员名单!B:D,3,0),"")</f>
        <v/>
      </c>
      <c r="E422" s="98"/>
      <c r="F422" s="52">
        <f t="shared" si="13"/>
        <v>0</v>
      </c>
      <c r="G422" s="53"/>
      <c r="H422" s="53"/>
      <c r="I422" s="102"/>
      <c r="J422" s="102"/>
      <c r="K422" s="48"/>
      <c r="L422" s="73"/>
      <c r="M422" s="81"/>
    </row>
    <row r="423" customHeight="1" spans="1:13">
      <c r="A423" s="47">
        <f t="shared" si="12"/>
        <v>422</v>
      </c>
      <c r="B423" s="92"/>
      <c r="C423" s="49" t="str">
        <f>IFERROR(VLOOKUP(B423,[37]工程研发事业部人员名单!B:D,2,0),"")</f>
        <v/>
      </c>
      <c r="D423" s="50" t="str">
        <f>IFERROR(VLOOKUP(B423,[37]工程研发事业部人员名单!B:D,3,0),"")</f>
        <v/>
      </c>
      <c r="E423" s="98"/>
      <c r="F423" s="52">
        <f t="shared" si="13"/>
        <v>0</v>
      </c>
      <c r="G423" s="53"/>
      <c r="H423" s="53"/>
      <c r="I423" s="102"/>
      <c r="J423" s="102"/>
      <c r="K423" s="48"/>
      <c r="L423" s="73"/>
      <c r="M423" s="81"/>
    </row>
    <row r="424" customHeight="1" spans="1:13">
      <c r="A424" s="47">
        <f t="shared" si="12"/>
        <v>423</v>
      </c>
      <c r="B424" s="92"/>
      <c r="C424" s="49" t="str">
        <f>IFERROR(VLOOKUP(B424,[37]工程研发事业部人员名单!B:D,2,0),"")</f>
        <v/>
      </c>
      <c r="D424" s="50" t="str">
        <f>IFERROR(VLOOKUP(B424,[37]工程研发事业部人员名单!B:D,3,0),"")</f>
        <v/>
      </c>
      <c r="E424" s="98"/>
      <c r="F424" s="52">
        <f t="shared" si="13"/>
        <v>0</v>
      </c>
      <c r="G424" s="53"/>
      <c r="H424" s="53"/>
      <c r="I424" s="102"/>
      <c r="J424" s="102"/>
      <c r="K424" s="48"/>
      <c r="L424" s="73"/>
      <c r="M424" s="81"/>
    </row>
    <row r="425" customHeight="1" spans="1:13">
      <c r="A425" s="47">
        <f t="shared" si="12"/>
        <v>424</v>
      </c>
      <c r="B425" s="92"/>
      <c r="C425" s="49" t="str">
        <f>IFERROR(VLOOKUP(B425,[37]工程研发事业部人员名单!B:D,2,0),"")</f>
        <v/>
      </c>
      <c r="D425" s="50" t="str">
        <f>IFERROR(VLOOKUP(B425,[37]工程研发事业部人员名单!B:D,3,0),"")</f>
        <v/>
      </c>
      <c r="E425" s="98"/>
      <c r="F425" s="52">
        <f t="shared" si="13"/>
        <v>0</v>
      </c>
      <c r="G425" s="53"/>
      <c r="H425" s="53"/>
      <c r="I425" s="102"/>
      <c r="J425" s="102"/>
      <c r="K425" s="48"/>
      <c r="L425" s="73"/>
      <c r="M425" s="81"/>
    </row>
    <row r="426" customHeight="1" spans="1:13">
      <c r="A426" s="47">
        <f t="shared" si="12"/>
        <v>425</v>
      </c>
      <c r="B426" s="92"/>
      <c r="C426" s="49" t="str">
        <f>IFERROR(VLOOKUP(B426,[37]工程研发事业部人员名单!B:D,2,0),"")</f>
        <v/>
      </c>
      <c r="D426" s="50" t="str">
        <f>IFERROR(VLOOKUP(B426,[37]工程研发事业部人员名单!B:D,3,0),"")</f>
        <v/>
      </c>
      <c r="E426" s="98"/>
      <c r="F426" s="52">
        <f t="shared" si="13"/>
        <v>0</v>
      </c>
      <c r="G426" s="53"/>
      <c r="H426" s="53"/>
      <c r="I426" s="102"/>
      <c r="J426" s="102"/>
      <c r="K426" s="48"/>
      <c r="L426" s="73"/>
      <c r="M426" s="81"/>
    </row>
    <row r="427" customHeight="1" spans="1:13">
      <c r="A427" s="47">
        <f t="shared" si="12"/>
        <v>426</v>
      </c>
      <c r="B427" s="92"/>
      <c r="C427" s="49" t="str">
        <f>IFERROR(VLOOKUP(B427,[37]工程研发事业部人员名单!B:D,2,0),"")</f>
        <v/>
      </c>
      <c r="D427" s="50" t="str">
        <f>IFERROR(VLOOKUP(B427,[37]工程研发事业部人员名单!B:D,3,0),"")</f>
        <v/>
      </c>
      <c r="E427" s="98"/>
      <c r="F427" s="52">
        <f t="shared" si="13"/>
        <v>0</v>
      </c>
      <c r="G427" s="53"/>
      <c r="H427" s="53"/>
      <c r="I427" s="102"/>
      <c r="J427" s="102"/>
      <c r="K427" s="48"/>
      <c r="L427" s="73"/>
      <c r="M427" s="81"/>
    </row>
    <row r="428" customHeight="1" spans="1:13">
      <c r="A428" s="47">
        <f t="shared" si="12"/>
        <v>427</v>
      </c>
      <c r="B428" s="92"/>
      <c r="C428" s="49" t="str">
        <f>IFERROR(VLOOKUP(B428,[37]工程研发事业部人员名单!B:D,2,0),"")</f>
        <v/>
      </c>
      <c r="D428" s="50" t="str">
        <f>IFERROR(VLOOKUP(B428,[37]工程研发事业部人员名单!B:D,3,0),"")</f>
        <v/>
      </c>
      <c r="E428" s="98"/>
      <c r="F428" s="52">
        <f t="shared" si="13"/>
        <v>0</v>
      </c>
      <c r="G428" s="53"/>
      <c r="H428" s="53"/>
      <c r="I428" s="102"/>
      <c r="J428" s="102"/>
      <c r="K428" s="48"/>
      <c r="L428" s="73"/>
      <c r="M428" s="81"/>
    </row>
    <row r="429" customHeight="1" spans="1:13">
      <c r="A429" s="47">
        <f t="shared" si="12"/>
        <v>428</v>
      </c>
      <c r="B429" s="92"/>
      <c r="C429" s="49" t="str">
        <f>IFERROR(VLOOKUP(B429,[37]工程研发事业部人员名单!B:D,2,0),"")</f>
        <v/>
      </c>
      <c r="D429" s="50" t="str">
        <f>IFERROR(VLOOKUP(B429,[37]工程研发事业部人员名单!B:D,3,0),"")</f>
        <v/>
      </c>
      <c r="E429" s="98"/>
      <c r="F429" s="52">
        <f t="shared" si="13"/>
        <v>0</v>
      </c>
      <c r="G429" s="53"/>
      <c r="H429" s="53"/>
      <c r="I429" s="102"/>
      <c r="J429" s="102"/>
      <c r="K429" s="48"/>
      <c r="L429" s="73"/>
      <c r="M429" s="81"/>
    </row>
    <row r="430" customHeight="1" spans="1:13">
      <c r="A430" s="47">
        <f t="shared" si="12"/>
        <v>429</v>
      </c>
      <c r="B430" s="92"/>
      <c r="C430" s="49" t="str">
        <f>IFERROR(VLOOKUP(B430,[37]工程研发事业部人员名单!B:D,2,0),"")</f>
        <v/>
      </c>
      <c r="D430" s="50" t="str">
        <f>IFERROR(VLOOKUP(B430,[37]工程研发事业部人员名单!B:D,3,0),"")</f>
        <v/>
      </c>
      <c r="E430" s="98"/>
      <c r="F430" s="52">
        <f t="shared" si="13"/>
        <v>0</v>
      </c>
      <c r="G430" s="53"/>
      <c r="H430" s="53"/>
      <c r="I430" s="102"/>
      <c r="J430" s="102"/>
      <c r="K430" s="48"/>
      <c r="L430" s="73"/>
      <c r="M430" s="81"/>
    </row>
    <row r="431" customHeight="1" spans="1:13">
      <c r="A431" s="47">
        <f t="shared" si="12"/>
        <v>430</v>
      </c>
      <c r="B431" s="92"/>
      <c r="C431" s="49" t="str">
        <f>IFERROR(VLOOKUP(B431,[37]工程研发事业部人员名单!B:D,2,0),"")</f>
        <v/>
      </c>
      <c r="D431" s="50" t="str">
        <f>IFERROR(VLOOKUP(B431,[37]工程研发事业部人员名单!B:D,3,0),"")</f>
        <v/>
      </c>
      <c r="E431" s="98"/>
      <c r="F431" s="52">
        <f t="shared" si="13"/>
        <v>0</v>
      </c>
      <c r="G431" s="53"/>
      <c r="H431" s="53"/>
      <c r="I431" s="102"/>
      <c r="J431" s="102"/>
      <c r="K431" s="48"/>
      <c r="L431" s="73"/>
      <c r="M431" s="81"/>
    </row>
    <row r="432" customHeight="1" spans="1:13">
      <c r="A432" s="47">
        <f t="shared" si="12"/>
        <v>431</v>
      </c>
      <c r="B432" s="92"/>
      <c r="C432" s="49" t="str">
        <f>IFERROR(VLOOKUP(B432,[37]工程研发事业部人员名单!B:D,2,0),"")</f>
        <v/>
      </c>
      <c r="D432" s="50" t="str">
        <f>IFERROR(VLOOKUP(B432,[37]工程研发事业部人员名单!B:D,3,0),"")</f>
        <v/>
      </c>
      <c r="E432" s="98"/>
      <c r="F432" s="52">
        <f t="shared" si="13"/>
        <v>0</v>
      </c>
      <c r="G432" s="53"/>
      <c r="H432" s="53"/>
      <c r="I432" s="102"/>
      <c r="J432" s="102"/>
      <c r="K432" s="48"/>
      <c r="L432" s="73"/>
      <c r="M432" s="81"/>
    </row>
    <row r="433" customHeight="1" spans="1:13">
      <c r="A433" s="47">
        <f t="shared" si="12"/>
        <v>432</v>
      </c>
      <c r="B433" s="92"/>
      <c r="C433" s="49" t="str">
        <f>IFERROR(VLOOKUP(B433,[37]工程研发事业部人员名单!B:D,2,0),"")</f>
        <v/>
      </c>
      <c r="D433" s="50" t="str">
        <f>IFERROR(VLOOKUP(B433,[37]工程研发事业部人员名单!B:D,3,0),"")</f>
        <v/>
      </c>
      <c r="E433" s="98"/>
      <c r="F433" s="52">
        <f t="shared" si="13"/>
        <v>0</v>
      </c>
      <c r="G433" s="53"/>
      <c r="H433" s="53"/>
      <c r="I433" s="102"/>
      <c r="J433" s="102"/>
      <c r="K433" s="48"/>
      <c r="L433" s="73"/>
      <c r="M433" s="81"/>
    </row>
    <row r="434" customHeight="1" spans="1:13">
      <c r="A434" s="47">
        <f t="shared" si="12"/>
        <v>433</v>
      </c>
      <c r="B434" s="92"/>
      <c r="C434" s="49" t="str">
        <f>IFERROR(VLOOKUP(B434,[37]工程研发事业部人员名单!B:D,2,0),"")</f>
        <v/>
      </c>
      <c r="D434" s="50" t="str">
        <f>IFERROR(VLOOKUP(B434,[37]工程研发事业部人员名单!B:D,3,0),"")</f>
        <v/>
      </c>
      <c r="E434" s="98"/>
      <c r="F434" s="52">
        <f t="shared" si="13"/>
        <v>0</v>
      </c>
      <c r="G434" s="53"/>
      <c r="H434" s="53"/>
      <c r="I434" s="102"/>
      <c r="J434" s="102"/>
      <c r="K434" s="48"/>
      <c r="L434" s="73"/>
      <c r="M434" s="81"/>
    </row>
    <row r="435" customHeight="1" spans="1:13">
      <c r="A435" s="47">
        <f t="shared" si="12"/>
        <v>434</v>
      </c>
      <c r="B435" s="92"/>
      <c r="C435" s="49" t="str">
        <f>IFERROR(VLOOKUP(B435,[37]工程研发事业部人员名单!B:D,2,0),"")</f>
        <v/>
      </c>
      <c r="D435" s="50" t="str">
        <f>IFERROR(VLOOKUP(B435,[37]工程研发事业部人员名单!B:D,3,0),"")</f>
        <v/>
      </c>
      <c r="E435" s="98"/>
      <c r="F435" s="52">
        <f t="shared" si="13"/>
        <v>0</v>
      </c>
      <c r="G435" s="53"/>
      <c r="H435" s="53"/>
      <c r="I435" s="102"/>
      <c r="J435" s="102"/>
      <c r="K435" s="48"/>
      <c r="L435" s="73"/>
      <c r="M435" s="81"/>
    </row>
    <row r="436" customHeight="1" spans="1:13">
      <c r="A436" s="47">
        <f t="shared" si="12"/>
        <v>435</v>
      </c>
      <c r="B436" s="92"/>
      <c r="C436" s="49" t="str">
        <f>IFERROR(VLOOKUP(B436,[37]工程研发事业部人员名单!B:D,2,0),"")</f>
        <v/>
      </c>
      <c r="D436" s="50" t="str">
        <f>IFERROR(VLOOKUP(B436,[37]工程研发事业部人员名单!B:D,3,0),"")</f>
        <v/>
      </c>
      <c r="E436" s="98"/>
      <c r="F436" s="52">
        <f t="shared" si="13"/>
        <v>0</v>
      </c>
      <c r="G436" s="53"/>
      <c r="H436" s="53"/>
      <c r="I436" s="102"/>
      <c r="J436" s="102"/>
      <c r="K436" s="48"/>
      <c r="L436" s="73"/>
      <c r="M436" s="81"/>
    </row>
    <row r="437" customHeight="1" spans="1:13">
      <c r="A437" s="47">
        <f t="shared" si="12"/>
        <v>436</v>
      </c>
      <c r="B437" s="92"/>
      <c r="C437" s="49" t="str">
        <f>IFERROR(VLOOKUP(B437,[37]工程研发事业部人员名单!B:D,2,0),"")</f>
        <v/>
      </c>
      <c r="D437" s="50" t="str">
        <f>IFERROR(VLOOKUP(B437,[37]工程研发事业部人员名单!B:D,3,0),"")</f>
        <v/>
      </c>
      <c r="E437" s="98"/>
      <c r="F437" s="52">
        <f t="shared" si="13"/>
        <v>0</v>
      </c>
      <c r="G437" s="53"/>
      <c r="H437" s="53"/>
      <c r="I437" s="102"/>
      <c r="J437" s="102"/>
      <c r="K437" s="48"/>
      <c r="L437" s="73"/>
      <c r="M437" s="81"/>
    </row>
    <row r="438" customHeight="1" spans="1:13">
      <c r="A438" s="47">
        <f t="shared" si="12"/>
        <v>437</v>
      </c>
      <c r="B438" s="92"/>
      <c r="C438" s="49" t="str">
        <f>IFERROR(VLOOKUP(B438,[37]工程研发事业部人员名单!B:D,2,0),"")</f>
        <v/>
      </c>
      <c r="D438" s="50" t="str">
        <f>IFERROR(VLOOKUP(B438,[37]工程研发事业部人员名单!B:D,3,0),"")</f>
        <v/>
      </c>
      <c r="E438" s="98"/>
      <c r="F438" s="52">
        <f t="shared" si="13"/>
        <v>0</v>
      </c>
      <c r="G438" s="53"/>
      <c r="H438" s="53"/>
      <c r="I438" s="102"/>
      <c r="J438" s="102"/>
      <c r="K438" s="48"/>
      <c r="L438" s="73"/>
      <c r="M438" s="81"/>
    </row>
    <row r="439" customHeight="1" spans="1:13">
      <c r="A439" s="47">
        <f t="shared" si="12"/>
        <v>438</v>
      </c>
      <c r="B439" s="92"/>
      <c r="C439" s="49" t="str">
        <f>IFERROR(VLOOKUP(B439,[37]工程研发事业部人员名单!B:D,2,0),"")</f>
        <v/>
      </c>
      <c r="D439" s="50" t="str">
        <f>IFERROR(VLOOKUP(B439,[37]工程研发事业部人员名单!B:D,3,0),"")</f>
        <v/>
      </c>
      <c r="E439" s="98"/>
      <c r="F439" s="52">
        <f t="shared" si="13"/>
        <v>0</v>
      </c>
      <c r="G439" s="53"/>
      <c r="H439" s="53"/>
      <c r="I439" s="102"/>
      <c r="J439" s="102"/>
      <c r="K439" s="48"/>
      <c r="L439" s="73"/>
      <c r="M439" s="81"/>
    </row>
    <row r="440" customHeight="1" spans="1:13">
      <c r="A440" s="47">
        <f t="shared" si="12"/>
        <v>439</v>
      </c>
      <c r="B440" s="92"/>
      <c r="C440" s="49" t="str">
        <f>IFERROR(VLOOKUP(B440,[37]工程研发事业部人员名单!B:D,2,0),"")</f>
        <v/>
      </c>
      <c r="D440" s="50" t="str">
        <f>IFERROR(VLOOKUP(B440,[37]工程研发事业部人员名单!B:D,3,0),"")</f>
        <v/>
      </c>
      <c r="E440" s="98"/>
      <c r="F440" s="52">
        <f t="shared" si="13"/>
        <v>0</v>
      </c>
      <c r="G440" s="53"/>
      <c r="H440" s="53"/>
      <c r="I440" s="102"/>
      <c r="J440" s="102"/>
      <c r="K440" s="48"/>
      <c r="L440" s="73"/>
      <c r="M440" s="81"/>
    </row>
    <row r="441" customHeight="1" spans="1:13">
      <c r="A441" s="47">
        <f t="shared" si="12"/>
        <v>440</v>
      </c>
      <c r="B441" s="92"/>
      <c r="C441" s="49" t="str">
        <f>IFERROR(VLOOKUP(B441,[37]工程研发事业部人员名单!B:D,2,0),"")</f>
        <v/>
      </c>
      <c r="D441" s="50" t="str">
        <f>IFERROR(VLOOKUP(B441,[37]工程研发事业部人员名单!B:D,3,0),"")</f>
        <v/>
      </c>
      <c r="E441" s="98"/>
      <c r="F441" s="52">
        <f t="shared" si="13"/>
        <v>0</v>
      </c>
      <c r="G441" s="53"/>
      <c r="H441" s="53"/>
      <c r="I441" s="102"/>
      <c r="J441" s="102"/>
      <c r="K441" s="48"/>
      <c r="L441" s="73"/>
      <c r="M441" s="81"/>
    </row>
    <row r="442" customHeight="1" spans="1:13">
      <c r="A442" s="47">
        <f t="shared" si="12"/>
        <v>441</v>
      </c>
      <c r="B442" s="92"/>
      <c r="C442" s="49" t="str">
        <f>IFERROR(VLOOKUP(B442,[37]工程研发事业部人员名单!B:D,2,0),"")</f>
        <v/>
      </c>
      <c r="D442" s="50" t="str">
        <f>IFERROR(VLOOKUP(B442,[37]工程研发事业部人员名单!B:D,3,0),"")</f>
        <v/>
      </c>
      <c r="E442" s="98"/>
      <c r="F442" s="52">
        <f t="shared" si="13"/>
        <v>0</v>
      </c>
      <c r="G442" s="53"/>
      <c r="H442" s="53"/>
      <c r="I442" s="102"/>
      <c r="J442" s="102"/>
      <c r="K442" s="48"/>
      <c r="L442" s="73"/>
      <c r="M442" s="81"/>
    </row>
    <row r="443" customHeight="1" spans="1:13">
      <c r="A443" s="47">
        <f t="shared" si="12"/>
        <v>442</v>
      </c>
      <c r="B443" s="92"/>
      <c r="C443" s="49" t="str">
        <f>IFERROR(VLOOKUP(B443,[37]工程研发事业部人员名单!B:D,2,0),"")</f>
        <v/>
      </c>
      <c r="D443" s="50" t="str">
        <f>IFERROR(VLOOKUP(B443,[37]工程研发事业部人员名单!B:D,3,0),"")</f>
        <v/>
      </c>
      <c r="E443" s="98"/>
      <c r="F443" s="52">
        <f t="shared" si="13"/>
        <v>0</v>
      </c>
      <c r="G443" s="53"/>
      <c r="H443" s="53"/>
      <c r="I443" s="102"/>
      <c r="J443" s="102"/>
      <c r="K443" s="48"/>
      <c r="L443" s="73"/>
      <c r="M443" s="81"/>
    </row>
    <row r="444" customHeight="1" spans="1:13">
      <c r="A444" s="47">
        <f t="shared" si="12"/>
        <v>443</v>
      </c>
      <c r="B444" s="92"/>
      <c r="C444" s="49" t="str">
        <f>IFERROR(VLOOKUP(B444,[37]工程研发事业部人员名单!B:D,2,0),"")</f>
        <v/>
      </c>
      <c r="D444" s="50" t="str">
        <f>IFERROR(VLOOKUP(B444,[37]工程研发事业部人员名单!B:D,3,0),"")</f>
        <v/>
      </c>
      <c r="E444" s="98"/>
      <c r="F444" s="52">
        <f t="shared" si="13"/>
        <v>0</v>
      </c>
      <c r="G444" s="53"/>
      <c r="H444" s="53"/>
      <c r="I444" s="102"/>
      <c r="J444" s="102"/>
      <c r="K444" s="48"/>
      <c r="L444" s="73"/>
      <c r="M444" s="81"/>
    </row>
    <row r="445" customHeight="1" spans="1:13">
      <c r="A445" s="47">
        <f t="shared" si="12"/>
        <v>444</v>
      </c>
      <c r="B445" s="92"/>
      <c r="C445" s="49" t="str">
        <f>IFERROR(VLOOKUP(B445,[37]工程研发事业部人员名单!B:D,2,0),"")</f>
        <v/>
      </c>
      <c r="D445" s="50" t="str">
        <f>IFERROR(VLOOKUP(B445,[37]工程研发事业部人员名单!B:D,3,0),"")</f>
        <v/>
      </c>
      <c r="E445" s="98"/>
      <c r="F445" s="52">
        <f t="shared" si="13"/>
        <v>0</v>
      </c>
      <c r="G445" s="53"/>
      <c r="H445" s="53"/>
      <c r="I445" s="102"/>
      <c r="J445" s="102"/>
      <c r="K445" s="48"/>
      <c r="L445" s="73"/>
      <c r="M445" s="81"/>
    </row>
    <row r="446" customHeight="1" spans="1:13">
      <c r="A446" s="47">
        <f t="shared" si="12"/>
        <v>445</v>
      </c>
      <c r="B446" s="92"/>
      <c r="C446" s="49" t="str">
        <f>IFERROR(VLOOKUP(B446,[37]工程研发事业部人员名单!B:D,2,0),"")</f>
        <v/>
      </c>
      <c r="D446" s="50" t="str">
        <f>IFERROR(VLOOKUP(B446,[37]工程研发事业部人员名单!B:D,3,0),"")</f>
        <v/>
      </c>
      <c r="E446" s="98"/>
      <c r="F446" s="52">
        <f t="shared" si="13"/>
        <v>0</v>
      </c>
      <c r="G446" s="53"/>
      <c r="H446" s="53"/>
      <c r="I446" s="102"/>
      <c r="J446" s="102"/>
      <c r="K446" s="48"/>
      <c r="L446" s="73"/>
      <c r="M446" s="81"/>
    </row>
    <row r="447" customHeight="1" spans="1:13">
      <c r="A447" s="47">
        <f t="shared" si="12"/>
        <v>446</v>
      </c>
      <c r="B447" s="92"/>
      <c r="C447" s="49" t="str">
        <f>IFERROR(VLOOKUP(B447,[37]工程研发事业部人员名单!B:D,2,0),"")</f>
        <v/>
      </c>
      <c r="D447" s="50" t="str">
        <f>IFERROR(VLOOKUP(B447,[37]工程研发事业部人员名单!B:D,3,0),"")</f>
        <v/>
      </c>
      <c r="E447" s="98"/>
      <c r="F447" s="52">
        <f t="shared" si="13"/>
        <v>0</v>
      </c>
      <c r="G447" s="53"/>
      <c r="H447" s="53"/>
      <c r="I447" s="102"/>
      <c r="J447" s="102"/>
      <c r="K447" s="48"/>
      <c r="L447" s="73"/>
      <c r="M447" s="81"/>
    </row>
    <row r="448" customHeight="1" spans="1:13">
      <c r="A448" s="47">
        <f t="shared" si="12"/>
        <v>447</v>
      </c>
      <c r="B448" s="92"/>
      <c r="C448" s="49" t="str">
        <f>IFERROR(VLOOKUP(B448,[37]工程研发事业部人员名单!B:D,2,0),"")</f>
        <v/>
      </c>
      <c r="D448" s="50" t="str">
        <f>IFERROR(VLOOKUP(B448,[37]工程研发事业部人员名单!B:D,3,0),"")</f>
        <v/>
      </c>
      <c r="E448" s="98"/>
      <c r="F448" s="52">
        <f t="shared" si="13"/>
        <v>0</v>
      </c>
      <c r="G448" s="53"/>
      <c r="H448" s="53"/>
      <c r="I448" s="102"/>
      <c r="J448" s="102"/>
      <c r="K448" s="48"/>
      <c r="L448" s="73"/>
      <c r="M448" s="81"/>
    </row>
    <row r="449" customHeight="1" spans="1:13">
      <c r="A449" s="47">
        <f t="shared" si="12"/>
        <v>448</v>
      </c>
      <c r="B449" s="92"/>
      <c r="C449" s="49" t="str">
        <f>IFERROR(VLOOKUP(B449,[37]工程研发事业部人员名单!B:D,2,0),"")</f>
        <v/>
      </c>
      <c r="D449" s="50" t="str">
        <f>IFERROR(VLOOKUP(B449,[37]工程研发事业部人员名单!B:D,3,0),"")</f>
        <v/>
      </c>
      <c r="E449" s="98"/>
      <c r="F449" s="52">
        <f t="shared" si="13"/>
        <v>0</v>
      </c>
      <c r="G449" s="53"/>
      <c r="H449" s="53"/>
      <c r="I449" s="102"/>
      <c r="J449" s="102"/>
      <c r="K449" s="48"/>
      <c r="L449" s="73"/>
      <c r="M449" s="81"/>
    </row>
    <row r="450" customHeight="1" spans="1:13">
      <c r="A450" s="47">
        <f t="shared" ref="A450:A462" si="14">ROW()-1</f>
        <v>449</v>
      </c>
      <c r="B450" s="92"/>
      <c r="C450" s="49" t="str">
        <f>IFERROR(VLOOKUP(B450,[37]工程研发事业部人员名单!B:D,2,0),"")</f>
        <v/>
      </c>
      <c r="D450" s="50" t="str">
        <f>IFERROR(VLOOKUP(B450,[37]工程研发事业部人员名单!B:D,3,0),"")</f>
        <v/>
      </c>
      <c r="E450" s="98"/>
      <c r="F450" s="52">
        <f t="shared" ref="F450:F462" si="15">G450+H450+I450+J450</f>
        <v>0</v>
      </c>
      <c r="G450" s="53"/>
      <c r="H450" s="53"/>
      <c r="I450" s="102"/>
      <c r="J450" s="102"/>
      <c r="K450" s="48"/>
      <c r="L450" s="73"/>
      <c r="M450" s="81"/>
    </row>
    <row r="451" customHeight="1" spans="1:13">
      <c r="A451" s="47">
        <f t="shared" si="14"/>
        <v>450</v>
      </c>
      <c r="B451" s="92"/>
      <c r="C451" s="49" t="str">
        <f>IFERROR(VLOOKUP(B451,[37]工程研发事业部人员名单!B:D,2,0),"")</f>
        <v/>
      </c>
      <c r="D451" s="50" t="str">
        <f>IFERROR(VLOOKUP(B451,[37]工程研发事业部人员名单!B:D,3,0),"")</f>
        <v/>
      </c>
      <c r="E451" s="98"/>
      <c r="F451" s="52">
        <f t="shared" si="15"/>
        <v>0</v>
      </c>
      <c r="G451" s="53"/>
      <c r="H451" s="53"/>
      <c r="I451" s="102"/>
      <c r="J451" s="102"/>
      <c r="K451" s="48"/>
      <c r="L451" s="73"/>
      <c r="M451" s="81"/>
    </row>
    <row r="452" customHeight="1" spans="1:13">
      <c r="A452" s="47">
        <f t="shared" si="14"/>
        <v>451</v>
      </c>
      <c r="B452" s="92"/>
      <c r="C452" s="49" t="str">
        <f>IFERROR(VLOOKUP(B452,[37]工程研发事业部人员名单!B:D,2,0),"")</f>
        <v/>
      </c>
      <c r="D452" s="50" t="str">
        <f>IFERROR(VLOOKUP(B452,[37]工程研发事业部人员名单!B:D,3,0),"")</f>
        <v/>
      </c>
      <c r="E452" s="98"/>
      <c r="F452" s="52">
        <f t="shared" si="15"/>
        <v>0</v>
      </c>
      <c r="G452" s="53"/>
      <c r="H452" s="53"/>
      <c r="I452" s="102"/>
      <c r="J452" s="102"/>
      <c r="K452" s="48"/>
      <c r="L452" s="73"/>
      <c r="M452" s="81"/>
    </row>
    <row r="453" customHeight="1" spans="1:13">
      <c r="A453" s="47">
        <f t="shared" si="14"/>
        <v>452</v>
      </c>
      <c r="B453" s="92"/>
      <c r="C453" s="49" t="str">
        <f>IFERROR(VLOOKUP(B453,[37]工程研发事业部人员名单!B:D,2,0),"")</f>
        <v/>
      </c>
      <c r="D453" s="50" t="str">
        <f>IFERROR(VLOOKUP(B453,[37]工程研发事业部人员名单!B:D,3,0),"")</f>
        <v/>
      </c>
      <c r="E453" s="98"/>
      <c r="F453" s="52">
        <f t="shared" si="15"/>
        <v>0</v>
      </c>
      <c r="G453" s="53"/>
      <c r="H453" s="53"/>
      <c r="I453" s="102"/>
      <c r="J453" s="102"/>
      <c r="K453" s="48"/>
      <c r="L453" s="73"/>
      <c r="M453" s="81"/>
    </row>
    <row r="454" customHeight="1" spans="1:13">
      <c r="A454" s="47">
        <f t="shared" si="14"/>
        <v>453</v>
      </c>
      <c r="B454" s="92"/>
      <c r="C454" s="49" t="str">
        <f>IFERROR(VLOOKUP(B454,[37]工程研发事业部人员名单!B:D,2,0),"")</f>
        <v/>
      </c>
      <c r="D454" s="50" t="str">
        <f>IFERROR(VLOOKUP(B454,[37]工程研发事业部人员名单!B:D,3,0),"")</f>
        <v/>
      </c>
      <c r="E454" s="98"/>
      <c r="F454" s="52">
        <f t="shared" si="15"/>
        <v>0</v>
      </c>
      <c r="G454" s="53"/>
      <c r="H454" s="53"/>
      <c r="I454" s="102"/>
      <c r="J454" s="102"/>
      <c r="K454" s="48"/>
      <c r="L454" s="73"/>
      <c r="M454" s="81"/>
    </row>
    <row r="455" customHeight="1" spans="1:13">
      <c r="A455" s="47">
        <f t="shared" si="14"/>
        <v>454</v>
      </c>
      <c r="B455" s="92"/>
      <c r="C455" s="49" t="str">
        <f>IFERROR(VLOOKUP(B455,[37]工程研发事业部人员名单!B:D,2,0),"")</f>
        <v/>
      </c>
      <c r="D455" s="50" t="str">
        <f>IFERROR(VLOOKUP(B455,[37]工程研发事业部人员名单!B:D,3,0),"")</f>
        <v/>
      </c>
      <c r="E455" s="98"/>
      <c r="F455" s="52">
        <f t="shared" si="15"/>
        <v>0</v>
      </c>
      <c r="G455" s="53"/>
      <c r="H455" s="53"/>
      <c r="I455" s="102"/>
      <c r="J455" s="102"/>
      <c r="K455" s="48"/>
      <c r="L455" s="73"/>
      <c r="M455" s="81"/>
    </row>
    <row r="456" customHeight="1" spans="1:13">
      <c r="A456" s="47">
        <f t="shared" si="14"/>
        <v>455</v>
      </c>
      <c r="B456" s="92"/>
      <c r="C456" s="49" t="str">
        <f>IFERROR(VLOOKUP(B456,[37]工程研发事业部人员名单!B:D,2,0),"")</f>
        <v/>
      </c>
      <c r="D456" s="50" t="str">
        <f>IFERROR(VLOOKUP(B456,[37]工程研发事业部人员名单!B:D,3,0),"")</f>
        <v/>
      </c>
      <c r="E456" s="98"/>
      <c r="F456" s="52">
        <f t="shared" si="15"/>
        <v>0</v>
      </c>
      <c r="G456" s="53"/>
      <c r="H456" s="53"/>
      <c r="I456" s="102"/>
      <c r="J456" s="102"/>
      <c r="K456" s="48"/>
      <c r="L456" s="73"/>
      <c r="M456" s="81"/>
    </row>
    <row r="457" customHeight="1" spans="1:13">
      <c r="A457" s="47">
        <f t="shared" si="14"/>
        <v>456</v>
      </c>
      <c r="B457" s="92"/>
      <c r="C457" s="49" t="str">
        <f>IFERROR(VLOOKUP(B457,[37]工程研发事业部人员名单!B:D,2,0),"")</f>
        <v/>
      </c>
      <c r="D457" s="50" t="str">
        <f>IFERROR(VLOOKUP(B457,[37]工程研发事业部人员名单!B:D,3,0),"")</f>
        <v/>
      </c>
      <c r="E457" s="98"/>
      <c r="F457" s="52">
        <f t="shared" si="15"/>
        <v>0</v>
      </c>
      <c r="G457" s="53"/>
      <c r="H457" s="53"/>
      <c r="I457" s="102"/>
      <c r="J457" s="102"/>
      <c r="K457" s="48"/>
      <c r="L457" s="73"/>
      <c r="M457" s="81"/>
    </row>
    <row r="458" customHeight="1" spans="1:13">
      <c r="A458" s="47">
        <f t="shared" si="14"/>
        <v>457</v>
      </c>
      <c r="B458" s="92"/>
      <c r="C458" s="49" t="str">
        <f>IFERROR(VLOOKUP(B458,[37]工程研发事业部人员名单!B:D,2,0),"")</f>
        <v/>
      </c>
      <c r="D458" s="50" t="str">
        <f>IFERROR(VLOOKUP(B458,[37]工程研发事业部人员名单!B:D,3,0),"")</f>
        <v/>
      </c>
      <c r="E458" s="98"/>
      <c r="F458" s="52">
        <f t="shared" si="15"/>
        <v>0</v>
      </c>
      <c r="G458" s="53"/>
      <c r="H458" s="53"/>
      <c r="I458" s="102"/>
      <c r="J458" s="102"/>
      <c r="K458" s="48"/>
      <c r="L458" s="73"/>
      <c r="M458" s="81"/>
    </row>
    <row r="459" customHeight="1" spans="1:13">
      <c r="A459" s="47">
        <f t="shared" si="14"/>
        <v>458</v>
      </c>
      <c r="B459" s="92"/>
      <c r="C459" s="49" t="str">
        <f>IFERROR(VLOOKUP(B459,[37]工程研发事业部人员名单!B:D,2,0),"")</f>
        <v/>
      </c>
      <c r="D459" s="50" t="str">
        <f>IFERROR(VLOOKUP(B459,[37]工程研发事业部人员名单!B:D,3,0),"")</f>
        <v/>
      </c>
      <c r="E459" s="98"/>
      <c r="F459" s="52">
        <f t="shared" si="15"/>
        <v>0</v>
      </c>
      <c r="G459" s="53"/>
      <c r="H459" s="53"/>
      <c r="I459" s="102"/>
      <c r="J459" s="102"/>
      <c r="K459" s="48"/>
      <c r="L459" s="73"/>
      <c r="M459" s="81"/>
    </row>
    <row r="460" customHeight="1" spans="1:13">
      <c r="A460" s="47">
        <f t="shared" si="14"/>
        <v>459</v>
      </c>
      <c r="B460" s="92"/>
      <c r="C460" s="49" t="str">
        <f>IFERROR(VLOOKUP(B460,[37]工程研发事业部人员名单!B:D,2,0),"")</f>
        <v/>
      </c>
      <c r="D460" s="50" t="str">
        <f>IFERROR(VLOOKUP(B460,[37]工程研发事业部人员名单!B:D,3,0),"")</f>
        <v/>
      </c>
      <c r="E460" s="98"/>
      <c r="F460" s="52">
        <f t="shared" si="15"/>
        <v>0</v>
      </c>
      <c r="G460" s="53"/>
      <c r="H460" s="53"/>
      <c r="I460" s="102"/>
      <c r="J460" s="102"/>
      <c r="K460" s="48"/>
      <c r="L460" s="73"/>
      <c r="M460" s="81"/>
    </row>
    <row r="461" customHeight="1" spans="1:13">
      <c r="A461" s="47">
        <f t="shared" si="14"/>
        <v>460</v>
      </c>
      <c r="B461" s="92"/>
      <c r="C461" s="49" t="str">
        <f>IFERROR(VLOOKUP(B461,[37]工程研发事业部人员名单!B:D,2,0),"")</f>
        <v/>
      </c>
      <c r="D461" s="50" t="str">
        <f>IFERROR(VLOOKUP(B461,[37]工程研发事业部人员名单!B:D,3,0),"")</f>
        <v/>
      </c>
      <c r="E461" s="98"/>
      <c r="F461" s="52">
        <f t="shared" si="15"/>
        <v>0</v>
      </c>
      <c r="G461" s="53"/>
      <c r="H461" s="53"/>
      <c r="I461" s="102"/>
      <c r="J461" s="102"/>
      <c r="K461" s="48"/>
      <c r="L461" s="73"/>
      <c r="M461" s="81"/>
    </row>
    <row r="462" customHeight="1" spans="1:13">
      <c r="A462" s="47">
        <f t="shared" si="14"/>
        <v>461</v>
      </c>
      <c r="B462" s="92"/>
      <c r="C462" s="49" t="str">
        <f>IFERROR(VLOOKUP(B462,[37]工程研发事业部人员名单!B:D,2,0),"")</f>
        <v/>
      </c>
      <c r="D462" s="50" t="str">
        <f>IFERROR(VLOOKUP(B462,[37]工程研发事业部人员名单!B:D,3,0),"")</f>
        <v/>
      </c>
      <c r="E462" s="98"/>
      <c r="F462" s="52">
        <f t="shared" si="15"/>
        <v>0</v>
      </c>
      <c r="G462" s="53"/>
      <c r="H462" s="53"/>
      <c r="I462" s="102"/>
      <c r="J462" s="102"/>
      <c r="K462" s="48"/>
      <c r="L462" s="73"/>
      <c r="M462" s="81"/>
    </row>
    <row r="463" customHeight="1" spans="1:13">
      <c r="A463" s="47">
        <v>462</v>
      </c>
      <c r="B463" s="92"/>
      <c r="C463" s="49" t="s">
        <v>665</v>
      </c>
      <c r="D463" s="50" t="s">
        <v>665</v>
      </c>
      <c r="E463" s="98"/>
      <c r="F463" s="52">
        <v>0</v>
      </c>
      <c r="G463" s="53"/>
      <c r="H463" s="53"/>
      <c r="I463" s="102"/>
      <c r="J463" s="102"/>
      <c r="K463" s="48"/>
      <c r="L463" s="73"/>
      <c r="M463" s="81"/>
    </row>
    <row r="464" customHeight="1" spans="1:13">
      <c r="A464" s="47">
        <v>463</v>
      </c>
      <c r="B464" s="92"/>
      <c r="C464" s="49" t="s">
        <v>665</v>
      </c>
      <c r="D464" s="50" t="s">
        <v>665</v>
      </c>
      <c r="E464" s="98"/>
      <c r="F464" s="52">
        <v>0</v>
      </c>
      <c r="G464" s="53"/>
      <c r="H464" s="53"/>
      <c r="I464" s="102"/>
      <c r="J464" s="102"/>
      <c r="K464" s="48"/>
      <c r="L464" s="73"/>
      <c r="M464" s="81"/>
    </row>
    <row r="465" customHeight="1" spans="1:13">
      <c r="A465" s="47">
        <v>464</v>
      </c>
      <c r="B465" s="92"/>
      <c r="C465" s="49" t="s">
        <v>665</v>
      </c>
      <c r="D465" s="50" t="s">
        <v>665</v>
      </c>
      <c r="E465" s="98"/>
      <c r="F465" s="52">
        <v>0</v>
      </c>
      <c r="G465" s="53"/>
      <c r="H465" s="53"/>
      <c r="I465" s="102"/>
      <c r="J465" s="102"/>
      <c r="K465" s="48"/>
      <c r="L465" s="73"/>
      <c r="M465" s="81"/>
    </row>
    <row r="466" customHeight="1" spans="1:13">
      <c r="A466" s="47">
        <v>465</v>
      </c>
      <c r="B466" s="92"/>
      <c r="C466" s="49" t="s">
        <v>665</v>
      </c>
      <c r="D466" s="50" t="s">
        <v>665</v>
      </c>
      <c r="E466" s="98"/>
      <c r="F466" s="52">
        <v>0</v>
      </c>
      <c r="G466" s="53"/>
      <c r="H466" s="53"/>
      <c r="I466" s="102"/>
      <c r="J466" s="102"/>
      <c r="K466" s="48"/>
      <c r="L466" s="73"/>
      <c r="M466" s="81"/>
    </row>
    <row r="467" customHeight="1" spans="1:13">
      <c r="A467" s="47">
        <v>466</v>
      </c>
      <c r="B467" s="92"/>
      <c r="C467" s="49" t="s">
        <v>665</v>
      </c>
      <c r="D467" s="50" t="s">
        <v>665</v>
      </c>
      <c r="E467" s="98"/>
      <c r="F467" s="52">
        <v>0</v>
      </c>
      <c r="G467" s="53"/>
      <c r="H467" s="53"/>
      <c r="I467" s="102"/>
      <c r="J467" s="102"/>
      <c r="K467" s="48"/>
      <c r="L467" s="73"/>
      <c r="M467" s="81"/>
    </row>
    <row r="468" customHeight="1" spans="1:13">
      <c r="A468" s="47">
        <v>467</v>
      </c>
      <c r="B468" s="92"/>
      <c r="C468" s="49" t="s">
        <v>665</v>
      </c>
      <c r="D468" s="50" t="s">
        <v>665</v>
      </c>
      <c r="E468" s="98"/>
      <c r="F468" s="52">
        <v>0</v>
      </c>
      <c r="G468" s="53"/>
      <c r="H468" s="53"/>
      <c r="I468" s="102"/>
      <c r="J468" s="102"/>
      <c r="K468" s="48"/>
      <c r="L468" s="73"/>
      <c r="M468" s="81"/>
    </row>
    <row r="469" customHeight="1" spans="1:13">
      <c r="A469" s="47">
        <v>468</v>
      </c>
      <c r="B469" s="92"/>
      <c r="C469" s="49" t="s">
        <v>665</v>
      </c>
      <c r="D469" s="50" t="s">
        <v>665</v>
      </c>
      <c r="E469" s="98"/>
      <c r="F469" s="52">
        <v>0</v>
      </c>
      <c r="G469" s="53"/>
      <c r="H469" s="53"/>
      <c r="I469" s="102"/>
      <c r="J469" s="102"/>
      <c r="K469" s="48"/>
      <c r="L469" s="73"/>
      <c r="M469" s="81"/>
    </row>
    <row r="470" customHeight="1" spans="1:13">
      <c r="A470" s="47">
        <v>469</v>
      </c>
      <c r="B470" s="92"/>
      <c r="C470" s="49" t="s">
        <v>665</v>
      </c>
      <c r="D470" s="50" t="s">
        <v>665</v>
      </c>
      <c r="E470" s="98"/>
      <c r="F470" s="52">
        <v>0</v>
      </c>
      <c r="G470" s="53"/>
      <c r="H470" s="53"/>
      <c r="I470" s="102"/>
      <c r="J470" s="102"/>
      <c r="K470" s="48"/>
      <c r="L470" s="73"/>
      <c r="M470" s="81"/>
    </row>
    <row r="471" customHeight="1" spans="1:13">
      <c r="A471" s="47">
        <v>470</v>
      </c>
      <c r="B471" s="92"/>
      <c r="C471" s="49" t="s">
        <v>665</v>
      </c>
      <c r="D471" s="50" t="s">
        <v>665</v>
      </c>
      <c r="E471" s="98"/>
      <c r="F471" s="52">
        <v>0</v>
      </c>
      <c r="G471" s="53"/>
      <c r="H471" s="53"/>
      <c r="I471" s="102"/>
      <c r="J471" s="102"/>
      <c r="K471" s="48"/>
      <c r="L471" s="73"/>
      <c r="M471" s="81"/>
    </row>
    <row r="472" customHeight="1" spans="1:13">
      <c r="A472" s="47">
        <v>471</v>
      </c>
      <c r="B472" s="92"/>
      <c r="C472" s="49" t="s">
        <v>665</v>
      </c>
      <c r="D472" s="50" t="s">
        <v>665</v>
      </c>
      <c r="E472" s="98"/>
      <c r="F472" s="52">
        <v>0</v>
      </c>
      <c r="G472" s="53"/>
      <c r="H472" s="53"/>
      <c r="I472" s="102"/>
      <c r="J472" s="102"/>
      <c r="K472" s="48"/>
      <c r="L472" s="73"/>
      <c r="M472" s="81"/>
    </row>
    <row r="473" customHeight="1" spans="1:13">
      <c r="A473" s="47">
        <v>472</v>
      </c>
      <c r="B473" s="92"/>
      <c r="C473" s="49" t="s">
        <v>665</v>
      </c>
      <c r="D473" s="50" t="s">
        <v>665</v>
      </c>
      <c r="E473" s="98"/>
      <c r="F473" s="52">
        <v>0</v>
      </c>
      <c r="G473" s="53"/>
      <c r="H473" s="53"/>
      <c r="I473" s="102"/>
      <c r="J473" s="102"/>
      <c r="K473" s="48"/>
      <c r="L473" s="73"/>
      <c r="M473" s="81"/>
    </row>
    <row r="474" customHeight="1" spans="1:13">
      <c r="A474" s="47">
        <v>473</v>
      </c>
      <c r="B474" s="92"/>
      <c r="C474" s="49" t="s">
        <v>665</v>
      </c>
      <c r="D474" s="50" t="s">
        <v>665</v>
      </c>
      <c r="E474" s="98"/>
      <c r="F474" s="52">
        <v>0</v>
      </c>
      <c r="G474" s="53"/>
      <c r="H474" s="53"/>
      <c r="I474" s="102"/>
      <c r="J474" s="102"/>
      <c r="K474" s="48"/>
      <c r="L474" s="73"/>
      <c r="M474" s="81"/>
    </row>
    <row r="475" customHeight="1" spans="1:13">
      <c r="A475" s="47">
        <v>474</v>
      </c>
      <c r="B475" s="92"/>
      <c r="C475" s="49" t="s">
        <v>665</v>
      </c>
      <c r="D475" s="50" t="s">
        <v>665</v>
      </c>
      <c r="E475" s="98"/>
      <c r="F475" s="52">
        <v>0</v>
      </c>
      <c r="G475" s="53"/>
      <c r="H475" s="53"/>
      <c r="I475" s="102"/>
      <c r="J475" s="102"/>
      <c r="K475" s="48"/>
      <c r="L475" s="73"/>
      <c r="M475" s="81"/>
    </row>
    <row r="476" customHeight="1" spans="1:13">
      <c r="A476" s="47">
        <v>475</v>
      </c>
      <c r="B476" s="92"/>
      <c r="C476" s="49" t="s">
        <v>665</v>
      </c>
      <c r="D476" s="50" t="s">
        <v>665</v>
      </c>
      <c r="E476" s="98"/>
      <c r="F476" s="52">
        <v>0</v>
      </c>
      <c r="G476" s="53"/>
      <c r="H476" s="53"/>
      <c r="I476" s="102"/>
      <c r="J476" s="102"/>
      <c r="K476" s="48"/>
      <c r="L476" s="73"/>
      <c r="M476" s="81"/>
    </row>
    <row r="477" customHeight="1" spans="1:13">
      <c r="A477" s="47">
        <v>476</v>
      </c>
      <c r="B477" s="92"/>
      <c r="C477" s="49" t="s">
        <v>665</v>
      </c>
      <c r="D477" s="50" t="s">
        <v>665</v>
      </c>
      <c r="E477" s="98"/>
      <c r="F477" s="52">
        <v>0</v>
      </c>
      <c r="G477" s="53"/>
      <c r="H477" s="53"/>
      <c r="I477" s="102"/>
      <c r="J477" s="102"/>
      <c r="K477" s="48"/>
      <c r="L477" s="73"/>
      <c r="M477" s="81"/>
    </row>
    <row r="478" customHeight="1" spans="1:13">
      <c r="A478" s="47">
        <v>477</v>
      </c>
      <c r="B478" s="92"/>
      <c r="C478" s="49" t="s">
        <v>665</v>
      </c>
      <c r="D478" s="50" t="s">
        <v>665</v>
      </c>
      <c r="E478" s="98"/>
      <c r="F478" s="52">
        <v>0</v>
      </c>
      <c r="G478" s="53"/>
      <c r="H478" s="53"/>
      <c r="I478" s="102"/>
      <c r="J478" s="102"/>
      <c r="K478" s="48"/>
      <c r="L478" s="73"/>
      <c r="M478" s="81"/>
    </row>
    <row r="479" customHeight="1" spans="1:13">
      <c r="A479" s="47">
        <v>478</v>
      </c>
      <c r="B479" s="92"/>
      <c r="C479" s="49" t="s">
        <v>665</v>
      </c>
      <c r="D479" s="50" t="s">
        <v>665</v>
      </c>
      <c r="E479" s="98"/>
      <c r="F479" s="52">
        <v>0</v>
      </c>
      <c r="G479" s="53"/>
      <c r="H479" s="53"/>
      <c r="I479" s="102"/>
      <c r="J479" s="102"/>
      <c r="K479" s="48"/>
      <c r="L479" s="73"/>
      <c r="M479" s="81"/>
    </row>
    <row r="480" customHeight="1" spans="1:13">
      <c r="A480" s="47">
        <v>479</v>
      </c>
      <c r="B480" s="92"/>
      <c r="C480" s="49" t="s">
        <v>665</v>
      </c>
      <c r="D480" s="50" t="s">
        <v>665</v>
      </c>
      <c r="E480" s="98"/>
      <c r="F480" s="52">
        <v>0</v>
      </c>
      <c r="G480" s="53"/>
      <c r="H480" s="53"/>
      <c r="I480" s="102"/>
      <c r="J480" s="102"/>
      <c r="K480" s="48"/>
      <c r="L480" s="73"/>
      <c r="M480" s="81"/>
    </row>
    <row r="481" customHeight="1" spans="1:13">
      <c r="A481" s="47">
        <v>480</v>
      </c>
      <c r="B481" s="92"/>
      <c r="C481" s="49" t="s">
        <v>665</v>
      </c>
      <c r="D481" s="50" t="s">
        <v>665</v>
      </c>
      <c r="E481" s="98"/>
      <c r="F481" s="52">
        <v>0</v>
      </c>
      <c r="G481" s="53"/>
      <c r="H481" s="53"/>
      <c r="I481" s="102"/>
      <c r="J481" s="102"/>
      <c r="K481" s="48"/>
      <c r="L481" s="73"/>
      <c r="M481" s="81"/>
    </row>
    <row r="482" customHeight="1" spans="1:13">
      <c r="A482" s="47">
        <v>481</v>
      </c>
      <c r="B482" s="92"/>
      <c r="C482" s="49" t="s">
        <v>665</v>
      </c>
      <c r="D482" s="50" t="s">
        <v>665</v>
      </c>
      <c r="E482" s="98"/>
      <c r="F482" s="52">
        <v>0</v>
      </c>
      <c r="G482" s="53"/>
      <c r="H482" s="53"/>
      <c r="I482" s="102"/>
      <c r="J482" s="102"/>
      <c r="K482" s="48"/>
      <c r="L482" s="73"/>
      <c r="M482" s="81"/>
    </row>
    <row r="483" customHeight="1" spans="1:13">
      <c r="A483" s="47">
        <v>482</v>
      </c>
      <c r="B483" s="92"/>
      <c r="C483" s="49" t="s">
        <v>665</v>
      </c>
      <c r="D483" s="50" t="s">
        <v>665</v>
      </c>
      <c r="E483" s="98"/>
      <c r="F483" s="52">
        <v>0</v>
      </c>
      <c r="G483" s="53"/>
      <c r="H483" s="53"/>
      <c r="I483" s="102"/>
      <c r="J483" s="102"/>
      <c r="K483" s="48"/>
      <c r="L483" s="73"/>
      <c r="M483" s="81"/>
    </row>
    <row r="484" customHeight="1" spans="1:13">
      <c r="A484" s="47">
        <v>483</v>
      </c>
      <c r="B484" s="92"/>
      <c r="C484" s="49" t="s">
        <v>665</v>
      </c>
      <c r="D484" s="50" t="s">
        <v>665</v>
      </c>
      <c r="E484" s="98"/>
      <c r="F484" s="52">
        <v>0</v>
      </c>
      <c r="G484" s="53"/>
      <c r="H484" s="53"/>
      <c r="I484" s="102"/>
      <c r="J484" s="102"/>
      <c r="K484" s="48"/>
      <c r="L484" s="73"/>
      <c r="M484" s="81"/>
    </row>
    <row r="485" customHeight="1" spans="1:13">
      <c r="A485" s="47">
        <f t="shared" ref="A482:A498" si="16">ROW()-1</f>
        <v>484</v>
      </c>
      <c r="B485" s="92"/>
      <c r="C485" s="49" t="str">
        <f>IFERROR(VLOOKUP(B485,[33]工程研发事业部人员名单!B:D,2,0),"")</f>
        <v/>
      </c>
      <c r="D485" s="50" t="str">
        <f>IFERROR(VLOOKUP(B485,[33]工程研发事业部人员名单!B:D,3,0),"")</f>
        <v/>
      </c>
      <c r="E485" s="98"/>
      <c r="F485" s="52">
        <f t="shared" ref="F482:F498" si="17">G485+H485+I485+J485</f>
        <v>0</v>
      </c>
      <c r="G485" s="53"/>
      <c r="H485" s="53"/>
      <c r="I485" s="128"/>
      <c r="J485" s="102"/>
      <c r="K485" s="48"/>
      <c r="L485" s="73"/>
      <c r="M485" s="81"/>
    </row>
    <row r="486" customHeight="1" spans="1:13">
      <c r="A486" s="47">
        <f t="shared" si="16"/>
        <v>485</v>
      </c>
      <c r="B486" s="92"/>
      <c r="C486" s="49" t="str">
        <f>IFERROR(VLOOKUP(B486,[32]工程研发事业部人员名单!B:D,2,0),"")</f>
        <v/>
      </c>
      <c r="D486" s="50" t="str">
        <f>IFERROR(VLOOKUP(B486,[32]工程研发事业部人员名单!B:D,3,0),"")</f>
        <v/>
      </c>
      <c r="E486" s="98"/>
      <c r="F486" s="52">
        <f t="shared" si="17"/>
        <v>0</v>
      </c>
      <c r="G486" s="53"/>
      <c r="H486" s="53"/>
      <c r="I486" s="128"/>
      <c r="J486" s="102"/>
      <c r="K486" s="48"/>
      <c r="L486" s="73"/>
      <c r="M486" s="81"/>
    </row>
    <row r="487" customHeight="1" spans="1:13">
      <c r="A487" s="47">
        <f t="shared" si="16"/>
        <v>486</v>
      </c>
      <c r="B487" s="92"/>
      <c r="C487" s="49" t="str">
        <f>IFERROR(VLOOKUP(B487,[32]工程研发事业部人员名单!B:D,2,0),"")</f>
        <v/>
      </c>
      <c r="D487" s="50" t="str">
        <f>IFERROR(VLOOKUP(B487,[32]工程研发事业部人员名单!B:D,3,0),"")</f>
        <v/>
      </c>
      <c r="E487" s="98"/>
      <c r="F487" s="52">
        <f t="shared" si="17"/>
        <v>0</v>
      </c>
      <c r="G487" s="53"/>
      <c r="H487" s="53"/>
      <c r="I487" s="128"/>
      <c r="J487" s="102"/>
      <c r="K487" s="48"/>
      <c r="L487" s="73"/>
      <c r="M487" s="81"/>
    </row>
    <row r="488" customHeight="1" spans="1:13">
      <c r="A488" s="47">
        <f t="shared" si="16"/>
        <v>487</v>
      </c>
      <c r="B488" s="92"/>
      <c r="C488" s="49" t="str">
        <f>IFERROR(VLOOKUP(B488,[32]工程研发事业部人员名单!B:D,2,0),"")</f>
        <v/>
      </c>
      <c r="D488" s="50" t="str">
        <f>IFERROR(VLOOKUP(B488,[32]工程研发事业部人员名单!B:D,3,0),"")</f>
        <v/>
      </c>
      <c r="E488" s="98"/>
      <c r="F488" s="52">
        <f t="shared" si="17"/>
        <v>0</v>
      </c>
      <c r="G488" s="53"/>
      <c r="H488" s="53"/>
      <c r="I488" s="128"/>
      <c r="J488" s="102"/>
      <c r="K488" s="48"/>
      <c r="L488" s="73"/>
      <c r="M488" s="81"/>
    </row>
    <row r="489" customHeight="1" spans="1:13">
      <c r="A489" s="47">
        <f t="shared" si="16"/>
        <v>488</v>
      </c>
      <c r="B489" s="92"/>
      <c r="C489" s="49" t="str">
        <f>IFERROR(VLOOKUP(B489,[32]工程研发事业部人员名单!B:D,2,0),"")</f>
        <v/>
      </c>
      <c r="D489" s="50" t="str">
        <f>IFERROR(VLOOKUP(B489,[32]工程研发事业部人员名单!B:D,3,0),"")</f>
        <v/>
      </c>
      <c r="E489" s="98"/>
      <c r="F489" s="52">
        <f t="shared" si="17"/>
        <v>0</v>
      </c>
      <c r="G489" s="53"/>
      <c r="H489" s="53"/>
      <c r="I489" s="128"/>
      <c r="J489" s="102"/>
      <c r="K489" s="48"/>
      <c r="L489" s="73"/>
      <c r="M489" s="81"/>
    </row>
    <row r="490" customHeight="1" spans="1:13">
      <c r="A490" s="47">
        <f t="shared" si="16"/>
        <v>489</v>
      </c>
      <c r="B490" s="92"/>
      <c r="C490" s="49" t="str">
        <f>IFERROR(VLOOKUP(B490,[32]工程研发事业部人员名单!B:D,2,0),"")</f>
        <v/>
      </c>
      <c r="D490" s="50" t="str">
        <f>IFERROR(VLOOKUP(B490,[32]工程研发事业部人员名单!B:D,3,0),"")</f>
        <v/>
      </c>
      <c r="E490" s="98"/>
      <c r="F490" s="52">
        <f t="shared" si="17"/>
        <v>0</v>
      </c>
      <c r="G490" s="53"/>
      <c r="H490" s="53"/>
      <c r="I490" s="128"/>
      <c r="J490" s="102"/>
      <c r="K490" s="48"/>
      <c r="L490" s="73"/>
      <c r="M490" s="81"/>
    </row>
    <row r="491" customHeight="1" spans="1:13">
      <c r="A491" s="47">
        <f t="shared" si="16"/>
        <v>490</v>
      </c>
      <c r="B491" s="92"/>
      <c r="C491" s="49" t="str">
        <f>IFERROR(VLOOKUP(B491,[31]工程研发事业部人员名单!B:D,2,0),"")</f>
        <v/>
      </c>
      <c r="D491" s="50" t="str">
        <f>IFERROR(VLOOKUP(B491,[31]工程研发事业部人员名单!B:D,3,0),"")</f>
        <v/>
      </c>
      <c r="E491" s="98"/>
      <c r="F491" s="52">
        <f t="shared" si="17"/>
        <v>0</v>
      </c>
      <c r="G491" s="53"/>
      <c r="H491" s="53"/>
      <c r="I491" s="128"/>
      <c r="J491" s="102"/>
      <c r="K491" s="48"/>
      <c r="L491" s="73"/>
      <c r="M491" s="81"/>
    </row>
    <row r="492" customHeight="1" spans="1:13">
      <c r="A492" s="47">
        <f t="shared" si="16"/>
        <v>491</v>
      </c>
      <c r="B492" s="92"/>
      <c r="C492" s="49" t="str">
        <f>IFERROR(VLOOKUP(B492,[31]工程研发事业部人员名单!B:D,2,0),"")</f>
        <v/>
      </c>
      <c r="D492" s="50" t="str">
        <f>IFERROR(VLOOKUP(B492,[31]工程研发事业部人员名单!B:D,3,0),"")</f>
        <v/>
      </c>
      <c r="E492" s="98"/>
      <c r="F492" s="52">
        <f t="shared" si="17"/>
        <v>0</v>
      </c>
      <c r="G492" s="53"/>
      <c r="H492" s="53"/>
      <c r="I492" s="128"/>
      <c r="J492" s="102"/>
      <c r="K492" s="48"/>
      <c r="L492" s="73"/>
      <c r="M492" s="81"/>
    </row>
    <row r="493" customHeight="1" spans="1:13">
      <c r="A493" s="47">
        <f t="shared" si="16"/>
        <v>492</v>
      </c>
      <c r="B493" s="92"/>
      <c r="C493" s="49" t="str">
        <f>IFERROR(VLOOKUP(B493,[31]工程研发事业部人员名单!B:D,2,0),"")</f>
        <v/>
      </c>
      <c r="D493" s="50" t="str">
        <f>IFERROR(VLOOKUP(B493,[31]工程研发事业部人员名单!B:D,3,0),"")</f>
        <v/>
      </c>
      <c r="E493" s="98"/>
      <c r="F493" s="52">
        <f t="shared" si="17"/>
        <v>0</v>
      </c>
      <c r="G493" s="53"/>
      <c r="H493" s="53"/>
      <c r="I493" s="128"/>
      <c r="J493" s="102"/>
      <c r="K493" s="48"/>
      <c r="L493" s="73"/>
      <c r="M493" s="81"/>
    </row>
    <row r="494" customHeight="1" spans="1:13">
      <c r="A494" s="47">
        <f t="shared" si="16"/>
        <v>493</v>
      </c>
      <c r="B494" s="92"/>
      <c r="C494" s="49" t="str">
        <f>IFERROR(VLOOKUP(B494,[31]工程研发事业部人员名单!B:D,2,0),"")</f>
        <v/>
      </c>
      <c r="D494" s="50" t="str">
        <f>IFERROR(VLOOKUP(B494,[31]工程研发事业部人员名单!B:D,3,0),"")</f>
        <v/>
      </c>
      <c r="E494" s="98"/>
      <c r="F494" s="52">
        <f t="shared" si="17"/>
        <v>0</v>
      </c>
      <c r="G494" s="53"/>
      <c r="H494" s="53"/>
      <c r="I494" s="128"/>
      <c r="J494" s="102"/>
      <c r="K494" s="48"/>
      <c r="L494" s="73"/>
      <c r="M494" s="81"/>
    </row>
    <row r="495" customHeight="1" spans="1:13">
      <c r="A495" s="47">
        <f t="shared" si="16"/>
        <v>494</v>
      </c>
      <c r="B495" s="92"/>
      <c r="C495" s="49" t="str">
        <f>IFERROR(VLOOKUP(B495,[31]工程研发事业部人员名单!B:D,2,0),"")</f>
        <v/>
      </c>
      <c r="D495" s="50" t="str">
        <f>IFERROR(VLOOKUP(B495,[31]工程研发事业部人员名单!B:D,3,0),"")</f>
        <v/>
      </c>
      <c r="E495" s="98"/>
      <c r="F495" s="52">
        <f t="shared" si="17"/>
        <v>0</v>
      </c>
      <c r="G495" s="53"/>
      <c r="H495" s="53"/>
      <c r="I495" s="128"/>
      <c r="J495" s="102"/>
      <c r="K495" s="48"/>
      <c r="L495" s="73"/>
      <c r="M495" s="81"/>
    </row>
    <row r="496" customHeight="1" spans="1:13">
      <c r="A496" s="47">
        <f t="shared" si="16"/>
        <v>495</v>
      </c>
      <c r="B496" s="92"/>
      <c r="C496" s="49" t="str">
        <f>IFERROR(VLOOKUP(B496,[31]工程研发事业部人员名单!B:D,2,0),"")</f>
        <v/>
      </c>
      <c r="D496" s="50" t="str">
        <f>IFERROR(VLOOKUP(B496,[31]工程研发事业部人员名单!B:D,3,0),"")</f>
        <v/>
      </c>
      <c r="E496" s="98"/>
      <c r="F496" s="52">
        <f t="shared" si="17"/>
        <v>0</v>
      </c>
      <c r="G496" s="53"/>
      <c r="H496" s="53"/>
      <c r="I496" s="128"/>
      <c r="J496" s="102"/>
      <c r="K496" s="48"/>
      <c r="L496" s="73"/>
      <c r="M496" s="81"/>
    </row>
    <row r="497" customHeight="1" spans="1:13">
      <c r="A497" s="47">
        <f t="shared" si="16"/>
        <v>496</v>
      </c>
      <c r="B497" s="92"/>
      <c r="C497" s="49" t="str">
        <f>IFERROR(VLOOKUP(B497,[31]工程研发事业部人员名单!B:D,2,0),"")</f>
        <v/>
      </c>
      <c r="D497" s="50" t="str">
        <f>IFERROR(VLOOKUP(B497,[31]工程研发事业部人员名单!B:D,3,0),"")</f>
        <v/>
      </c>
      <c r="E497" s="98"/>
      <c r="F497" s="52">
        <f t="shared" si="17"/>
        <v>0</v>
      </c>
      <c r="G497" s="53"/>
      <c r="H497" s="53"/>
      <c r="I497" s="128"/>
      <c r="J497" s="102"/>
      <c r="K497" s="48"/>
      <c r="L497" s="73"/>
      <c r="M497" s="81"/>
    </row>
    <row r="498" customHeight="1" spans="1:13">
      <c r="A498" s="47">
        <f t="shared" si="16"/>
        <v>497</v>
      </c>
      <c r="B498" s="92"/>
      <c r="C498" s="49" t="str">
        <f>IFERROR(VLOOKUP(B498,[31]工程研发事业部人员名单!B:D,2,0),"")</f>
        <v/>
      </c>
      <c r="D498" s="50" t="str">
        <f>IFERROR(VLOOKUP(B498,[31]工程研发事业部人员名单!B:D,3,0),"")</f>
        <v/>
      </c>
      <c r="E498" s="98"/>
      <c r="F498" s="52">
        <f t="shared" si="17"/>
        <v>0</v>
      </c>
      <c r="G498" s="53"/>
      <c r="H498" s="53"/>
      <c r="I498" s="128"/>
      <c r="J498" s="102"/>
      <c r="K498" s="48"/>
      <c r="L498" s="73"/>
      <c r="M498" s="81"/>
    </row>
  </sheetData>
  <sheetProtection formatCells="0" formatColumns="0" formatRows="0" insertRows="0" insertColumns="0" insertHyperlinks="0" deleteColumns="0" deleteRows="0" sort="0" autoFilter="0" pivotTables="0"/>
  <autoFilter ref="A1:O498">
    <extLst/>
  </autoFilter>
  <sortState ref="A2:L51">
    <sortCondition ref="D1"/>
  </sortState>
  <conditionalFormatting sqref="B208:B211">
    <cfRule type="duplicateValues" dxfId="0" priority="2"/>
    <cfRule type="duplicateValues" dxfId="1" priority="1"/>
  </conditionalFormatting>
  <dataValidations count="45">
    <dataValidation type="list" allowBlank="1" showInputMessage="1" showErrorMessage="1" sqref="E12 E13">
      <formula1>[48]项目简称!#REF!</formula1>
    </dataValidation>
    <dataValidation type="list" allowBlank="1" showInputMessage="1" showErrorMessage="1" sqref="K4 K5 K11 K13 K14 K15 K16 K17 K18 K19 K35 K71 K74 K132 K133 K134 K145 K146 K147 K148 K149 K150 K151 K152 K161 K162 K163 K164 K165 K166 K167 K168 K169 K170 K171 K172 K173 K174 K175 K176 K281 K284 K285 K338 K341 K342 K343 K347 K350 K353 K2:K3 K9:K10 K20:K23 K24:K25 K26:K34 K36:K41 K42:K63 K64:K68 K69:K70 K72:K73 K75:K78 K79:K82 K83:K89 K90:K93 K94:K97 K98:K120 K121:K131 K135:K144 K153:K160 K177:K186 K187:K194 K195:K204 K205:K210 K211:K217 K218:K254 K282:K283 K339:K340 K344:K346 K348:K349 K351:K352 K354:K355 K356:K357 K358:K360">
      <formula1>"结构,强度,五性,TPUB,系统,PMO,工程支持,材料及工艺,构型管理,标准,适航,其他"</formula1>
    </dataValidation>
    <dataValidation type="list" allowBlank="1" showInputMessage="1" showErrorMessage="1" sqref="E14 E63 E68 E69 E74 E42:E62 E64:E67 E70:E71 E72:E73">
      <formula1>[46]项目简称!#REF!</formula1>
    </dataValidation>
    <dataValidation type="list" allowBlank="1" showInputMessage="1" showErrorMessage="1" sqref="E179">
      <formula1>[61]项目简称!#REF!</formula1>
    </dataValidation>
    <dataValidation type="list" allowBlank="1" showInputMessage="1" showErrorMessage="1" sqref="K6 K12 K7:K8">
      <formula1>"结构,强度,五性,容差,TPUB,系统,PMO,工程支持,材料及工艺,构型管理,标准,适航,其他"</formula1>
    </dataValidation>
    <dataValidation type="list" allowBlank="1" showInputMessage="1" showErrorMessage="1" sqref="E19 E16:E18">
      <formula1>[50]项目简称!#REF!</formula1>
    </dataValidation>
    <dataValidation type="list" allowBlank="1" showInputMessage="1" showErrorMessage="1" sqref="E11">
      <formula1>[47]项目简称!#REF!</formula1>
    </dataValidation>
    <dataValidation type="list" allowBlank="1" showInputMessage="1" showErrorMessage="1" sqref="E15">
      <formula1>[49]项目简称!#REF!</formula1>
    </dataValidation>
    <dataValidation type="list" allowBlank="1" showInputMessage="1" showErrorMessage="1" sqref="E35 E36 E37 E38 E39 E40 E41 E26:E34">
      <formula1>[53]项目简称!#REF!</formula1>
    </dataValidation>
    <dataValidation type="list" allowBlank="1" showInputMessage="1" showErrorMessage="1" sqref="D74 D132 D2:D73 D75:D78 D79:D120 D121:D131 D133:D134 D135:D188 D189:D192 D193:D194 D195:D204 D205:D210 D211:D217 D218:D384 D385:D406 D407:D462 D463:D464 D465:D476 D477:D485 D486:D490 D491:D498">
      <formula1>" 总体室,结构一室,结构二室,强度室,系统室,工程项目室,综合技术室,联络工程室"</formula1>
    </dataValidation>
    <dataValidation type="list" allowBlank="1" showInputMessage="1" showErrorMessage="1" sqref="E222:E228">
      <formula1>[43]项目简称!#REF!</formula1>
    </dataValidation>
    <dataValidation type="list" allowBlank="1" showInputMessage="1" showErrorMessage="1" sqref="E165 E169 E176 E166:E168 E170:E171 E172:E175">
      <formula1>[57]项目简称!#REF!</formula1>
    </dataValidation>
    <dataValidation type="list" allowBlank="1" showInputMessage="1" showErrorMessage="1" sqref="E157 E158 E159 E160 E153:E156">
      <formula1>[58]项目简称!#REF!</formula1>
    </dataValidation>
    <dataValidation type="list" allowBlank="1" showInputMessage="1" showErrorMessage="1" sqref="E94 E95:E120">
      <formula1>[42]项目简称!#REF!</formula1>
    </dataValidation>
    <dataValidation type="list" allowBlank="1" showInputMessage="1" showErrorMessage="1" sqref="E163">
      <formula1>[38]项目简称!#REF!</formula1>
    </dataValidation>
    <dataValidation type="list" allowBlank="1" showInputMessage="1" showErrorMessage="1" sqref="E164">
      <formula1>[56]项目简称!#REF!</formula1>
    </dataValidation>
    <dataValidation type="list" allowBlank="1" showInputMessage="1" showErrorMessage="1" sqref="E177">
      <formula1>[59]项目简称!#REF!</formula1>
    </dataValidation>
    <dataValidation type="list" allowBlank="1" showInputMessage="1" showErrorMessage="1" sqref="E178">
      <formula1>[60]项目简称!#REF!</formula1>
    </dataValidation>
    <dataValidation type="list" allowBlank="1" showInputMessage="1" showErrorMessage="1" sqref="E183">
      <formula1>[63]项目简称!#REF!</formula1>
    </dataValidation>
    <dataValidation type="list" allowBlank="1" showInputMessage="1" showErrorMessage="1" sqref="E477:E485">
      <formula1>[33]项目简称!#REF!</formula1>
    </dataValidation>
    <dataValidation type="list" allowBlank="1" showInputMessage="1" showErrorMessage="1" sqref="E24:E25">
      <formula1>[52]项目简称!#REF!</formula1>
    </dataValidation>
    <dataValidation type="list" allowBlank="1" showInputMessage="1" showErrorMessage="1" sqref="E184">
      <formula1>[64]项目简称!#REF!</formula1>
    </dataValidation>
    <dataValidation type="list" allowBlank="1" showInputMessage="1" showErrorMessage="1" sqref="E229:E245">
      <formula1>[44]项目简称!#REF!</formula1>
    </dataValidation>
    <dataValidation type="list" allowBlank="1" showInputMessage="1" showErrorMessage="1" sqref="E281 E282 E283 E284 E285">
      <formula1>[67]项目简称!#REF!</formula1>
    </dataValidation>
    <dataValidation type="list" allowBlank="1" showInputMessage="1" showErrorMessage="1" sqref="E338 E341 E347 E353 E339:E340 E344:E346 E350:E352 E354:E355 E356:E357">
      <formula1>[71]项目简称!#REF!</formula1>
    </dataValidation>
    <dataValidation type="list" allowBlank="1" showInputMessage="1" showErrorMessage="1" sqref="E342 E343">
      <formula1>[69]项目简称!#REF!</formula1>
    </dataValidation>
    <dataValidation type="list" allowBlank="1" showInputMessage="1" showErrorMessage="1" sqref="E277:E280 E358:E384 E385:E406">
      <formula1>[66]项目简称!#REF!</formula1>
    </dataValidation>
    <dataValidation type="list" allowBlank="1" showInputMessage="1" showErrorMessage="1" sqref="E20:E23">
      <formula1>[51]项目简称!#REF!</formula1>
    </dataValidation>
    <dataValidation type="list" allowBlank="1" showInputMessage="1" showErrorMessage="1" sqref="E75:E78">
      <formula1>[54]项目简称!#REF!</formula1>
    </dataValidation>
    <dataValidation type="list" allowBlank="1" showInputMessage="1" showErrorMessage="1" sqref="E161:E162">
      <formula1>[40]项目简称!#REF!</formula1>
    </dataValidation>
    <dataValidation type="list" allowBlank="1" showInputMessage="1" showErrorMessage="1" sqref="E79:E81 E82:E88 E89:E93">
      <formula1>[55]项目简称!#REF!</formula1>
    </dataValidation>
    <dataValidation type="list" allowBlank="1" showInputMessage="1" showErrorMessage="1" sqref="E121:E144">
      <formula1>[41]项目简称!#REF!</formula1>
    </dataValidation>
    <dataValidation type="list" allowBlank="1" showInputMessage="1" showErrorMessage="1" sqref="E145:E146">
      <formula1>[36]项目简称!#REF!</formula1>
    </dataValidation>
    <dataValidation type="list" allowBlank="1" showInputMessage="1" showErrorMessage="1" sqref="E147:E150">
      <formula1>[35]项目简称!#REF!</formula1>
    </dataValidation>
    <dataValidation type="list" allowBlank="1" showInputMessage="1" showErrorMessage="1" sqref="E486:E490">
      <formula1>[32]项目简称!#REF!</formula1>
    </dataValidation>
    <dataValidation type="list" allowBlank="1" showInputMessage="1" showErrorMessage="1" sqref="E151:E152">
      <formula1>[39]项目简称!#REF!</formula1>
    </dataValidation>
    <dataValidation type="list" allowBlank="1" showInputMessage="1" showErrorMessage="1" sqref="E491:E498">
      <formula1>[31]项目简称!#REF!</formula1>
    </dataValidation>
    <dataValidation type="list" allowBlank="1" showInputMessage="1" showErrorMessage="1" sqref="E180:E182">
      <formula1>[62]项目简称!#REF!</formula1>
    </dataValidation>
    <dataValidation type="list" allowBlank="1" showInputMessage="1" showErrorMessage="1" sqref="E465:E476">
      <formula1>[34]项目简称!#REF!</formula1>
    </dataValidation>
    <dataValidation type="list" allowBlank="1" showInputMessage="1" showErrorMessage="1" sqref="E185:E186">
      <formula1>[65]项目简称!#REF!</formula1>
    </dataValidation>
    <dataValidation type="list" allowBlank="1" showInputMessage="1" showErrorMessage="1" sqref="E187:E193 E194:E204 E205:E210 E211:E217 E246:E276">
      <formula1>[45]项目简称!#REF!</formula1>
    </dataValidation>
    <dataValidation type="list" allowBlank="1" showInputMessage="1" showErrorMessage="1" sqref="E407:E462 E463:E464">
      <formula1>[37]项目简称!#REF!</formula1>
    </dataValidation>
    <dataValidation type="list" allowBlank="1" showInputMessage="1" showErrorMessage="1" sqref="E286:E337">
      <formula1>[68]项目简称!#REF!</formula1>
    </dataValidation>
    <dataValidation type="list" allowBlank="1" showInputMessage="1" showErrorMessage="1" sqref="E348:E349">
      <formula1>[70]项目简称!#REF!</formula1>
    </dataValidation>
    <dataValidation type="list" allowBlank="1" showInputMessage="1" showErrorMessage="1" sqref="K255:K280 K286:K337 K361:K384 K385:K406 K407:K462 K463:K464 K465:K476 K477:K485 K486:K490 K491:K498">
      <formula1>"CR929设计（2021年上飞院）,CR929设计（2021年复材中心）,C919设计（2020年上飞院）,C919设计（2021年上飞院）,C919设计（2020年复材中心）,ARJ21基本型设计（2020年上飞院）,ARJ21货运型设计（2021年上飞院）,ARJ21货运型设计（2022年上飞院）,ARJ上飞装备,6号（2021年）,301EWIS,SAC功能附件,星际荣耀,航天一院,增材课题,工程支持,临时工程支持,党建工作"</formula1>
    </dataValidation>
  </dataValidations>
  <pageMargins left="0.7" right="0.7" top="0.75" bottom="0.75" header="0.3" footer="0.3"/>
  <pageSetup paperSize="9" orientation="portrait" horizontalDpi="200" verticalDpi="300"/>
  <headerFooter/>
  <ignoredErrors>
    <ignoredError sqref="S19" evalError="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V464"/>
  <sheetViews>
    <sheetView topLeftCell="D1" workbookViewId="0">
      <pane ySplit="1" topLeftCell="A2" activePane="bottomLeft" state="frozen"/>
      <selection/>
      <selection pane="bottomLeft" activeCell="Q152" sqref="Q152:R152"/>
    </sheetView>
  </sheetViews>
  <sheetFormatPr defaultColWidth="9" defaultRowHeight="15" customHeight="1"/>
  <cols>
    <col min="1" max="1" width="8.125" style="36" customWidth="1"/>
    <col min="2" max="2" width="12.625" style="37" customWidth="1"/>
    <col min="3" max="3" width="13.625" style="38" customWidth="1"/>
    <col min="4" max="4" width="17" style="36" customWidth="1"/>
    <col min="5" max="5" width="28" style="39" customWidth="1"/>
    <col min="6" max="6" width="18.375" style="40" customWidth="1"/>
    <col min="7" max="7" width="15.5" style="41" hidden="1" customWidth="1"/>
    <col min="8" max="8" width="14.625" style="41" hidden="1" customWidth="1"/>
    <col min="9" max="10" width="10.75" style="41" hidden="1" customWidth="1"/>
    <col min="11" max="11" width="10.5" style="37" hidden="1" customWidth="1"/>
    <col min="12" max="12" width="14.125" style="37" hidden="1" customWidth="1"/>
    <col min="13" max="13" width="57.25" hidden="1" customWidth="1"/>
    <col min="14" max="14" width="9.375"/>
    <col min="17" max="17" width="7.375"/>
    <col min="18" max="18" width="35.25"/>
    <col min="19" max="19" width="9.375"/>
    <col min="20" max="20" width="18.625" customWidth="1"/>
    <col min="21" max="21" width="13.75" customWidth="1"/>
  </cols>
  <sheetData>
    <row r="1" customHeight="1" spans="1:22">
      <c r="A1" s="42" t="s">
        <v>196</v>
      </c>
      <c r="B1" s="43" t="s">
        <v>197</v>
      </c>
      <c r="C1" s="44" t="s">
        <v>198</v>
      </c>
      <c r="D1" s="45" t="s">
        <v>199</v>
      </c>
      <c r="E1" s="45" t="s">
        <v>200</v>
      </c>
      <c r="F1" s="46" t="s">
        <v>201</v>
      </c>
      <c r="G1" s="46" t="s">
        <v>202</v>
      </c>
      <c r="H1" s="46" t="s">
        <v>203</v>
      </c>
      <c r="I1" s="55" t="s">
        <v>204</v>
      </c>
      <c r="J1" s="55" t="s">
        <v>205</v>
      </c>
      <c r="K1" s="43" t="s">
        <v>206</v>
      </c>
      <c r="L1" s="43" t="s">
        <v>207</v>
      </c>
      <c r="M1" s="56" t="s">
        <v>208</v>
      </c>
      <c r="N1" t="s">
        <v>209</v>
      </c>
      <c r="O1" t="s">
        <v>210</v>
      </c>
      <c r="Q1" t="s">
        <v>197</v>
      </c>
      <c r="R1" t="s">
        <v>212</v>
      </c>
      <c r="S1" t="s">
        <v>209</v>
      </c>
      <c r="T1" s="35" t="s">
        <v>200</v>
      </c>
      <c r="U1" s="35" t="s">
        <v>198</v>
      </c>
      <c r="V1" s="35" t="s">
        <v>199</v>
      </c>
    </row>
    <row r="2" s="35" customFormat="1" customHeight="1" spans="1:22">
      <c r="A2" s="47">
        <f t="shared" ref="A2:A65" si="0">ROW()-1</f>
        <v>1</v>
      </c>
      <c r="B2" s="48" t="s">
        <v>308</v>
      </c>
      <c r="C2" s="49">
        <f>IFERROR(VLOOKUP(B2,[1]工程研发事业部人员名单!B:D,2,0),"")</f>
        <v>50022</v>
      </c>
      <c r="D2" s="50" t="str">
        <f>IFERROR(VLOOKUP(B2,[1]工程研发事业部人员名单!B:D,3,0),"")</f>
        <v>结构二室</v>
      </c>
      <c r="E2" s="51" t="s">
        <v>174</v>
      </c>
      <c r="F2" s="52">
        <f t="shared" ref="F2:F65" si="1">G2+H2+I2+J2</f>
        <v>180</v>
      </c>
      <c r="G2" s="53"/>
      <c r="H2" s="53"/>
      <c r="I2" s="53">
        <v>180</v>
      </c>
      <c r="J2" s="53"/>
      <c r="K2" s="57" t="s">
        <v>255</v>
      </c>
      <c r="L2" s="57" t="s">
        <v>666</v>
      </c>
      <c r="M2" s="58"/>
      <c r="N2" s="58" t="e">
        <f>VLOOKUP(E2,订单号!B:C,2,0)</f>
        <v>#N/A</v>
      </c>
      <c r="O2" s="35" t="e">
        <f>VLOOKUP(C2,领导干部!B:B,1,0)</f>
        <v>#N/A</v>
      </c>
      <c r="Q2" t="s">
        <v>217</v>
      </c>
      <c r="R2">
        <v>200</v>
      </c>
      <c r="S2" t="e">
        <f t="array" ref="S2">VLOOKUP(Q2&amp;R2,IF({1,0},$B$2:$B$464&amp;$F$2:$F$464,$N$2:$N$464),2,)</f>
        <v>#N/A</v>
      </c>
      <c r="T2" s="35" t="str">
        <f t="array" ref="T2">VLOOKUP(Q2&amp;R2,IF({1,0},$B$2:$B$464&amp;$F$2:$F$464,$E$2:$E$464),2,)</f>
        <v>CR929设计（2022年复材中心）</v>
      </c>
      <c r="U2" s="35">
        <f t="array" ref="U2">VLOOKUP(Q2&amp;R2,IF({1,0},$B$2:$B$464&amp;$F$2:$F$464,$C$2:$C$464),2,)</f>
        <v>51944</v>
      </c>
      <c r="V2" s="35" t="str">
        <f t="array" ref="V2">VLOOKUP(Q2&amp;R2,IF({1,0},$B$2:$B$464&amp;$F$2:$F$464,$D$2:$D$464),2,)</f>
        <v>强度室</v>
      </c>
    </row>
    <row r="3" s="35" customFormat="1" customHeight="1" spans="1:22">
      <c r="A3" s="47">
        <f t="shared" si="0"/>
        <v>2</v>
      </c>
      <c r="B3" s="48" t="s">
        <v>219</v>
      </c>
      <c r="C3" s="49">
        <f>IFERROR(VLOOKUP(B3,[1]工程研发事业部人员名单!B:D,2,0),"")</f>
        <v>25600</v>
      </c>
      <c r="D3" s="50" t="str">
        <f>IFERROR(VLOOKUP(B3,[1]工程研发事业部人员名单!B:D,3,0),"")</f>
        <v>结构二室</v>
      </c>
      <c r="E3" s="51" t="s">
        <v>174</v>
      </c>
      <c r="F3" s="52">
        <f t="shared" si="1"/>
        <v>160</v>
      </c>
      <c r="G3" s="53"/>
      <c r="H3" s="53"/>
      <c r="I3" s="53">
        <v>160</v>
      </c>
      <c r="J3" s="53"/>
      <c r="K3" s="57" t="s">
        <v>255</v>
      </c>
      <c r="L3" s="57" t="s">
        <v>666</v>
      </c>
      <c r="M3" s="59"/>
      <c r="N3" s="58" t="e">
        <f>VLOOKUP(E3,订单号!B:C,2,0)</f>
        <v>#N/A</v>
      </c>
      <c r="O3" s="35" t="e">
        <f>VLOOKUP(C3,领导干部!B:B,1,0)</f>
        <v>#N/A</v>
      </c>
      <c r="Q3" t="s">
        <v>219</v>
      </c>
      <c r="R3">
        <v>160</v>
      </c>
      <c r="S3" t="e">
        <f t="array" ref="S3">VLOOKUP(Q3&amp;R3,IF({1,0},$B$2:$B$464&amp;$F$2:$F$464,$N$2:$N$464),2,)</f>
        <v>#N/A</v>
      </c>
      <c r="T3" s="35" t="str">
        <f t="array" ref="T3">VLOOKUP(Q3&amp;R3,IF({1,0},$B$2:$B$464&amp;$F$2:$F$464,$E$2:$E$464),2,)</f>
        <v>CR929设计（2022年复材中心）</v>
      </c>
      <c r="U3" s="35">
        <f t="array" ref="U3">VLOOKUP(Q3&amp;R3,IF({1,0},$B$2:$B$464&amp;$F$2:$F$464,$C$2:$C$464),2,)</f>
        <v>25600</v>
      </c>
      <c r="V3" s="35" t="str">
        <f t="array" ref="V3">VLOOKUP(Q3&amp;R3,IF({1,0},$B$2:$B$464&amp;$F$2:$F$464,$D$2:$D$464),2,)</f>
        <v>结构二室</v>
      </c>
    </row>
    <row r="4" s="35" customFormat="1" customHeight="1" spans="1:22">
      <c r="A4" s="47">
        <f t="shared" si="0"/>
        <v>3</v>
      </c>
      <c r="B4" s="48" t="s">
        <v>275</v>
      </c>
      <c r="C4" s="49">
        <f>IFERROR(VLOOKUP(B4,[1]工程研发事业部人员名单!B:D,2,0),"")</f>
        <v>26766</v>
      </c>
      <c r="D4" s="50" t="str">
        <f>IFERROR(VLOOKUP(B4,[1]工程研发事业部人员名单!B:D,3,0),"")</f>
        <v>强度室</v>
      </c>
      <c r="E4" s="51" t="s">
        <v>174</v>
      </c>
      <c r="F4" s="52">
        <f t="shared" si="1"/>
        <v>300</v>
      </c>
      <c r="G4" s="53"/>
      <c r="H4" s="53"/>
      <c r="I4" s="53">
        <v>300</v>
      </c>
      <c r="J4" s="53"/>
      <c r="K4" s="57" t="s">
        <v>277</v>
      </c>
      <c r="L4" s="57" t="s">
        <v>666</v>
      </c>
      <c r="M4" s="59"/>
      <c r="N4" s="58" t="e">
        <f>VLOOKUP(E4,订单号!B:C,2,0)</f>
        <v>#N/A</v>
      </c>
      <c r="O4" s="35" t="e">
        <f>VLOOKUP(C4,领导干部!B:B,1,0)</f>
        <v>#N/A</v>
      </c>
      <c r="Q4" t="s">
        <v>222</v>
      </c>
      <c r="R4">
        <v>227.25</v>
      </c>
      <c r="S4">
        <f t="array" ref="S4">VLOOKUP(Q4&amp;R4,IF({1,0},$B$2:$B$464&amp;$F$2:$F$464,$N$2:$N$464),2,)</f>
        <v>10502</v>
      </c>
      <c r="T4" s="35" t="str">
        <f t="array" ref="T4">VLOOKUP(Q4&amp;R4,IF({1,0},$B$2:$B$464&amp;$F$2:$F$464,$E$2:$E$464),2,)</f>
        <v>工程支持</v>
      </c>
      <c r="U4" s="35">
        <f t="array" ref="U4">VLOOKUP(Q4&amp;R4,IF({1,0},$B$2:$B$464&amp;$F$2:$F$464,$C$2:$C$464),2,)</f>
        <v>51576</v>
      </c>
      <c r="V4" s="35" t="str">
        <f t="array" ref="V4">VLOOKUP(Q4&amp;R4,IF({1,0},$B$2:$B$464&amp;$F$2:$F$464,$D$2:$D$464),2,)</f>
        <v>联络工程室</v>
      </c>
    </row>
    <row r="5" s="35" customFormat="1" customHeight="1" spans="1:22">
      <c r="A5" s="47">
        <f t="shared" si="0"/>
        <v>4</v>
      </c>
      <c r="B5" s="48" t="s">
        <v>389</v>
      </c>
      <c r="C5" s="49">
        <f>IFERROR(VLOOKUP(B5,[1]工程研发事业部人员名单!B:D,2,0),"")</f>
        <v>22291</v>
      </c>
      <c r="D5" s="50" t="str">
        <f>IFERROR(VLOOKUP(B5,[1]工程研发事业部人员名单!B:D,3,0),"")</f>
        <v>综合技术室</v>
      </c>
      <c r="E5" s="51" t="s">
        <v>174</v>
      </c>
      <c r="F5" s="52">
        <f t="shared" si="1"/>
        <v>30</v>
      </c>
      <c r="G5" s="53"/>
      <c r="H5" s="53">
        <v>30</v>
      </c>
      <c r="I5" s="53"/>
      <c r="J5" s="53"/>
      <c r="K5" s="57" t="s">
        <v>277</v>
      </c>
      <c r="L5" s="57" t="s">
        <v>666</v>
      </c>
      <c r="M5" s="59"/>
      <c r="N5" s="58" t="e">
        <f>VLOOKUP(E5,订单号!B:C,2,0)</f>
        <v>#N/A</v>
      </c>
      <c r="O5" s="35" t="e">
        <f>VLOOKUP(C5,领导干部!B:B,1,0)</f>
        <v>#N/A</v>
      </c>
      <c r="Q5" t="s">
        <v>225</v>
      </c>
      <c r="R5">
        <v>252</v>
      </c>
      <c r="S5" t="e">
        <f t="array" ref="S5">VLOOKUP(Q5&amp;R5,IF({1,0},$B$2:$B$464&amp;$F$2:$F$464,$N$2:$N$464),2,)</f>
        <v>#N/A</v>
      </c>
      <c r="T5" s="35" t="str">
        <f t="array" ref="T5">VLOOKUP(Q5&amp;R5,IF({1,0},$B$2:$B$464&amp;$F$2:$F$464,$E$2:$E$464),2,)</f>
        <v>1号设计（2022年KTB）</v>
      </c>
      <c r="U5" s="35">
        <f t="array" ref="U5">VLOOKUP(Q5&amp;R5,IF({1,0},$B$2:$B$464&amp;$F$2:$F$464,$C$2:$C$464),2,)</f>
        <v>52180</v>
      </c>
      <c r="V5" s="35" t="str">
        <f t="array" ref="V5">VLOOKUP(Q5&amp;R5,IF({1,0},$B$2:$B$464&amp;$F$2:$F$464,$D$2:$D$464),2,)</f>
        <v>结构一室</v>
      </c>
    </row>
    <row r="6" s="35" customFormat="1" customHeight="1" spans="1:22">
      <c r="A6" s="47">
        <f t="shared" si="0"/>
        <v>5</v>
      </c>
      <c r="B6" s="48" t="s">
        <v>395</v>
      </c>
      <c r="C6" s="49">
        <f>IFERROR(VLOOKUP(B6,[1]工程研发事业部人员名单!B:D,2,0),"")</f>
        <v>50278</v>
      </c>
      <c r="D6" s="50" t="str">
        <f>IFERROR(VLOOKUP(B6,[1]工程研发事业部人员名单!B:D,3,0),"")</f>
        <v>结构二室</v>
      </c>
      <c r="E6" s="51" t="s">
        <v>174</v>
      </c>
      <c r="F6" s="52">
        <f t="shared" si="1"/>
        <v>208</v>
      </c>
      <c r="G6" s="53"/>
      <c r="H6" s="53"/>
      <c r="I6" s="53"/>
      <c r="J6" s="53">
        <v>208</v>
      </c>
      <c r="K6" s="57" t="s">
        <v>255</v>
      </c>
      <c r="L6" s="57" t="s">
        <v>667</v>
      </c>
      <c r="M6" s="59"/>
      <c r="N6" s="58" t="e">
        <f>VLOOKUP(E6,订单号!B:C,2,0)</f>
        <v>#N/A</v>
      </c>
      <c r="O6" s="35" t="e">
        <f>VLOOKUP(C6,领导干部!B:B,1,0)</f>
        <v>#N/A</v>
      </c>
      <c r="Q6" t="s">
        <v>228</v>
      </c>
      <c r="R6">
        <v>220</v>
      </c>
      <c r="S6" t="e">
        <f t="array" ref="S6">VLOOKUP(Q6&amp;R6,IF({1,0},$B$2:$B$464&amp;$F$2:$F$464,$N$2:$N$464),2,)</f>
        <v>#N/A</v>
      </c>
      <c r="T6" s="35" t="str">
        <f t="array" ref="T6">VLOOKUP(Q6&amp;R6,IF({1,0},$B$2:$B$464&amp;$F$2:$F$464,$E$2:$E$464),2,)</f>
        <v>CR929设计（2022年上飞院）</v>
      </c>
      <c r="U6" s="35">
        <f t="array" ref="U6">VLOOKUP(Q6&amp;R6,IF({1,0},$B$2:$B$464&amp;$F$2:$F$464,$C$2:$C$464),2,)</f>
        <v>51181</v>
      </c>
      <c r="V6" s="35" t="str">
        <f t="array" ref="V6">VLOOKUP(Q6&amp;R6,IF({1,0},$B$2:$B$464&amp;$F$2:$F$464,$D$2:$D$464),2,)</f>
        <v>强度室</v>
      </c>
    </row>
    <row r="7" s="35" customFormat="1" customHeight="1" spans="1:22">
      <c r="A7" s="47">
        <f t="shared" si="0"/>
        <v>6</v>
      </c>
      <c r="B7" s="48" t="s">
        <v>375</v>
      </c>
      <c r="C7" s="49">
        <f>IFERROR(VLOOKUP(B7,[1]工程研发事业部人员名单!B:D,2,0),"")</f>
        <v>22298</v>
      </c>
      <c r="D7" s="50" t="str">
        <f>IFERROR(VLOOKUP(B7,[1]工程研发事业部人员名单!B:D,3,0),"")</f>
        <v>结构二室</v>
      </c>
      <c r="E7" s="51" t="s">
        <v>174</v>
      </c>
      <c r="F7" s="52">
        <f t="shared" si="1"/>
        <v>164</v>
      </c>
      <c r="G7" s="53"/>
      <c r="H7" s="53"/>
      <c r="I7" s="53">
        <v>164</v>
      </c>
      <c r="J7" s="53"/>
      <c r="K7" s="57" t="s">
        <v>255</v>
      </c>
      <c r="L7" s="57" t="s">
        <v>667</v>
      </c>
      <c r="M7" s="59"/>
      <c r="N7" s="58" t="e">
        <f>VLOOKUP(E7,订单号!B:C,2,0)</f>
        <v>#N/A</v>
      </c>
      <c r="O7" s="35" t="e">
        <f>VLOOKUP(C7,领导干部!B:B,1,0)</f>
        <v>#N/A</v>
      </c>
      <c r="Q7" t="s">
        <v>514</v>
      </c>
      <c r="R7">
        <v>145.5</v>
      </c>
      <c r="S7">
        <f t="array" ref="S7">VLOOKUP(Q7&amp;R7,IF({1,0},$B$2:$B$464&amp;$F$2:$F$464,$N$2:$N$464),2,)</f>
        <v>10502</v>
      </c>
      <c r="T7" s="35" t="str">
        <f t="array" ref="T7">VLOOKUP(Q7&amp;R7,IF({1,0},$B$2:$B$464&amp;$F$2:$F$464,$E$2:$E$464),2,)</f>
        <v>工程支持</v>
      </c>
      <c r="U7" s="35">
        <f t="array" ref="U7">VLOOKUP(Q7&amp;R7,IF({1,0},$B$2:$B$464&amp;$F$2:$F$464,$C$2:$C$464),2,)</f>
        <v>17787</v>
      </c>
      <c r="V7" s="35" t="str">
        <f t="array" ref="V7">VLOOKUP(Q7&amp;R7,IF({1,0},$B$2:$B$464&amp;$F$2:$F$464,$D$2:$D$464),2,)</f>
        <v>综合技术室</v>
      </c>
    </row>
    <row r="8" s="35" customFormat="1" customHeight="1" spans="1:22">
      <c r="A8" s="47">
        <f t="shared" si="0"/>
        <v>7</v>
      </c>
      <c r="B8" s="48" t="s">
        <v>254</v>
      </c>
      <c r="C8" s="49">
        <f>IFERROR(VLOOKUP(B8,[1]工程研发事业部人员名单!B:D,2,0),"")</f>
        <v>52232</v>
      </c>
      <c r="D8" s="50" t="str">
        <f>IFERROR(VLOOKUP(B8,[1]工程研发事业部人员名单!B:D,3,0),"")</f>
        <v>结构二室</v>
      </c>
      <c r="E8" s="51" t="s">
        <v>174</v>
      </c>
      <c r="F8" s="52">
        <f t="shared" si="1"/>
        <v>152</v>
      </c>
      <c r="G8" s="53"/>
      <c r="H8" s="53"/>
      <c r="I8" s="53">
        <v>152</v>
      </c>
      <c r="J8" s="53"/>
      <c r="K8" s="57" t="s">
        <v>255</v>
      </c>
      <c r="L8" s="57" t="s">
        <v>667</v>
      </c>
      <c r="M8" s="59"/>
      <c r="N8" s="58" t="e">
        <f>VLOOKUP(E8,订单号!B:C,2,0)</f>
        <v>#N/A</v>
      </c>
      <c r="O8" s="35" t="e">
        <f>VLOOKUP(C8,领导干部!B:B,1,0)</f>
        <v>#N/A</v>
      </c>
      <c r="Q8" t="s">
        <v>230</v>
      </c>
      <c r="R8">
        <v>130</v>
      </c>
      <c r="S8" t="str">
        <f t="array" ref="S8">VLOOKUP(Q8&amp;R8,IF({1,0},$B$2:$B$464&amp;$F$2:$F$464,$N$2:$N$464),2,)</f>
        <v>YZ40000680</v>
      </c>
      <c r="T8" s="35" t="str">
        <f t="array" ref="T8">VLOOKUP(Q8&amp;R8,IF({1,0},$B$2:$B$464&amp;$F$2:$F$464,$E$2:$E$464),2,)</f>
        <v>C919设计（2022年上飞院）</v>
      </c>
      <c r="U8" s="35">
        <f t="array" ref="U8">VLOOKUP(Q8&amp;R8,IF({1,0},$B$2:$B$464&amp;$F$2:$F$464,$C$2:$C$464),2,)</f>
        <v>50030</v>
      </c>
      <c r="V8" s="35" t="str">
        <f t="array" ref="V8">VLOOKUP(Q8&amp;R8,IF({1,0},$B$2:$B$464&amp;$F$2:$F$464,$D$2:$D$464),2,)</f>
        <v>总体室</v>
      </c>
    </row>
    <row r="9" s="35" customFormat="1" customHeight="1" spans="1:22">
      <c r="A9" s="47">
        <f t="shared" si="0"/>
        <v>8</v>
      </c>
      <c r="B9" s="48" t="s">
        <v>319</v>
      </c>
      <c r="C9" s="49">
        <f>IFERROR(VLOOKUP(B9,[1]工程研发事业部人员名单!B:D,2,0),"")</f>
        <v>51642</v>
      </c>
      <c r="D9" s="50" t="str">
        <f>IFERROR(VLOOKUP(B9,[1]工程研发事业部人员名单!B:D,3,0),"")</f>
        <v>结构二室</v>
      </c>
      <c r="E9" s="51" t="s">
        <v>174</v>
      </c>
      <c r="F9" s="52">
        <f t="shared" si="1"/>
        <v>192</v>
      </c>
      <c r="G9" s="53"/>
      <c r="H9" s="53"/>
      <c r="I9" s="53">
        <v>192</v>
      </c>
      <c r="J9" s="53"/>
      <c r="K9" s="57" t="s">
        <v>255</v>
      </c>
      <c r="L9" s="57" t="s">
        <v>667</v>
      </c>
      <c r="M9" s="59"/>
      <c r="N9" s="58" t="e">
        <f>VLOOKUP(E9,订单号!B:C,2,0)</f>
        <v>#N/A</v>
      </c>
      <c r="O9" s="35" t="e">
        <f>VLOOKUP(C9,领导干部!B:B,1,0)</f>
        <v>#N/A</v>
      </c>
      <c r="Q9" t="s">
        <v>232</v>
      </c>
      <c r="R9">
        <v>293.6</v>
      </c>
      <c r="S9">
        <f t="array" ref="S9">VLOOKUP(Q9&amp;R9,IF({1,0},$B$2:$B$464&amp;$F$2:$F$464,$N$2:$N$464),2,)</f>
        <v>10502</v>
      </c>
      <c r="T9" s="35" t="str">
        <f t="array" ref="T9">VLOOKUP(Q9&amp;R9,IF({1,0},$B$2:$B$464&amp;$F$2:$F$464,$E$2:$E$464),2,)</f>
        <v>工程支持</v>
      </c>
      <c r="U9" s="35">
        <f t="array" ref="U9">VLOOKUP(Q9&amp;R9,IF({1,0},$B$2:$B$464&amp;$F$2:$F$464,$C$2:$C$464),2,)</f>
        <v>22253</v>
      </c>
      <c r="V9" s="35" t="str">
        <f t="array" ref="V9">VLOOKUP(Q9&amp;R9,IF({1,0},$B$2:$B$464&amp;$F$2:$F$464,$D$2:$D$464),2,)</f>
        <v>联络工程室</v>
      </c>
    </row>
    <row r="10" s="35" customFormat="1" customHeight="1" spans="1:22">
      <c r="A10" s="47">
        <f t="shared" si="0"/>
        <v>9</v>
      </c>
      <c r="B10" s="48" t="s">
        <v>314</v>
      </c>
      <c r="C10" s="49">
        <f>IFERROR(VLOOKUP(B10,[1]工程研发事业部人员名单!B:D,2,0),"")</f>
        <v>51407</v>
      </c>
      <c r="D10" s="50" t="str">
        <f>IFERROR(VLOOKUP(B10,[1]工程研发事业部人员名单!B:D,3,0),"")</f>
        <v>结构二室</v>
      </c>
      <c r="E10" s="51" t="s">
        <v>174</v>
      </c>
      <c r="F10" s="52">
        <f t="shared" si="1"/>
        <v>166</v>
      </c>
      <c r="G10" s="53"/>
      <c r="H10" s="53"/>
      <c r="I10" s="53">
        <v>166</v>
      </c>
      <c r="J10" s="53"/>
      <c r="K10" s="57" t="s">
        <v>255</v>
      </c>
      <c r="L10" s="57" t="s">
        <v>667</v>
      </c>
      <c r="M10" s="59"/>
      <c r="N10" s="58" t="e">
        <f>VLOOKUP(E10,订单号!B:C,2,0)</f>
        <v>#N/A</v>
      </c>
      <c r="O10" s="35" t="e">
        <f>VLOOKUP(C10,领导干部!B:B,1,0)</f>
        <v>#N/A</v>
      </c>
      <c r="Q10" t="s">
        <v>234</v>
      </c>
      <c r="R10">
        <v>340</v>
      </c>
      <c r="S10" t="e">
        <f t="array" ref="S10">VLOOKUP(Q10&amp;R10,IF({1,0},$B$2:$B$464&amp;$F$2:$F$464,$N$2:$N$464),2,)</f>
        <v>#N/A</v>
      </c>
      <c r="T10" s="35" t="str">
        <f t="array" ref="T10">VLOOKUP(Q10&amp;R10,IF({1,0},$B$2:$B$464&amp;$F$2:$F$464,$E$2:$E$464),2,)</f>
        <v>CR929设计（2022年上飞院）</v>
      </c>
      <c r="U10" s="35">
        <f t="array" ref="U10">VLOOKUP(Q10&amp;R10,IF({1,0},$B$2:$B$464&amp;$F$2:$F$464,$C$2:$C$464),2,)</f>
        <v>50281</v>
      </c>
      <c r="V10" s="35" t="str">
        <f t="array" ref="V10">VLOOKUP(Q10&amp;R10,IF({1,0},$B$2:$B$464&amp;$F$2:$F$464,$D$2:$D$464),2,)</f>
        <v>结构一室</v>
      </c>
    </row>
    <row r="11" s="35" customFormat="1" customHeight="1" spans="1:22">
      <c r="A11" s="47">
        <f t="shared" si="0"/>
        <v>10</v>
      </c>
      <c r="B11" s="54" t="s">
        <v>217</v>
      </c>
      <c r="C11" s="49">
        <f>IFERROR(VLOOKUP(B11,[1]工程研发事业部人员名单!B:D,2,0),"")</f>
        <v>51944</v>
      </c>
      <c r="D11" s="50" t="str">
        <f>IFERROR(VLOOKUP(B11,[1]工程研发事业部人员名单!B:D,3,0),"")</f>
        <v>强度室</v>
      </c>
      <c r="E11" s="51" t="s">
        <v>174</v>
      </c>
      <c r="F11" s="52">
        <f t="shared" si="1"/>
        <v>200</v>
      </c>
      <c r="G11" s="53"/>
      <c r="H11" s="53"/>
      <c r="I11" s="60">
        <v>200</v>
      </c>
      <c r="J11" s="60"/>
      <c r="K11" s="57" t="s">
        <v>277</v>
      </c>
      <c r="L11" s="57" t="s">
        <v>667</v>
      </c>
      <c r="M11" s="61"/>
      <c r="N11" s="58" t="e">
        <f>VLOOKUP(E11,订单号!B:C,2,0)</f>
        <v>#N/A</v>
      </c>
      <c r="O11" s="35" t="e">
        <f>VLOOKUP(C11,领导干部!B:B,1,0)</f>
        <v>#N/A</v>
      </c>
      <c r="Q11" t="s">
        <v>236</v>
      </c>
      <c r="R11">
        <v>220</v>
      </c>
      <c r="S11" t="e">
        <f t="array" ref="S11">VLOOKUP(Q11&amp;R11,IF({1,0},$B$2:$B$464&amp;$F$2:$F$464,$N$2:$N$464),2,)</f>
        <v>#N/A</v>
      </c>
      <c r="T11" s="35" t="str">
        <f t="array" ref="T11">VLOOKUP(Q11&amp;R11,IF({1,0},$B$2:$B$464&amp;$F$2:$F$464,$E$2:$E$464),2,)</f>
        <v>CR929设计（2022年复材中心）</v>
      </c>
      <c r="U11" s="35">
        <f t="array" ref="U11">VLOOKUP(Q11&amp;R11,IF({1,0},$B$2:$B$464&amp;$F$2:$F$464,$C$2:$C$464),2,)</f>
        <v>51211</v>
      </c>
      <c r="V11" s="35" t="str">
        <f t="array" ref="V11">VLOOKUP(Q11&amp;R11,IF({1,0},$B$2:$B$464&amp;$F$2:$F$464,$D$2:$D$464),2,)</f>
        <v>结构一室</v>
      </c>
    </row>
    <row r="12" s="35" customFormat="1" customHeight="1" spans="1:22">
      <c r="A12" s="47">
        <f t="shared" si="0"/>
        <v>11</v>
      </c>
      <c r="B12" s="54" t="s">
        <v>486</v>
      </c>
      <c r="C12" s="49">
        <f>IFERROR(VLOOKUP(B12,[1]工程研发事业部人员名单!B:D,2,0),"")</f>
        <v>28161</v>
      </c>
      <c r="D12" s="50" t="str">
        <f>IFERROR(VLOOKUP(B12,[1]工程研发事业部人员名单!B:D,3,0),"")</f>
        <v>强度室</v>
      </c>
      <c r="E12" s="51" t="s">
        <v>174</v>
      </c>
      <c r="F12" s="52">
        <f t="shared" si="1"/>
        <v>140</v>
      </c>
      <c r="G12" s="53"/>
      <c r="H12" s="53"/>
      <c r="I12" s="60">
        <v>140</v>
      </c>
      <c r="J12" s="60"/>
      <c r="K12" s="57" t="s">
        <v>277</v>
      </c>
      <c r="L12" s="57" t="s">
        <v>667</v>
      </c>
      <c r="M12" s="61"/>
      <c r="N12" s="58" t="e">
        <f>VLOOKUP(E12,订单号!B:C,2,0)</f>
        <v>#N/A</v>
      </c>
      <c r="O12" s="35" t="e">
        <f>VLOOKUP(C12,领导干部!B:B,1,0)</f>
        <v>#N/A</v>
      </c>
      <c r="Q12" t="s">
        <v>240</v>
      </c>
      <c r="R12">
        <v>220</v>
      </c>
      <c r="S12" t="str">
        <f t="array" ref="S12">VLOOKUP(Q12&amp;R12,IF({1,0},$B$2:$B$464&amp;$F$2:$F$464,$N$2:$N$464),2,)</f>
        <v>YZ40000680</v>
      </c>
      <c r="T12" s="35" t="str">
        <f t="array" ref="T12">VLOOKUP(Q12&amp;R12,IF({1,0},$B$2:$B$464&amp;$F$2:$F$464,$E$2:$E$464),2,)</f>
        <v>C919设计（2022年上飞院）</v>
      </c>
      <c r="U12" s="35">
        <f t="array" ref="U12">VLOOKUP(Q12&amp;R12,IF({1,0},$B$2:$B$464&amp;$F$2:$F$464,$C$2:$C$464),2,)</f>
        <v>51170</v>
      </c>
      <c r="V12" s="35" t="str">
        <f t="array" ref="V12">VLOOKUP(Q12&amp;R12,IF({1,0},$B$2:$B$464&amp;$F$2:$F$464,$D$2:$D$464),2,)</f>
        <v>结构二室</v>
      </c>
    </row>
    <row r="13" s="35" customFormat="1" customHeight="1" spans="1:22">
      <c r="A13" s="47">
        <f t="shared" si="0"/>
        <v>12</v>
      </c>
      <c r="B13" s="54" t="s">
        <v>244</v>
      </c>
      <c r="C13" s="49">
        <f>IFERROR(VLOOKUP(B13,[1]工程研发事业部人员名单!B:D,2,0),"")</f>
        <v>51555</v>
      </c>
      <c r="D13" s="50" t="str">
        <f>IFERROR(VLOOKUP(B13,[1]工程研发事业部人员名单!B:D,3,0),"")</f>
        <v>联络工程室</v>
      </c>
      <c r="E13" s="51" t="s">
        <v>174</v>
      </c>
      <c r="F13" s="52">
        <f t="shared" si="1"/>
        <v>65.5</v>
      </c>
      <c r="G13" s="53">
        <v>65.5</v>
      </c>
      <c r="H13" s="53"/>
      <c r="I13" s="60"/>
      <c r="J13" s="60"/>
      <c r="K13" s="57" t="s">
        <v>277</v>
      </c>
      <c r="L13" s="57" t="s">
        <v>667</v>
      </c>
      <c r="M13" s="61"/>
      <c r="N13" s="58" t="e">
        <f>VLOOKUP(E13,订单号!B:C,2,0)</f>
        <v>#N/A</v>
      </c>
      <c r="O13" s="35" t="e">
        <f>VLOOKUP(C13,领导干部!B:B,1,0)</f>
        <v>#N/A</v>
      </c>
      <c r="Q13" t="s">
        <v>242</v>
      </c>
      <c r="R13">
        <v>384.69</v>
      </c>
      <c r="S13">
        <f t="array" ref="S13">VLOOKUP(Q13&amp;R13,IF({1,0},$B$2:$B$464&amp;$F$2:$F$464,$N$2:$N$464),2,)</f>
        <v>10502</v>
      </c>
      <c r="T13" s="35" t="str">
        <f t="array" ref="T13">VLOOKUP(Q13&amp;R13,IF({1,0},$B$2:$B$464&amp;$F$2:$F$464,$E$2:$E$464),2,)</f>
        <v>工程支持</v>
      </c>
      <c r="U13" s="35">
        <f t="array" ref="U13">VLOOKUP(Q13&amp;R13,IF({1,0},$B$2:$B$464&amp;$F$2:$F$464,$C$2:$C$464),2,)</f>
        <v>25549</v>
      </c>
      <c r="V13" s="35" t="str">
        <f t="array" ref="V13">VLOOKUP(Q13&amp;R13,IF({1,0},$B$2:$B$464&amp;$F$2:$F$464,$D$2:$D$464),2,)</f>
        <v>联络工程室</v>
      </c>
    </row>
    <row r="14" s="35" customFormat="1" customHeight="1" spans="1:22">
      <c r="A14" s="47">
        <f t="shared" si="0"/>
        <v>13</v>
      </c>
      <c r="B14" s="54" t="s">
        <v>305</v>
      </c>
      <c r="C14" s="49">
        <f>IFERROR(VLOOKUP(B14,[1]工程研发事业部人员名单!B:D,2,0),"")</f>
        <v>51389</v>
      </c>
      <c r="D14" s="50" t="str">
        <f>IFERROR(VLOOKUP(B14,[1]工程研发事业部人员名单!B:D,3,0),"")</f>
        <v>系统室</v>
      </c>
      <c r="E14" s="51" t="s">
        <v>174</v>
      </c>
      <c r="F14" s="52">
        <f t="shared" si="1"/>
        <v>56</v>
      </c>
      <c r="G14" s="53">
        <v>56</v>
      </c>
      <c r="H14" s="53"/>
      <c r="I14" s="60"/>
      <c r="J14" s="60"/>
      <c r="K14" s="57" t="s">
        <v>277</v>
      </c>
      <c r="L14" s="57" t="s">
        <v>667</v>
      </c>
      <c r="M14" s="61"/>
      <c r="N14" s="58" t="e">
        <f>VLOOKUP(E14,订单号!B:C,2,0)</f>
        <v>#N/A</v>
      </c>
      <c r="O14" s="35" t="e">
        <f>VLOOKUP(C14,领导干部!B:B,1,0)</f>
        <v>#N/A</v>
      </c>
      <c r="Q14" t="s">
        <v>244</v>
      </c>
      <c r="R14">
        <v>155</v>
      </c>
      <c r="S14">
        <f t="array" ref="S14">VLOOKUP(Q14&amp;R14,IF({1,0},$B$2:$B$464&amp;$F$2:$F$464,$N$2:$N$464),2,)</f>
        <v>0</v>
      </c>
      <c r="T14" s="35" t="str">
        <f t="array" ref="T14">VLOOKUP(Q14&amp;R14,IF({1,0},$B$2:$B$464&amp;$F$2:$F$464,$E$2:$E$464),2,)</f>
        <v>培训工作</v>
      </c>
      <c r="U14" s="35">
        <f t="array" ref="U14">VLOOKUP(Q14&amp;R14,IF({1,0},$B$2:$B$464&amp;$F$2:$F$464,$C$2:$C$464),2,)</f>
        <v>51555</v>
      </c>
      <c r="V14" s="35" t="str">
        <f t="array" ref="V14">VLOOKUP(Q14&amp;R14,IF({1,0},$B$2:$B$464&amp;$F$2:$F$464,$D$2:$D$464),2,)</f>
        <v>联络工程室</v>
      </c>
    </row>
    <row r="15" s="35" customFormat="1" customHeight="1" spans="1:22">
      <c r="A15" s="47">
        <f t="shared" si="0"/>
        <v>14</v>
      </c>
      <c r="B15" s="54" t="s">
        <v>294</v>
      </c>
      <c r="C15" s="49">
        <f>IFERROR(VLOOKUP(B15,[1]工程研发事业部人员名单!B:D,2,0),"")</f>
        <v>50726</v>
      </c>
      <c r="D15" s="50" t="str">
        <f>IFERROR(VLOOKUP(B15,[1]工程研发事业部人员名单!B:D,3,0),"")</f>
        <v>强度室</v>
      </c>
      <c r="E15" s="51" t="s">
        <v>174</v>
      </c>
      <c r="F15" s="52">
        <f t="shared" si="1"/>
        <v>180</v>
      </c>
      <c r="G15" s="53"/>
      <c r="H15" s="53"/>
      <c r="I15" s="60">
        <v>180</v>
      </c>
      <c r="J15" s="60"/>
      <c r="K15" s="57" t="s">
        <v>277</v>
      </c>
      <c r="L15" s="57" t="s">
        <v>668</v>
      </c>
      <c r="M15" s="61"/>
      <c r="N15" s="58" t="e">
        <f>VLOOKUP(E15,订单号!B:C,2,0)</f>
        <v>#N/A</v>
      </c>
      <c r="O15" s="35" t="e">
        <f>VLOOKUP(C15,领导干部!B:B,1,0)</f>
        <v>#N/A</v>
      </c>
      <c r="Q15" t="s">
        <v>246</v>
      </c>
      <c r="R15">
        <v>126</v>
      </c>
      <c r="S15" t="str">
        <f t="array" ref="S15">VLOOKUP(Q15&amp;R15,IF({1,0},$B$2:$B$464&amp;$F$2:$F$464,$N$2:$N$464),2,)</f>
        <v>YZ40000680</v>
      </c>
      <c r="T15" s="35" t="str">
        <f t="array" ref="T15">VLOOKUP(Q15&amp;R15,IF({1,0},$B$2:$B$464&amp;$F$2:$F$464,$E$2:$E$464),2,)</f>
        <v>C919设计（2022年上飞院）</v>
      </c>
      <c r="U15" s="35">
        <f t="array" ref="U15">VLOOKUP(Q15&amp;R15,IF({1,0},$B$2:$B$464&amp;$F$2:$F$464,$C$2:$C$464),2,)</f>
        <v>51183</v>
      </c>
      <c r="V15" s="35" t="str">
        <f t="array" ref="V15">VLOOKUP(Q15&amp;R15,IF({1,0},$B$2:$B$464&amp;$F$2:$F$464,$D$2:$D$464),2,)</f>
        <v>结构一室</v>
      </c>
    </row>
    <row r="16" s="35" customFormat="1" customHeight="1" spans="1:22">
      <c r="A16" s="47">
        <f t="shared" si="0"/>
        <v>15</v>
      </c>
      <c r="B16" s="54" t="s">
        <v>384</v>
      </c>
      <c r="C16" s="49">
        <f>IFERROR(VLOOKUP(B16,[1]工程研发事业部人员名单!B:D,2,0),"")</f>
        <v>50710</v>
      </c>
      <c r="D16" s="50" t="str">
        <f>IFERROR(VLOOKUP(B16,[1]工程研发事业部人员名单!B:D,3,0),"")</f>
        <v>结构二室</v>
      </c>
      <c r="E16" s="51" t="s">
        <v>174</v>
      </c>
      <c r="F16" s="52">
        <f t="shared" si="1"/>
        <v>168</v>
      </c>
      <c r="G16" s="53"/>
      <c r="H16" s="53"/>
      <c r="I16" s="60">
        <v>168</v>
      </c>
      <c r="J16" s="60"/>
      <c r="K16" s="57" t="s">
        <v>255</v>
      </c>
      <c r="L16" s="57" t="s">
        <v>284</v>
      </c>
      <c r="M16" s="61"/>
      <c r="N16" s="58" t="e">
        <f>VLOOKUP(E16,订单号!B:C,2,0)</f>
        <v>#N/A</v>
      </c>
      <c r="O16" s="35" t="e">
        <f>VLOOKUP(C16,领导干部!B:B,1,0)</f>
        <v>#N/A</v>
      </c>
      <c r="Q16" t="s">
        <v>248</v>
      </c>
      <c r="R16">
        <v>378.85</v>
      </c>
      <c r="S16">
        <f t="array" ref="S16">VLOOKUP(Q16&amp;R16,IF({1,0},$B$2:$B$464&amp;$F$2:$F$464,$N$2:$N$464),2,)</f>
        <v>10502</v>
      </c>
      <c r="T16" s="35" t="str">
        <f t="array" ref="T16">VLOOKUP(Q16&amp;R16,IF({1,0},$B$2:$B$464&amp;$F$2:$F$464,$E$2:$E$464),2,)</f>
        <v>工程支持</v>
      </c>
      <c r="U16" s="35">
        <f t="array" ref="U16">VLOOKUP(Q16&amp;R16,IF({1,0},$B$2:$B$464&amp;$F$2:$F$464,$C$2:$C$464),2,)</f>
        <v>26688</v>
      </c>
      <c r="V16" s="35" t="str">
        <f t="array" ref="V16">VLOOKUP(Q16&amp;R16,IF({1,0},$B$2:$B$464&amp;$F$2:$F$464,$D$2:$D$464),2,)</f>
        <v>联络工程室</v>
      </c>
    </row>
    <row r="17" s="35" customFormat="1" customHeight="1" spans="1:22">
      <c r="A17" s="47">
        <f t="shared" si="0"/>
        <v>16</v>
      </c>
      <c r="B17" s="54" t="s">
        <v>288</v>
      </c>
      <c r="C17" s="49">
        <f>IFERROR(VLOOKUP(B17,[1]工程研发事业部人员名单!B:D,2,0),"")</f>
        <v>52132</v>
      </c>
      <c r="D17" s="50" t="str">
        <f>IFERROR(VLOOKUP(B17,[1]工程研发事业部人员名单!B:D,3,0),"")</f>
        <v>结构二室</v>
      </c>
      <c r="E17" s="51" t="s">
        <v>174</v>
      </c>
      <c r="F17" s="52">
        <f t="shared" si="1"/>
        <v>30</v>
      </c>
      <c r="G17" s="53"/>
      <c r="H17" s="53"/>
      <c r="I17" s="60">
        <v>30</v>
      </c>
      <c r="J17" s="60"/>
      <c r="K17" s="57" t="s">
        <v>255</v>
      </c>
      <c r="L17" s="57" t="s">
        <v>284</v>
      </c>
      <c r="M17" s="61"/>
      <c r="N17" s="58" t="e">
        <f>VLOOKUP(E17,订单号!B:C,2,0)</f>
        <v>#N/A</v>
      </c>
      <c r="O17" s="35" t="e">
        <f>VLOOKUP(C17,领导干部!B:B,1,0)</f>
        <v>#N/A</v>
      </c>
      <c r="Q17" t="s">
        <v>253</v>
      </c>
      <c r="R17">
        <v>226.46</v>
      </c>
      <c r="S17">
        <f t="array" ref="S17">VLOOKUP(Q17&amp;R17,IF({1,0},$B$2:$B$464&amp;$F$2:$F$464,$N$2:$N$464),2,)</f>
        <v>10502</v>
      </c>
      <c r="T17" s="35" t="str">
        <f t="array" ref="T17">VLOOKUP(Q17&amp;R17,IF({1,0},$B$2:$B$464&amp;$F$2:$F$464,$E$2:$E$464),2,)</f>
        <v>工程支持</v>
      </c>
      <c r="U17" s="35">
        <f t="array" ref="U17">VLOOKUP(Q17&amp;R17,IF({1,0},$B$2:$B$464&amp;$F$2:$F$464,$C$2:$C$464),2,)</f>
        <v>17732</v>
      </c>
      <c r="V17" s="35" t="str">
        <f t="array" ref="V17">VLOOKUP(Q17&amp;R17,IF({1,0},$B$2:$B$464&amp;$F$2:$F$464,$D$2:$D$464),2,)</f>
        <v>联络工程室</v>
      </c>
    </row>
    <row r="18" s="35" customFormat="1" customHeight="1" spans="1:22">
      <c r="A18" s="47">
        <f t="shared" si="0"/>
        <v>17</v>
      </c>
      <c r="B18" s="54" t="s">
        <v>493</v>
      </c>
      <c r="C18" s="49">
        <f>IFERROR(VLOOKUP(B18,[1]工程研发事业部人员名单!B:D,2,0),"")</f>
        <v>51397</v>
      </c>
      <c r="D18" s="50" t="str">
        <f>IFERROR(VLOOKUP(B18,[1]工程研发事业部人员名单!B:D,3,0),"")</f>
        <v>结构二室</v>
      </c>
      <c r="E18" s="51" t="s">
        <v>174</v>
      </c>
      <c r="F18" s="52">
        <f t="shared" si="1"/>
        <v>168</v>
      </c>
      <c r="G18" s="53"/>
      <c r="H18" s="53"/>
      <c r="I18" s="60">
        <v>168</v>
      </c>
      <c r="J18" s="60"/>
      <c r="K18" s="57" t="s">
        <v>255</v>
      </c>
      <c r="L18" s="57" t="s">
        <v>284</v>
      </c>
      <c r="M18" s="61"/>
      <c r="N18" s="58" t="e">
        <f>VLOOKUP(E18,订单号!B:C,2,0)</f>
        <v>#N/A</v>
      </c>
      <c r="O18" s="35" t="e">
        <f>VLOOKUP(C18,领导干部!B:B,1,0)</f>
        <v>#N/A</v>
      </c>
      <c r="Q18" t="s">
        <v>257</v>
      </c>
      <c r="R18">
        <v>170</v>
      </c>
      <c r="S18" t="e">
        <f t="array" ref="S18">VLOOKUP(Q18&amp;R18,IF({1,0},$B$2:$B$464&amp;$F$2:$F$464,$N$2:$N$464),2,)</f>
        <v>#N/A</v>
      </c>
      <c r="T18" s="35" t="str">
        <f t="array" ref="T18">VLOOKUP(Q18&amp;R18,IF({1,0},$B$2:$B$464&amp;$F$2:$F$464,$E$2:$E$464),2,)</f>
        <v>CR929设计（2022年复材中心）</v>
      </c>
      <c r="U18" s="35">
        <f t="array" ref="U18">VLOOKUP(Q18&amp;R18,IF({1,0},$B$2:$B$464&amp;$F$2:$F$464,$C$2:$C$464),2,)</f>
        <v>51410</v>
      </c>
      <c r="V18" s="35" t="str">
        <f t="array" ref="V18">VLOOKUP(Q18&amp;R18,IF({1,0},$B$2:$B$464&amp;$F$2:$F$464,$D$2:$D$464),2,)</f>
        <v>结构一室</v>
      </c>
    </row>
    <row r="19" s="35" customFormat="1" customHeight="1" spans="1:22">
      <c r="A19" s="47">
        <f t="shared" si="0"/>
        <v>18</v>
      </c>
      <c r="B19" s="54" t="s">
        <v>280</v>
      </c>
      <c r="C19" s="49">
        <f>IFERROR(VLOOKUP(B19,[1]工程研发事业部人员名单!B:D,2,0),"")</f>
        <v>52131</v>
      </c>
      <c r="D19" s="50" t="str">
        <f>IFERROR(VLOOKUP(B19,[1]工程研发事业部人员名单!B:D,3,0),"")</f>
        <v>结构二室</v>
      </c>
      <c r="E19" s="51" t="s">
        <v>174</v>
      </c>
      <c r="F19" s="52">
        <f t="shared" si="1"/>
        <v>168</v>
      </c>
      <c r="G19" s="53"/>
      <c r="H19" s="53"/>
      <c r="I19" s="60">
        <v>168</v>
      </c>
      <c r="J19" s="60"/>
      <c r="K19" s="57" t="s">
        <v>255</v>
      </c>
      <c r="L19" s="57" t="s">
        <v>284</v>
      </c>
      <c r="M19" s="61"/>
      <c r="N19" s="58" t="e">
        <f>VLOOKUP(E19,订单号!B:C,2,0)</f>
        <v>#N/A</v>
      </c>
      <c r="O19" s="35" t="e">
        <f>VLOOKUP(C19,领导干部!B:B,1,0)</f>
        <v>#N/A</v>
      </c>
      <c r="Q19" t="s">
        <v>220</v>
      </c>
      <c r="R19">
        <v>138.17</v>
      </c>
      <c r="S19">
        <f t="array" ref="S19">VLOOKUP(Q19&amp;R19,IF({1,0},$B$2:$B$464&amp;$F$2:$F$464,$N$2:$N$464),2,)</f>
        <v>10502</v>
      </c>
      <c r="T19" s="35" t="str">
        <f t="array" ref="T19">VLOOKUP(Q19&amp;R19,IF({1,0},$B$2:$B$464&amp;$F$2:$F$464,$E$2:$E$464),2,)</f>
        <v>工程支持</v>
      </c>
      <c r="U19" s="35">
        <f t="array" ref="U19">VLOOKUP(Q19&amp;R19,IF({1,0},$B$2:$B$464&amp;$F$2:$F$464,$C$2:$C$464),2,)</f>
        <v>51405</v>
      </c>
      <c r="V19" s="35" t="str">
        <f t="array" ref="V19">VLOOKUP(Q19&amp;R19,IF({1,0},$B$2:$B$464&amp;$F$2:$F$464,$D$2:$D$464),2,)</f>
        <v>综合技术室</v>
      </c>
    </row>
    <row r="20" s="35" customFormat="1" customHeight="1" spans="1:22">
      <c r="A20" s="47">
        <f t="shared" si="0"/>
        <v>19</v>
      </c>
      <c r="B20" s="48" t="s">
        <v>445</v>
      </c>
      <c r="C20" s="49">
        <f>IFERROR(VLOOKUP(B20,[1]工程研发事业部人员名单!B:D,2,0),"")</f>
        <v>51194</v>
      </c>
      <c r="D20" s="50" t="str">
        <f>IFERROR(VLOOKUP(B20,[1]工程研发事业部人员名单!B:D,3,0),"")</f>
        <v>强度室</v>
      </c>
      <c r="E20" s="51" t="s">
        <v>174</v>
      </c>
      <c r="F20" s="52">
        <f t="shared" si="1"/>
        <v>110</v>
      </c>
      <c r="G20" s="53"/>
      <c r="H20" s="53"/>
      <c r="I20" s="53">
        <v>110</v>
      </c>
      <c r="J20" s="53"/>
      <c r="K20" s="57" t="s">
        <v>277</v>
      </c>
      <c r="L20" s="57" t="s">
        <v>284</v>
      </c>
      <c r="M20" s="59"/>
      <c r="N20" s="58" t="e">
        <f>VLOOKUP(E20,订单号!B:C,2,0)</f>
        <v>#N/A</v>
      </c>
      <c r="O20" s="35" t="e">
        <f>VLOOKUP(C20,领导干部!B:B,1,0)</f>
        <v>#N/A</v>
      </c>
      <c r="Q20" t="s">
        <v>261</v>
      </c>
      <c r="R20">
        <v>336.65</v>
      </c>
      <c r="S20">
        <f t="array" ref="S20">VLOOKUP(Q20&amp;R20,IF({1,0},$B$2:$B$464&amp;$F$2:$F$464,$N$2:$N$464),2,)</f>
        <v>10502</v>
      </c>
      <c r="T20" s="35" t="str">
        <f t="array" ref="T20">VLOOKUP(Q20&amp;R20,IF({1,0},$B$2:$B$464&amp;$F$2:$F$464,$E$2:$E$464),2,)</f>
        <v>工程支持</v>
      </c>
      <c r="U20" s="35">
        <f t="array" ref="U20">VLOOKUP(Q20&amp;R20,IF({1,0},$B$2:$B$464&amp;$F$2:$F$464,$C$2:$C$464),2,)</f>
        <v>50027</v>
      </c>
      <c r="V20" s="35" t="str">
        <f t="array" ref="V20">VLOOKUP(Q20&amp;R20,IF({1,0},$B$2:$B$464&amp;$F$2:$F$464,$D$2:$D$464),2,)</f>
        <v>联络工程室</v>
      </c>
    </row>
    <row r="21" s="35" customFormat="1" customHeight="1" spans="1:22">
      <c r="A21" s="47">
        <f t="shared" si="0"/>
        <v>20</v>
      </c>
      <c r="B21" s="48" t="s">
        <v>341</v>
      </c>
      <c r="C21" s="49">
        <f>IFERROR(VLOOKUP(B21,[1]工程研发事业部人员名单!B:D,2,0),"")</f>
        <v>51793</v>
      </c>
      <c r="D21" s="50" t="str">
        <f>IFERROR(VLOOKUP(B21,[1]工程研发事业部人员名单!B:D,3,0),"")</f>
        <v>强度室</v>
      </c>
      <c r="E21" s="51" t="s">
        <v>174</v>
      </c>
      <c r="F21" s="52">
        <f t="shared" si="1"/>
        <v>50</v>
      </c>
      <c r="G21" s="53"/>
      <c r="H21" s="53"/>
      <c r="I21" s="53">
        <v>50</v>
      </c>
      <c r="J21" s="53"/>
      <c r="K21" s="57" t="s">
        <v>277</v>
      </c>
      <c r="L21" s="57" t="s">
        <v>284</v>
      </c>
      <c r="M21" s="59"/>
      <c r="N21" s="58" t="e">
        <f>VLOOKUP(E21,订单号!B:C,2,0)</f>
        <v>#N/A</v>
      </c>
      <c r="O21" s="35" t="e">
        <f>VLOOKUP(C21,领导干部!B:B,1,0)</f>
        <v>#N/A</v>
      </c>
      <c r="Q21" t="s">
        <v>266</v>
      </c>
      <c r="R21">
        <v>283.5</v>
      </c>
      <c r="S21" t="str">
        <f t="array" ref="S21">VLOOKUP(Q21&amp;R21,IF({1,0},$B$2:$B$464&amp;$F$2:$F$464,$N$2:$N$464),2,)</f>
        <v>YZ40000680</v>
      </c>
      <c r="T21" s="35" t="str">
        <f t="array" ref="T21">VLOOKUP(Q21&amp;R21,IF({1,0},$B$2:$B$464&amp;$F$2:$F$464,$E$2:$E$464),2,)</f>
        <v>C919设计（2022年上飞院）</v>
      </c>
      <c r="U21" s="35">
        <f t="array" ref="U21">VLOOKUP(Q21&amp;R21,IF({1,0},$B$2:$B$464&amp;$F$2:$F$464,$C$2:$C$464),2,)</f>
        <v>50275</v>
      </c>
      <c r="V21" s="35" t="str">
        <f t="array" ref="V21">VLOOKUP(Q21&amp;R21,IF({1,0},$B$2:$B$464&amp;$F$2:$F$464,$D$2:$D$464),2,)</f>
        <v>结构一室</v>
      </c>
    </row>
    <row r="22" s="35" customFormat="1" customHeight="1" spans="1:22">
      <c r="A22" s="47">
        <f t="shared" si="0"/>
        <v>21</v>
      </c>
      <c r="B22" s="48" t="s">
        <v>426</v>
      </c>
      <c r="C22" s="49">
        <f>IFERROR(VLOOKUP(B22,[1]工程研发事业部人员名单!B:D,2,0),"")</f>
        <v>51175</v>
      </c>
      <c r="D22" s="50" t="str">
        <f>IFERROR(VLOOKUP(B22,[1]工程研发事业部人员名单!B:D,3,0),"")</f>
        <v>强度室</v>
      </c>
      <c r="E22" s="51" t="s">
        <v>174</v>
      </c>
      <c r="F22" s="52">
        <f t="shared" si="1"/>
        <v>122.5</v>
      </c>
      <c r="G22" s="53"/>
      <c r="H22" s="53"/>
      <c r="I22" s="53">
        <v>122.5</v>
      </c>
      <c r="J22" s="53"/>
      <c r="K22" s="57" t="s">
        <v>277</v>
      </c>
      <c r="L22" s="57" t="s">
        <v>284</v>
      </c>
      <c r="M22" s="59"/>
      <c r="N22" s="58" t="e">
        <f>VLOOKUP(E22,订单号!B:C,2,0)</f>
        <v>#N/A</v>
      </c>
      <c r="O22" s="35" t="e">
        <f>VLOOKUP(C22,领导干部!B:B,1,0)</f>
        <v>#N/A</v>
      </c>
      <c r="Q22" t="s">
        <v>669</v>
      </c>
      <c r="R22">
        <v>157.5</v>
      </c>
      <c r="S22">
        <f t="array" ref="S22">VLOOKUP(Q22&amp;R22,IF({1,0},$B$2:$B$464&amp;$F$2:$F$464,$N$2:$N$464),2,)</f>
        <v>10502</v>
      </c>
      <c r="T22" s="35" t="str">
        <f t="array" ref="T22">VLOOKUP(Q22&amp;R22,IF({1,0},$B$2:$B$464&amp;$F$2:$F$464,$E$2:$E$464),2,)</f>
        <v>工程支持</v>
      </c>
      <c r="U22" s="35">
        <f t="array" ref="U22">VLOOKUP(Q22&amp;R22,IF({1,0},$B$2:$B$464&amp;$F$2:$F$464,$C$2:$C$464),2,)</f>
        <v>50029</v>
      </c>
      <c r="V22" s="35" t="str">
        <f t="array" ref="V22">VLOOKUP(Q22&amp;R22,IF({1,0},$B$2:$B$464&amp;$F$2:$F$464,$D$2:$D$464),2,)</f>
        <v>综合技术室</v>
      </c>
    </row>
    <row r="23" s="35" customFormat="1" customHeight="1" spans="1:22">
      <c r="A23" s="47">
        <f t="shared" si="0"/>
        <v>22</v>
      </c>
      <c r="B23" s="48" t="s">
        <v>56</v>
      </c>
      <c r="C23" s="49">
        <f>IFERROR(VLOOKUP(B23,[1]工程研发事业部人员名单!B:D,2,0),"")</f>
        <v>52560</v>
      </c>
      <c r="D23" s="50" t="str">
        <f>IFERROR(VLOOKUP(B23,[1]工程研发事业部人员名单!B:D,3,0),"")</f>
        <v>强度室</v>
      </c>
      <c r="E23" s="51" t="s">
        <v>174</v>
      </c>
      <c r="F23" s="52">
        <f t="shared" si="1"/>
        <v>80</v>
      </c>
      <c r="G23" s="53"/>
      <c r="H23" s="53"/>
      <c r="I23" s="53">
        <v>80</v>
      </c>
      <c r="J23" s="53"/>
      <c r="K23" s="57" t="s">
        <v>277</v>
      </c>
      <c r="L23" s="57" t="s">
        <v>284</v>
      </c>
      <c r="M23" s="59"/>
      <c r="N23" s="58" t="e">
        <f>VLOOKUP(E23,订单号!B:C,2,0)</f>
        <v>#N/A</v>
      </c>
      <c r="O23" s="35" t="e">
        <f>VLOOKUP(C23,领导干部!B:B,1,0)</f>
        <v>#N/A</v>
      </c>
      <c r="Q23" t="s">
        <v>269</v>
      </c>
      <c r="R23">
        <v>255</v>
      </c>
      <c r="S23" t="str">
        <f t="array" ref="S23">VLOOKUP(Q23&amp;R23,IF({1,0},$B$2:$B$464&amp;$F$2:$F$464,$N$2:$N$464),2,)</f>
        <v>YZ40000680</v>
      </c>
      <c r="T23" s="35" t="str">
        <f t="array" ref="T23">VLOOKUP(Q23&amp;R23,IF({1,0},$B$2:$B$464&amp;$F$2:$F$464,$E$2:$E$464),2,)</f>
        <v>C919设计（2022年上飞院）</v>
      </c>
      <c r="U23" s="35">
        <f t="array" ref="U23">VLOOKUP(Q23&amp;R23,IF({1,0},$B$2:$B$464&amp;$F$2:$F$464,$C$2:$C$464),2,)</f>
        <v>50871</v>
      </c>
      <c r="V23" s="35" t="str">
        <f t="array" ref="V23">VLOOKUP(Q23&amp;R23,IF({1,0},$B$2:$B$464&amp;$F$2:$F$464,$D$2:$D$464),2,)</f>
        <v>强度室</v>
      </c>
    </row>
    <row r="24" s="35" customFormat="1" customHeight="1" spans="1:22">
      <c r="A24" s="47">
        <f t="shared" si="0"/>
        <v>23</v>
      </c>
      <c r="B24" s="48" t="s">
        <v>324</v>
      </c>
      <c r="C24" s="49">
        <f>IFERROR(VLOOKUP(B24,[1]工程研发事业部人员名单!B:D,2,0),"")</f>
        <v>51860</v>
      </c>
      <c r="D24" s="50" t="str">
        <f>IFERROR(VLOOKUP(B24,[1]工程研发事业部人员名单!B:D,3,0),"")</f>
        <v>总体室</v>
      </c>
      <c r="E24" s="51" t="s">
        <v>174</v>
      </c>
      <c r="F24" s="52">
        <f t="shared" si="1"/>
        <v>65</v>
      </c>
      <c r="G24" s="53"/>
      <c r="H24" s="53">
        <v>65</v>
      </c>
      <c r="I24" s="53"/>
      <c r="J24" s="53"/>
      <c r="K24" s="57" t="s">
        <v>277</v>
      </c>
      <c r="L24" s="57" t="s">
        <v>284</v>
      </c>
      <c r="M24" s="59"/>
      <c r="N24" s="58" t="e">
        <f>VLOOKUP(E24,订单号!B:C,2,0)</f>
        <v>#N/A</v>
      </c>
      <c r="O24" s="35" t="e">
        <f>VLOOKUP(C24,领导干部!B:B,1,0)</f>
        <v>#N/A</v>
      </c>
      <c r="Q24" t="s">
        <v>670</v>
      </c>
      <c r="R24">
        <v>120</v>
      </c>
      <c r="S24" t="e">
        <f t="array" ref="S24">VLOOKUP(Q24&amp;R24,IF({1,0},$B$2:$B$464&amp;$F$2:$F$464,$N$2:$N$464),2,)</f>
        <v>#N/A</v>
      </c>
      <c r="T24" s="35" t="str">
        <f t="array" ref="T24">VLOOKUP(Q24&amp;R24,IF({1,0},$B$2:$B$464&amp;$F$2:$F$464,$E$2:$E$464),2,)</f>
        <v>CR929设计（2022年复材中心）</v>
      </c>
      <c r="U24" s="35">
        <f t="array" ref="U24">VLOOKUP(Q24&amp;R24,IF({1,0},$B$2:$B$464&amp;$F$2:$F$464,$C$2:$C$464),2,)</f>
        <v>51200</v>
      </c>
      <c r="V24" s="35" t="str">
        <f t="array" ref="V24">VLOOKUP(Q24&amp;R24,IF({1,0},$B$2:$B$464&amp;$F$2:$F$464,$D$2:$D$464),2,)</f>
        <v>强度室</v>
      </c>
    </row>
    <row r="25" s="35" customFormat="1" customHeight="1" spans="1:22">
      <c r="A25" s="47">
        <f t="shared" si="0"/>
        <v>24</v>
      </c>
      <c r="B25" s="48" t="s">
        <v>288</v>
      </c>
      <c r="C25" s="49">
        <f>IFERROR(VLOOKUP(B25,[1]工程研发事业部人员名单!B:D,2,0),"")</f>
        <v>52132</v>
      </c>
      <c r="D25" s="50" t="str">
        <f>IFERROR(VLOOKUP(B25,[1]工程研发事业部人员名单!B:D,3,0),"")</f>
        <v>结构二室</v>
      </c>
      <c r="E25" s="51" t="s">
        <v>174</v>
      </c>
      <c r="F25" s="52">
        <f t="shared" si="1"/>
        <v>78</v>
      </c>
      <c r="G25" s="53"/>
      <c r="H25" s="53">
        <v>78</v>
      </c>
      <c r="I25" s="53"/>
      <c r="J25" s="53"/>
      <c r="K25" s="57" t="s">
        <v>277</v>
      </c>
      <c r="L25" s="57" t="s">
        <v>284</v>
      </c>
      <c r="M25" s="59"/>
      <c r="N25" s="58" t="e">
        <f>VLOOKUP(E25,订单号!B:C,2,0)</f>
        <v>#N/A</v>
      </c>
      <c r="O25" s="35" t="e">
        <f>VLOOKUP(C25,领导干部!B:B,1,0)</f>
        <v>#N/A</v>
      </c>
      <c r="Q25" t="s">
        <v>271</v>
      </c>
      <c r="R25">
        <v>393.65</v>
      </c>
      <c r="S25">
        <f t="array" ref="S25">VLOOKUP(Q25&amp;R25,IF({1,0},$B$2:$B$464&amp;$F$2:$F$464,$N$2:$N$464),2,)</f>
        <v>10502</v>
      </c>
      <c r="T25" s="35" t="str">
        <f t="array" ref="T25">VLOOKUP(Q25&amp;R25,IF({1,0},$B$2:$B$464&amp;$F$2:$F$464,$E$2:$E$464),2,)</f>
        <v>工程支持</v>
      </c>
      <c r="U25" s="35">
        <f t="array" ref="U25">VLOOKUP(Q25&amp;R25,IF({1,0},$B$2:$B$464&amp;$F$2:$F$464,$C$2:$C$464),2,)</f>
        <v>51941</v>
      </c>
      <c r="V25" s="35" t="str">
        <f t="array" ref="V25">VLOOKUP(Q25&amp;R25,IF({1,0},$B$2:$B$464&amp;$F$2:$F$464,$D$2:$D$464),2,)</f>
        <v>联络工程室</v>
      </c>
    </row>
    <row r="26" s="35" customFormat="1" customHeight="1" spans="1:22">
      <c r="A26" s="47">
        <f t="shared" si="0"/>
        <v>25</v>
      </c>
      <c r="B26" s="48" t="s">
        <v>389</v>
      </c>
      <c r="C26" s="49">
        <f>IFERROR(VLOOKUP(B26,[1]工程研发事业部人员名单!B:D,2,0),"")</f>
        <v>22291</v>
      </c>
      <c r="D26" s="50" t="str">
        <f>IFERROR(VLOOKUP(B26,[1]工程研发事业部人员名单!B:D,3,0),"")</f>
        <v>综合技术室</v>
      </c>
      <c r="E26" s="51" t="s">
        <v>174</v>
      </c>
      <c r="F26" s="52">
        <f t="shared" si="1"/>
        <v>26</v>
      </c>
      <c r="G26" s="53"/>
      <c r="H26" s="53">
        <v>26</v>
      </c>
      <c r="I26" s="53"/>
      <c r="J26" s="53"/>
      <c r="K26" s="57" t="s">
        <v>277</v>
      </c>
      <c r="L26" s="57" t="s">
        <v>284</v>
      </c>
      <c r="M26" s="59"/>
      <c r="N26" s="58" t="e">
        <f>VLOOKUP(E26,订单号!B:C,2,0)</f>
        <v>#N/A</v>
      </c>
      <c r="O26" s="35" t="e">
        <f>VLOOKUP(C26,领导干部!B:B,1,0)</f>
        <v>#N/A</v>
      </c>
      <c r="Q26" t="s">
        <v>274</v>
      </c>
      <c r="R26">
        <v>130</v>
      </c>
      <c r="S26" t="str">
        <f t="array" ref="S26">VLOOKUP(Q26&amp;R26,IF({1,0},$B$2:$B$464&amp;$F$2:$F$464,$N$2:$N$464),2,)</f>
        <v>YZ40000680</v>
      </c>
      <c r="T26" s="35" t="str">
        <f t="array" ref="T26">VLOOKUP(Q26&amp;R26,IF({1,0},$B$2:$B$464&amp;$F$2:$F$464,$E$2:$E$464),2,)</f>
        <v>C919设计（2022年上飞院）</v>
      </c>
      <c r="U26" s="35">
        <f t="array" ref="U26">VLOOKUP(Q26&amp;R26,IF({1,0},$B$2:$B$464&amp;$F$2:$F$464,$C$2:$C$464),2,)</f>
        <v>26689</v>
      </c>
      <c r="V26" s="35" t="str">
        <f t="array" ref="V26">VLOOKUP(Q26&amp;R26,IF({1,0},$B$2:$B$464&amp;$F$2:$F$464,$D$2:$D$464),2,)</f>
        <v>强度室</v>
      </c>
    </row>
    <row r="27" s="35" customFormat="1" customHeight="1" spans="1:22">
      <c r="A27" s="47">
        <f t="shared" si="0"/>
        <v>26</v>
      </c>
      <c r="B27" s="48" t="s">
        <v>671</v>
      </c>
      <c r="C27" s="49">
        <f>IFERROR(VLOOKUP(B27,[1]工程研发事业部人员名单!B:D,2,0),"")</f>
        <v>23525</v>
      </c>
      <c r="D27" s="50" t="str">
        <f>IFERROR(VLOOKUP(B27,[1]工程研发事业部人员名单!B:D,3,0),"")</f>
        <v>强度室</v>
      </c>
      <c r="E27" s="51" t="s">
        <v>174</v>
      </c>
      <c r="F27" s="52">
        <f t="shared" si="1"/>
        <v>140</v>
      </c>
      <c r="G27" s="53"/>
      <c r="H27" s="53"/>
      <c r="I27" s="53">
        <v>140</v>
      </c>
      <c r="J27" s="53"/>
      <c r="K27" s="57" t="s">
        <v>277</v>
      </c>
      <c r="L27" s="57" t="s">
        <v>672</v>
      </c>
      <c r="M27" s="59"/>
      <c r="N27" s="58" t="e">
        <f>VLOOKUP(E27,订单号!B:C,2,0)</f>
        <v>#N/A</v>
      </c>
      <c r="O27" s="35" t="e">
        <f>VLOOKUP(C27,领导干部!B:B,1,0)</f>
        <v>#N/A</v>
      </c>
      <c r="Q27" t="s">
        <v>280</v>
      </c>
      <c r="R27">
        <v>168</v>
      </c>
      <c r="S27" t="e">
        <f t="array" ref="S27">VLOOKUP(Q27&amp;R27,IF({1,0},$B$2:$B$464&amp;$F$2:$F$464,$N$2:$N$464),2,)</f>
        <v>#N/A</v>
      </c>
      <c r="T27" s="35" t="str">
        <f t="array" ref="T27">VLOOKUP(Q27&amp;R27,IF({1,0},$B$2:$B$464&amp;$F$2:$F$464,$E$2:$E$464),2,)</f>
        <v>CR929设计（2022年复材中心）</v>
      </c>
      <c r="U27" s="35">
        <f t="array" ref="U27">VLOOKUP(Q27&amp;R27,IF({1,0},$B$2:$B$464&amp;$F$2:$F$464,$C$2:$C$464),2,)</f>
        <v>52131</v>
      </c>
      <c r="V27" s="35" t="str">
        <f t="array" ref="V27">VLOOKUP(Q27&amp;R27,IF({1,0},$B$2:$B$464&amp;$F$2:$F$464,$D$2:$D$464),2,)</f>
        <v>结构二室</v>
      </c>
    </row>
    <row r="28" s="35" customFormat="1" customHeight="1" spans="1:22">
      <c r="A28" s="47">
        <f t="shared" si="0"/>
        <v>27</v>
      </c>
      <c r="B28" s="48" t="s">
        <v>670</v>
      </c>
      <c r="C28" s="49">
        <f>IFERROR(VLOOKUP(B28,[1]工程研发事业部人员名单!B:D,2,0),"")</f>
        <v>51200</v>
      </c>
      <c r="D28" s="50" t="str">
        <f>IFERROR(VLOOKUP(B28,[1]工程研发事业部人员名单!B:D,3,0),"")</f>
        <v>强度室</v>
      </c>
      <c r="E28" s="51" t="s">
        <v>174</v>
      </c>
      <c r="F28" s="52">
        <f t="shared" si="1"/>
        <v>120</v>
      </c>
      <c r="G28" s="53"/>
      <c r="H28" s="53"/>
      <c r="I28" s="53">
        <v>120</v>
      </c>
      <c r="J28" s="53"/>
      <c r="K28" s="57" t="s">
        <v>277</v>
      </c>
      <c r="L28" s="57" t="s">
        <v>672</v>
      </c>
      <c r="M28" s="59"/>
      <c r="N28" s="58" t="e">
        <f>VLOOKUP(E28,订单号!B:C,2,0)</f>
        <v>#N/A</v>
      </c>
      <c r="O28" s="35" t="e">
        <f>VLOOKUP(C28,领导干部!B:B,1,0)</f>
        <v>#N/A</v>
      </c>
      <c r="Q28" t="s">
        <v>282</v>
      </c>
      <c r="R28">
        <v>150</v>
      </c>
      <c r="S28" t="str">
        <f t="array" ref="S28">VLOOKUP(Q28&amp;R28,IF({1,0},$B$2:$B$464&amp;$F$2:$F$464,$N$2:$N$464),2,)</f>
        <v>YZ40000680</v>
      </c>
      <c r="T28" s="35" t="str">
        <f t="array" ref="T28">VLOOKUP(Q28&amp;R28,IF({1,0},$B$2:$B$464&amp;$F$2:$F$464,$E$2:$E$464),2,)</f>
        <v>C919设计（2022年上飞院）</v>
      </c>
      <c r="U28" s="35">
        <f t="array" ref="U28">VLOOKUP(Q28&amp;R28,IF({1,0},$B$2:$B$464&amp;$F$2:$F$464,$C$2:$C$464),2,)</f>
        <v>52342</v>
      </c>
      <c r="V28" s="35" t="str">
        <f t="array" ref="V28">VLOOKUP(Q28&amp;R28,IF({1,0},$B$2:$B$464&amp;$F$2:$F$464,$D$2:$D$464),2,)</f>
        <v>强度室</v>
      </c>
    </row>
    <row r="29" s="35" customFormat="1" customHeight="1" spans="1:22">
      <c r="A29" s="47">
        <f t="shared" si="0"/>
        <v>28</v>
      </c>
      <c r="B29" s="48" t="s">
        <v>490</v>
      </c>
      <c r="C29" s="49">
        <f>IFERROR(VLOOKUP(B29,[1]工程研发事业部人员名单!B:D,2,0),"")</f>
        <v>51763</v>
      </c>
      <c r="D29" s="50" t="str">
        <f>IFERROR(VLOOKUP(B29,[1]工程研发事业部人员名单!B:D,3,0),"")</f>
        <v>强度室</v>
      </c>
      <c r="E29" s="51" t="s">
        <v>174</v>
      </c>
      <c r="F29" s="52">
        <f t="shared" si="1"/>
        <v>120</v>
      </c>
      <c r="G29" s="53"/>
      <c r="H29" s="53"/>
      <c r="I29" s="53">
        <v>120</v>
      </c>
      <c r="J29" s="53"/>
      <c r="K29" s="57" t="s">
        <v>277</v>
      </c>
      <c r="L29" s="57" t="s">
        <v>672</v>
      </c>
      <c r="M29" s="59"/>
      <c r="N29" s="58" t="e">
        <f>VLOOKUP(E29,订单号!B:C,2,0)</f>
        <v>#N/A</v>
      </c>
      <c r="O29" s="35" t="e">
        <f>VLOOKUP(C29,领导干部!B:B,1,0)</f>
        <v>#N/A</v>
      </c>
      <c r="Q29" t="s">
        <v>286</v>
      </c>
      <c r="R29">
        <v>200</v>
      </c>
      <c r="S29" t="e">
        <f t="array" ref="S29">VLOOKUP(Q29&amp;R29,IF({1,0},$B$2:$B$464&amp;$F$2:$F$464,$N$2:$N$464),2,)</f>
        <v>#N/A</v>
      </c>
      <c r="T29" s="35" t="str">
        <f t="array" ref="T29">VLOOKUP(Q29&amp;R29,IF({1,0},$B$2:$B$464&amp;$F$2:$F$464,$E$2:$E$464),2,)</f>
        <v>C919设计（2021年上飞院）</v>
      </c>
      <c r="U29" s="35">
        <f t="array" ref="U29">VLOOKUP(Q29&amp;R29,IF({1,0},$B$2:$B$464&amp;$F$2:$F$464,$C$2:$C$464),2,)</f>
        <v>51158</v>
      </c>
      <c r="V29" s="35" t="str">
        <f t="array" ref="V29">VLOOKUP(Q29&amp;R29,IF({1,0},$B$2:$B$464&amp;$F$2:$F$464,$D$2:$D$464),2,)</f>
        <v>强度室</v>
      </c>
    </row>
    <row r="30" s="35" customFormat="1" customHeight="1" spans="1:22">
      <c r="A30" s="47">
        <f t="shared" si="0"/>
        <v>29</v>
      </c>
      <c r="B30" s="48" t="s">
        <v>447</v>
      </c>
      <c r="C30" s="49">
        <f>IFERROR(VLOOKUP(B30,[1]工程研发事业部人员名单!B:D,2,0),"")</f>
        <v>52347</v>
      </c>
      <c r="D30" s="50" t="str">
        <f>IFERROR(VLOOKUP(B30,[1]工程研发事业部人员名单!B:D,3,0),"")</f>
        <v>强度室</v>
      </c>
      <c r="E30" s="51" t="s">
        <v>174</v>
      </c>
      <c r="F30" s="52">
        <f t="shared" si="1"/>
        <v>120</v>
      </c>
      <c r="G30" s="53"/>
      <c r="H30" s="53"/>
      <c r="I30" s="53">
        <v>120</v>
      </c>
      <c r="J30" s="53"/>
      <c r="K30" s="57" t="s">
        <v>277</v>
      </c>
      <c r="L30" s="57" t="s">
        <v>672</v>
      </c>
      <c r="M30" s="59"/>
      <c r="N30" s="58" t="e">
        <f>VLOOKUP(E30,订单号!B:C,2,0)</f>
        <v>#N/A</v>
      </c>
      <c r="O30" s="35" t="e">
        <f>VLOOKUP(C30,领导干部!B:B,1,0)</f>
        <v>#N/A</v>
      </c>
      <c r="Q30" t="s">
        <v>288</v>
      </c>
      <c r="R30">
        <v>90</v>
      </c>
      <c r="S30" t="str">
        <f t="array" ref="S30">VLOOKUP(Q30&amp;R30,IF({1,0},$B$2:$B$464&amp;$F$2:$F$464,$N$2:$N$464),2,)</f>
        <v>YZ40000680</v>
      </c>
      <c r="T30" s="35" t="str">
        <f t="array" ref="T30">VLOOKUP(Q30&amp;R30,IF({1,0},$B$2:$B$464&amp;$F$2:$F$464,$E$2:$E$464),2,)</f>
        <v>C919设计（2022年上飞院）</v>
      </c>
      <c r="U30" s="35">
        <f t="array" ref="U30">VLOOKUP(Q30&amp;R30,IF({1,0},$B$2:$B$464&amp;$F$2:$F$464,$C$2:$C$464),2,)</f>
        <v>52132</v>
      </c>
      <c r="V30" s="35" t="str">
        <f t="array" ref="V30">VLOOKUP(Q30&amp;R30,IF({1,0},$B$2:$B$464&amp;$F$2:$F$464,$D$2:$D$464),2,)</f>
        <v>结构二室</v>
      </c>
    </row>
    <row r="31" s="35" customFormat="1" customHeight="1" spans="1:22">
      <c r="A31" s="47">
        <f t="shared" si="0"/>
        <v>30</v>
      </c>
      <c r="B31" s="48" t="s">
        <v>410</v>
      </c>
      <c r="C31" s="49">
        <f>IFERROR(VLOOKUP(B31,[1]工程研发事业部人员名单!B:D,2,0),"")</f>
        <v>51196</v>
      </c>
      <c r="D31" s="50" t="str">
        <f>IFERROR(VLOOKUP(B31,[1]工程研发事业部人员名单!B:D,3,0),"")</f>
        <v>强度室</v>
      </c>
      <c r="E31" s="51" t="s">
        <v>174</v>
      </c>
      <c r="F31" s="52">
        <f t="shared" si="1"/>
        <v>120</v>
      </c>
      <c r="G31" s="53"/>
      <c r="H31" s="53"/>
      <c r="I31" s="53">
        <v>120</v>
      </c>
      <c r="J31" s="53"/>
      <c r="K31" s="57" t="s">
        <v>277</v>
      </c>
      <c r="L31" s="57" t="s">
        <v>672</v>
      </c>
      <c r="M31" s="59"/>
      <c r="N31" s="58" t="e">
        <f>VLOOKUP(E31,订单号!B:C,2,0)</f>
        <v>#N/A</v>
      </c>
      <c r="O31" s="35" t="e">
        <f>VLOOKUP(C31,领导干部!B:B,1,0)</f>
        <v>#N/A</v>
      </c>
      <c r="Q31" t="s">
        <v>291</v>
      </c>
      <c r="R31">
        <v>240</v>
      </c>
      <c r="S31" t="e">
        <f t="array" ref="S31">VLOOKUP(Q31&amp;R31,IF({1,0},$B$2:$B$464&amp;$F$2:$F$464,$N$2:$N$464),2,)</f>
        <v>#N/A</v>
      </c>
      <c r="T31" s="35" t="str">
        <f t="array" ref="T31">VLOOKUP(Q31&amp;R31,IF({1,0},$B$2:$B$464&amp;$F$2:$F$464,$E$2:$E$464),2,)</f>
        <v>1号设计（2022年KTB）</v>
      </c>
      <c r="U31" s="35">
        <f t="array" ref="U31">VLOOKUP(Q31&amp;R31,IF({1,0},$B$2:$B$464&amp;$F$2:$F$464,$C$2:$C$464),2,)</f>
        <v>25765</v>
      </c>
      <c r="V31" s="35" t="str">
        <f t="array" ref="V31">VLOOKUP(Q31&amp;R31,IF({1,0},$B$2:$B$464&amp;$F$2:$F$464,$D$2:$D$464),2,)</f>
        <v>结构一室</v>
      </c>
    </row>
    <row r="32" s="35" customFormat="1" customHeight="1" spans="1:22">
      <c r="A32" s="47">
        <f t="shared" si="0"/>
        <v>31</v>
      </c>
      <c r="B32" s="48" t="s">
        <v>311</v>
      </c>
      <c r="C32" s="49">
        <f>IFERROR(VLOOKUP(B32,[1]工程研发事业部人员名单!B:D,2,0),"")</f>
        <v>51435</v>
      </c>
      <c r="D32" s="50" t="str">
        <f>IFERROR(VLOOKUP(B32,[1]工程研发事业部人员名单!B:D,3,0),"")</f>
        <v>系统室</v>
      </c>
      <c r="E32" s="51" t="s">
        <v>174</v>
      </c>
      <c r="F32" s="52">
        <f t="shared" si="1"/>
        <v>120</v>
      </c>
      <c r="G32" s="53">
        <v>120</v>
      </c>
      <c r="H32" s="53"/>
      <c r="I32" s="53"/>
      <c r="J32" s="53"/>
      <c r="K32" s="57" t="s">
        <v>277</v>
      </c>
      <c r="L32" s="57" t="s">
        <v>672</v>
      </c>
      <c r="M32" s="59"/>
      <c r="N32" s="58" t="e">
        <f>VLOOKUP(E32,订单号!B:C,2,0)</f>
        <v>#N/A</v>
      </c>
      <c r="O32" s="35" t="e">
        <f>VLOOKUP(C32,领导干部!B:B,1,0)</f>
        <v>#N/A</v>
      </c>
      <c r="Q32" t="s">
        <v>671</v>
      </c>
      <c r="R32">
        <v>140</v>
      </c>
      <c r="S32" t="e">
        <f t="array" ref="S32">VLOOKUP(Q32&amp;R32,IF({1,0},$B$2:$B$464&amp;$F$2:$F$464,$N$2:$N$464),2,)</f>
        <v>#N/A</v>
      </c>
      <c r="T32" s="35" t="str">
        <f t="array" ref="T32">VLOOKUP(Q32&amp;R32,IF({1,0},$B$2:$B$464&amp;$F$2:$F$464,$E$2:$E$464),2,)</f>
        <v>CR929设计（2022年复材中心）</v>
      </c>
      <c r="U32" s="35">
        <f t="array" ref="U32">VLOOKUP(Q32&amp;R32,IF({1,0},$B$2:$B$464&amp;$F$2:$F$464,$C$2:$C$464),2,)</f>
        <v>23525</v>
      </c>
      <c r="V32" s="35" t="str">
        <f t="array" ref="V32">VLOOKUP(Q32&amp;R32,IF({1,0},$B$2:$B$464&amp;$F$2:$F$464,$D$2:$D$464),2,)</f>
        <v>强度室</v>
      </c>
    </row>
    <row r="33" s="35" customFormat="1" customHeight="1" spans="1:22">
      <c r="A33" s="47">
        <f t="shared" si="0"/>
        <v>32</v>
      </c>
      <c r="B33" s="48" t="s">
        <v>295</v>
      </c>
      <c r="C33" s="49">
        <f>IFERROR(VLOOKUP(B33,[1]工程研发事业部人员名单!B:D,2,0),"")</f>
        <v>51951</v>
      </c>
      <c r="D33" s="50" t="str">
        <f>IFERROR(VLOOKUP(B33,[1]工程研发事业部人员名单!B:D,3,0),"")</f>
        <v>系统室</v>
      </c>
      <c r="E33" s="51" t="s">
        <v>174</v>
      </c>
      <c r="F33" s="52">
        <f t="shared" si="1"/>
        <v>60</v>
      </c>
      <c r="G33" s="53">
        <v>60</v>
      </c>
      <c r="H33" s="53"/>
      <c r="I33" s="53"/>
      <c r="J33" s="53"/>
      <c r="K33" s="57" t="s">
        <v>277</v>
      </c>
      <c r="L33" s="57" t="s">
        <v>672</v>
      </c>
      <c r="M33" s="59"/>
      <c r="N33" s="58" t="e">
        <f>VLOOKUP(E33,订单号!B:C,2,0)</f>
        <v>#N/A</v>
      </c>
      <c r="O33" s="35" t="e">
        <f>VLOOKUP(C33,领导干部!B:B,1,0)</f>
        <v>#N/A</v>
      </c>
      <c r="Q33" t="s">
        <v>294</v>
      </c>
      <c r="R33">
        <v>180</v>
      </c>
      <c r="S33" t="e">
        <f t="array" ref="S33">VLOOKUP(Q33&amp;R33,IF({1,0},$B$2:$B$464&amp;$F$2:$F$464,$N$2:$N$464),2,)</f>
        <v>#N/A</v>
      </c>
      <c r="T33" s="35" t="str">
        <f t="array" ref="T33">VLOOKUP(Q33&amp;R33,IF({1,0},$B$2:$B$464&amp;$F$2:$F$464,$E$2:$E$464),2,)</f>
        <v>CR929设计（2022年复材中心）</v>
      </c>
      <c r="U33" s="35">
        <f t="array" ref="U33">VLOOKUP(Q33&amp;R33,IF({1,0},$B$2:$B$464&amp;$F$2:$F$464,$C$2:$C$464),2,)</f>
        <v>50726</v>
      </c>
      <c r="V33" s="35" t="str">
        <f t="array" ref="V33">VLOOKUP(Q33&amp;R33,IF({1,0},$B$2:$B$464&amp;$F$2:$F$464,$D$2:$D$464),2,)</f>
        <v>强度室</v>
      </c>
    </row>
    <row r="34" s="35" customFormat="1" customHeight="1" spans="1:22">
      <c r="A34" s="47">
        <f t="shared" si="0"/>
        <v>33</v>
      </c>
      <c r="B34" s="48" t="s">
        <v>358</v>
      </c>
      <c r="C34" s="49">
        <f>IFERROR(VLOOKUP(B34,[1]工程研发事业部人员名单!B:D,2,0),"")</f>
        <v>51387</v>
      </c>
      <c r="D34" s="50" t="str">
        <f>IFERROR(VLOOKUP(B34,[1]工程研发事业部人员名单!B:D,3,0),"")</f>
        <v>系统室</v>
      </c>
      <c r="E34" s="51" t="s">
        <v>174</v>
      </c>
      <c r="F34" s="52">
        <f t="shared" si="1"/>
        <v>100</v>
      </c>
      <c r="G34" s="53">
        <v>100</v>
      </c>
      <c r="H34" s="53"/>
      <c r="I34" s="53"/>
      <c r="J34" s="53"/>
      <c r="K34" s="57" t="s">
        <v>277</v>
      </c>
      <c r="L34" s="57" t="s">
        <v>672</v>
      </c>
      <c r="M34" s="59"/>
      <c r="N34" s="58" t="e">
        <f>VLOOKUP(E34,订单号!B:C,2,0)</f>
        <v>#N/A</v>
      </c>
      <c r="O34" s="35" t="e">
        <f>VLOOKUP(C34,领导干部!B:B,1,0)</f>
        <v>#N/A</v>
      </c>
      <c r="Q34" t="s">
        <v>297</v>
      </c>
      <c r="R34">
        <v>75</v>
      </c>
      <c r="S34">
        <f t="array" ref="S34">VLOOKUP(Q34&amp;R34,IF({1,0},$B$2:$B$464&amp;$F$2:$F$464,$N$2:$N$464),2,)</f>
        <v>0</v>
      </c>
      <c r="T34" s="35" t="str">
        <f t="array" ref="T34">VLOOKUP(Q34&amp;R34,IF({1,0},$B$2:$B$464&amp;$F$2:$F$464,$E$2:$E$464),2,)</f>
        <v>培训工作</v>
      </c>
      <c r="U34" s="35">
        <f t="array" ref="U34">VLOOKUP(Q34&amp;R34,IF({1,0},$B$2:$B$464&amp;$F$2:$F$464,$C$2:$C$464),2,)</f>
        <v>51227</v>
      </c>
      <c r="V34" s="35" t="str">
        <f t="array" ref="V34">VLOOKUP(Q34&amp;R34,IF({1,0},$B$2:$B$464&amp;$F$2:$F$464,$D$2:$D$464),2,)</f>
        <v>结构一室</v>
      </c>
    </row>
    <row r="35" s="35" customFormat="1" customHeight="1" spans="1:22">
      <c r="A35" s="47">
        <f t="shared" si="0"/>
        <v>34</v>
      </c>
      <c r="B35" s="48" t="s">
        <v>360</v>
      </c>
      <c r="C35" s="49">
        <f>IFERROR(VLOOKUP(B35,[1]工程研发事业部人员名单!B:D,2,0),"")</f>
        <v>50713</v>
      </c>
      <c r="D35" s="50" t="str">
        <f>IFERROR(VLOOKUP(B35,[1]工程研发事业部人员名单!B:D,3,0),"")</f>
        <v>系统室</v>
      </c>
      <c r="E35" s="51" t="s">
        <v>174</v>
      </c>
      <c r="F35" s="52">
        <f t="shared" si="1"/>
        <v>5</v>
      </c>
      <c r="G35" s="53">
        <v>5</v>
      </c>
      <c r="H35" s="53"/>
      <c r="I35" s="53"/>
      <c r="J35" s="53"/>
      <c r="K35" s="57" t="s">
        <v>277</v>
      </c>
      <c r="L35" s="57" t="s">
        <v>672</v>
      </c>
      <c r="M35" s="59"/>
      <c r="N35" s="58" t="e">
        <f>VLOOKUP(E35,订单号!B:C,2,0)</f>
        <v>#N/A</v>
      </c>
      <c r="O35" s="35" t="e">
        <f>VLOOKUP(C35,领导干部!B:B,1,0)</f>
        <v>#N/A</v>
      </c>
      <c r="Q35" t="s">
        <v>300</v>
      </c>
      <c r="R35">
        <v>150.5</v>
      </c>
      <c r="S35">
        <f t="array" ref="S35">VLOOKUP(Q35&amp;R35,IF({1,0},$B$2:$B$464&amp;$F$2:$F$464,$N$2:$N$464),2,)</f>
        <v>10502</v>
      </c>
      <c r="T35" s="35" t="str">
        <f t="array" ref="T35">VLOOKUP(Q35&amp;R35,IF({1,0},$B$2:$B$464&amp;$F$2:$F$464,$E$2:$E$464),2,)</f>
        <v>工程支持</v>
      </c>
      <c r="U35" s="35">
        <f t="array" ref="U35">VLOOKUP(Q35&amp;R35,IF({1,0},$B$2:$B$464&amp;$F$2:$F$464,$C$2:$C$464),2,)</f>
        <v>51429</v>
      </c>
      <c r="V35" s="35" t="str">
        <f t="array" ref="V35">VLOOKUP(Q35&amp;R35,IF({1,0},$B$2:$B$464&amp;$F$2:$F$464,$D$2:$D$464),2,)</f>
        <v>综合技术室</v>
      </c>
    </row>
    <row r="36" s="35" customFormat="1" customHeight="1" spans="1:22">
      <c r="A36" s="47">
        <f t="shared" si="0"/>
        <v>35</v>
      </c>
      <c r="B36" s="48" t="s">
        <v>305</v>
      </c>
      <c r="C36" s="49">
        <f>IFERROR(VLOOKUP(B36,[1]工程研发事业部人员名单!B:D,2,0),"")</f>
        <v>51389</v>
      </c>
      <c r="D36" s="50" t="str">
        <f>IFERROR(VLOOKUP(B36,[1]工程研发事业部人员名单!B:D,3,0),"")</f>
        <v>系统室</v>
      </c>
      <c r="E36" s="51" t="s">
        <v>174</v>
      </c>
      <c r="F36" s="52">
        <f t="shared" si="1"/>
        <v>5</v>
      </c>
      <c r="G36" s="53">
        <v>5</v>
      </c>
      <c r="H36" s="53"/>
      <c r="I36" s="53"/>
      <c r="J36" s="53"/>
      <c r="K36" s="57" t="s">
        <v>277</v>
      </c>
      <c r="L36" s="57" t="s">
        <v>672</v>
      </c>
      <c r="M36" s="59"/>
      <c r="N36" s="58" t="e">
        <f>VLOOKUP(E36,订单号!B:C,2,0)</f>
        <v>#N/A</v>
      </c>
      <c r="O36" s="35" t="e">
        <f>VLOOKUP(C36,领导干部!B:B,1,0)</f>
        <v>#N/A</v>
      </c>
      <c r="Q36" t="s">
        <v>302</v>
      </c>
      <c r="R36">
        <v>260</v>
      </c>
      <c r="S36" t="e">
        <f t="array" ref="S36">VLOOKUP(Q36&amp;R36,IF({1,0},$B$2:$B$464&amp;$F$2:$F$464,$N$2:$N$464),2,)</f>
        <v>#N/A</v>
      </c>
      <c r="T36" s="35" t="str">
        <f t="array" ref="T36">VLOOKUP(Q36&amp;R36,IF({1,0},$B$2:$B$464&amp;$F$2:$F$464,$E$2:$E$464),2,)</f>
        <v>1号设计（2022年KTB）</v>
      </c>
      <c r="U36" s="35">
        <f t="array" ref="U36">VLOOKUP(Q36&amp;R36,IF({1,0},$B$2:$B$464&amp;$F$2:$F$464,$C$2:$C$464),2,)</f>
        <v>17238</v>
      </c>
      <c r="V36" s="35" t="str">
        <f t="array" ref="V36">VLOOKUP(Q36&amp;R36,IF({1,0},$B$2:$B$464&amp;$F$2:$F$464,$D$2:$D$464),2,)</f>
        <v>结构二室</v>
      </c>
    </row>
    <row r="37" s="35" customFormat="1" customHeight="1" spans="1:22">
      <c r="A37" s="47">
        <f t="shared" si="0"/>
        <v>36</v>
      </c>
      <c r="B37" s="48" t="s">
        <v>338</v>
      </c>
      <c r="C37" s="49">
        <f>IFERROR(VLOOKUP(B37,[1]工程研发事业部人员名单!B:D,2,0),"")</f>
        <v>52156</v>
      </c>
      <c r="D37" s="50" t="str">
        <f>IFERROR(VLOOKUP(B37,[1]工程研发事业部人员名单!B:D,3,0),"")</f>
        <v>系统室</v>
      </c>
      <c r="E37" s="51" t="s">
        <v>174</v>
      </c>
      <c r="F37" s="52">
        <f t="shared" si="1"/>
        <v>150</v>
      </c>
      <c r="G37" s="53">
        <v>150</v>
      </c>
      <c r="H37" s="53"/>
      <c r="I37" s="53"/>
      <c r="J37" s="53"/>
      <c r="K37" s="57" t="s">
        <v>277</v>
      </c>
      <c r="L37" s="57" t="s">
        <v>672</v>
      </c>
      <c r="M37" s="59"/>
      <c r="N37" s="58" t="e">
        <f>VLOOKUP(E37,订单号!B:C,2,0)</f>
        <v>#N/A</v>
      </c>
      <c r="O37" s="35" t="e">
        <f>VLOOKUP(C37,领导干部!B:B,1,0)</f>
        <v>#N/A</v>
      </c>
      <c r="Q37" t="s">
        <v>304</v>
      </c>
      <c r="R37">
        <v>300</v>
      </c>
      <c r="S37" t="e">
        <f t="array" ref="S37">VLOOKUP(Q37&amp;R37,IF({1,0},$B$2:$B$464&amp;$F$2:$F$464,$N$2:$N$464),2,)</f>
        <v>#N/A</v>
      </c>
      <c r="T37" s="35" t="str">
        <f t="array" ref="T37">VLOOKUP(Q37&amp;R37,IF({1,0},$B$2:$B$464&amp;$F$2:$F$464,$E$2:$E$464),2,)</f>
        <v>1号设计（2022年KTB）</v>
      </c>
      <c r="U37" s="35">
        <f t="array" ref="U37">VLOOKUP(Q37&amp;R37,IF({1,0},$B$2:$B$464&amp;$F$2:$F$464,$C$2:$C$464),2,)</f>
        <v>25763</v>
      </c>
      <c r="V37" s="35" t="str">
        <f t="array" ref="V37">VLOOKUP(Q37&amp;R37,IF({1,0},$B$2:$B$464&amp;$F$2:$F$464,$D$2:$D$464),2,)</f>
        <v>结构一室</v>
      </c>
    </row>
    <row r="38" s="35" customFormat="1" customHeight="1" spans="1:22">
      <c r="A38" s="47">
        <f t="shared" si="0"/>
        <v>37</v>
      </c>
      <c r="B38" s="48" t="s">
        <v>267</v>
      </c>
      <c r="C38" s="49">
        <f>IFERROR(VLOOKUP(B38,[1]工程研发事业部人员名单!B:D,2,0),"")</f>
        <v>51624</v>
      </c>
      <c r="D38" s="50" t="str">
        <f>IFERROR(VLOOKUP(B38,[1]工程研发事业部人员名单!B:D,3,0),"")</f>
        <v>结构一室</v>
      </c>
      <c r="E38" s="51" t="s">
        <v>174</v>
      </c>
      <c r="F38" s="52">
        <f t="shared" si="1"/>
        <v>80</v>
      </c>
      <c r="G38" s="53"/>
      <c r="H38" s="53"/>
      <c r="I38" s="53">
        <v>80</v>
      </c>
      <c r="J38" s="53"/>
      <c r="K38" s="57" t="s">
        <v>255</v>
      </c>
      <c r="L38" s="57" t="s">
        <v>673</v>
      </c>
      <c r="M38" s="59"/>
      <c r="N38" s="58" t="e">
        <f>VLOOKUP(E38,订单号!B:C,2,0)</f>
        <v>#N/A</v>
      </c>
      <c r="O38" s="35" t="e">
        <f>VLOOKUP(C38,领导干部!B:B,1,0)</f>
        <v>#N/A</v>
      </c>
      <c r="Q38" t="s">
        <v>307</v>
      </c>
      <c r="R38">
        <v>287.92</v>
      </c>
      <c r="S38">
        <f t="array" ref="S38">VLOOKUP(Q38&amp;R38,IF({1,0},$B$2:$B$464&amp;$F$2:$F$464,$N$2:$N$464),2,)</f>
        <v>10502</v>
      </c>
      <c r="T38" s="35" t="str">
        <f t="array" ref="T38">VLOOKUP(Q38&amp;R38,IF({1,0},$B$2:$B$464&amp;$F$2:$F$464,$E$2:$E$464),2,)</f>
        <v>工程支持</v>
      </c>
      <c r="U38" s="35">
        <f t="array" ref="U38">VLOOKUP(Q38&amp;R38,IF({1,0},$B$2:$B$464&amp;$F$2:$F$464,$C$2:$C$464),2,)</f>
        <v>50019</v>
      </c>
      <c r="V38" s="35" t="str">
        <f t="array" ref="V38">VLOOKUP(Q38&amp;R38,IF({1,0},$B$2:$B$464&amp;$F$2:$F$464,$D$2:$D$464),2,)</f>
        <v>联络工程室</v>
      </c>
    </row>
    <row r="39" s="35" customFormat="1" customHeight="1" spans="1:22">
      <c r="A39" s="47">
        <f t="shared" si="0"/>
        <v>38</v>
      </c>
      <c r="B39" s="48" t="s">
        <v>257</v>
      </c>
      <c r="C39" s="49">
        <f>IFERROR(VLOOKUP(B39,[1]工程研发事业部人员名单!B:D,2,0),"")</f>
        <v>51410</v>
      </c>
      <c r="D39" s="50" t="str">
        <f>IFERROR(VLOOKUP(B39,[1]工程研发事业部人员名单!B:D,3,0),"")</f>
        <v>结构一室</v>
      </c>
      <c r="E39" s="51" t="s">
        <v>174</v>
      </c>
      <c r="F39" s="52">
        <f t="shared" si="1"/>
        <v>170</v>
      </c>
      <c r="G39" s="53"/>
      <c r="H39" s="53"/>
      <c r="I39" s="53">
        <v>170</v>
      </c>
      <c r="J39" s="53"/>
      <c r="K39" s="57" t="s">
        <v>255</v>
      </c>
      <c r="L39" s="57" t="s">
        <v>673</v>
      </c>
      <c r="M39" s="59"/>
      <c r="N39" s="58" t="e">
        <f>VLOOKUP(E39,订单号!B:C,2,0)</f>
        <v>#N/A</v>
      </c>
      <c r="O39" s="35" t="e">
        <f>VLOOKUP(C39,领导干部!B:B,1,0)</f>
        <v>#N/A</v>
      </c>
      <c r="Q39" t="s">
        <v>311</v>
      </c>
      <c r="R39">
        <v>120</v>
      </c>
      <c r="S39" t="e">
        <f t="array" ref="S39">VLOOKUP(Q39&amp;R39,IF({1,0},$B$2:$B$464&amp;$F$2:$F$464,$N$2:$N$464),2,)</f>
        <v>#N/A</v>
      </c>
      <c r="T39" s="35" t="str">
        <f t="array" ref="T39">VLOOKUP(Q39&amp;R39,IF({1,0},$B$2:$B$464&amp;$F$2:$F$464,$E$2:$E$464),2,)</f>
        <v>CR929设计（2022年复材中心）</v>
      </c>
      <c r="U39" s="35">
        <f t="array" ref="U39">VLOOKUP(Q39&amp;R39,IF({1,0},$B$2:$B$464&amp;$F$2:$F$464,$C$2:$C$464),2,)</f>
        <v>51435</v>
      </c>
      <c r="V39" s="35" t="str">
        <f t="array" ref="V39">VLOOKUP(Q39&amp;R39,IF({1,0},$B$2:$B$464&amp;$F$2:$F$464,$D$2:$D$464),2,)</f>
        <v>系统室</v>
      </c>
    </row>
    <row r="40" s="35" customFormat="1" customHeight="1" spans="1:22">
      <c r="A40" s="47">
        <f t="shared" si="0"/>
        <v>39</v>
      </c>
      <c r="B40" s="48" t="s">
        <v>267</v>
      </c>
      <c r="C40" s="49">
        <f>IFERROR(VLOOKUP(B40,[1]工程研发事业部人员名单!B:D,2,0),"")</f>
        <v>51624</v>
      </c>
      <c r="D40" s="50" t="str">
        <f>IFERROR(VLOOKUP(B40,[1]工程研发事业部人员名单!B:D,3,0),"")</f>
        <v>结构一室</v>
      </c>
      <c r="E40" s="51" t="s">
        <v>174</v>
      </c>
      <c r="F40" s="52">
        <f t="shared" si="1"/>
        <v>25</v>
      </c>
      <c r="G40" s="53"/>
      <c r="H40" s="53"/>
      <c r="I40" s="53">
        <v>25</v>
      </c>
      <c r="J40" s="53"/>
      <c r="K40" s="57" t="s">
        <v>255</v>
      </c>
      <c r="L40" s="57" t="s">
        <v>673</v>
      </c>
      <c r="M40" s="59"/>
      <c r="N40" s="58" t="e">
        <f>VLOOKUP(E40,订单号!B:C,2,0)</f>
        <v>#N/A</v>
      </c>
      <c r="O40" s="35" t="e">
        <f>VLOOKUP(C40,领导干部!B:B,1,0)</f>
        <v>#N/A</v>
      </c>
      <c r="Q40" t="s">
        <v>313</v>
      </c>
      <c r="R40">
        <v>280</v>
      </c>
      <c r="S40" t="str">
        <f t="array" ref="S40">VLOOKUP(Q40&amp;R40,IF({1,0},$B$2:$B$464&amp;$F$2:$F$464,$N$2:$N$464),2,)</f>
        <v>YZ40000680</v>
      </c>
      <c r="T40" s="35" t="str">
        <f t="array" ref="T40">VLOOKUP(Q40&amp;R40,IF({1,0},$B$2:$B$464&amp;$F$2:$F$464,$E$2:$E$464),2,)</f>
        <v>C919设计（2022年上飞院）</v>
      </c>
      <c r="U40" s="35">
        <f t="array" ref="U40">VLOOKUP(Q40&amp;R40,IF({1,0},$B$2:$B$464&amp;$F$2:$F$464,$C$2:$C$464),2,)</f>
        <v>23524</v>
      </c>
      <c r="V40" s="35" t="str">
        <f t="array" ref="V40">VLOOKUP(Q40&amp;R40,IF({1,0},$B$2:$B$464&amp;$F$2:$F$464,$D$2:$D$464),2,)</f>
        <v>强度室</v>
      </c>
    </row>
    <row r="41" s="35" customFormat="1" customHeight="1" spans="1:22">
      <c r="A41" s="47">
        <f t="shared" si="0"/>
        <v>40</v>
      </c>
      <c r="B41" s="48" t="s">
        <v>495</v>
      </c>
      <c r="C41" s="49">
        <f>IFERROR(VLOOKUP(B41,[1]工程研发事业部人员名单!B:D,2,0),"")</f>
        <v>52345</v>
      </c>
      <c r="D41" s="50" t="str">
        <f>IFERROR(VLOOKUP(B41,[1]工程研发事业部人员名单!B:D,3,0),"")</f>
        <v>结构一室</v>
      </c>
      <c r="E41" s="51" t="s">
        <v>174</v>
      </c>
      <c r="F41" s="52">
        <f t="shared" si="1"/>
        <v>30</v>
      </c>
      <c r="G41" s="53"/>
      <c r="H41" s="53"/>
      <c r="I41" s="53">
        <v>30</v>
      </c>
      <c r="J41" s="53"/>
      <c r="K41" s="57" t="s">
        <v>255</v>
      </c>
      <c r="L41" s="57" t="s">
        <v>673</v>
      </c>
      <c r="M41" s="59"/>
      <c r="N41" s="58" t="e">
        <f>VLOOKUP(E41,订单号!B:C,2,0)</f>
        <v>#N/A</v>
      </c>
      <c r="O41" s="35" t="e">
        <f>VLOOKUP(C41,领导干部!B:B,1,0)</f>
        <v>#N/A</v>
      </c>
      <c r="Q41" t="s">
        <v>316</v>
      </c>
      <c r="R41">
        <v>393.37</v>
      </c>
      <c r="S41">
        <f t="array" ref="S41">VLOOKUP(Q41&amp;R41,IF({1,0},$B$2:$B$464&amp;$F$2:$F$464,$N$2:$N$464),2,)</f>
        <v>10502</v>
      </c>
      <c r="T41" s="35" t="str">
        <f t="array" ref="T41">VLOOKUP(Q41&amp;R41,IF({1,0},$B$2:$B$464&amp;$F$2:$F$464,$E$2:$E$464),2,)</f>
        <v>工程支持</v>
      </c>
      <c r="U41" s="35">
        <f t="array" ref="U41">VLOOKUP(Q41&amp;R41,IF({1,0},$B$2:$B$464&amp;$F$2:$F$464,$C$2:$C$464),2,)</f>
        <v>50316</v>
      </c>
      <c r="V41" s="35" t="str">
        <f t="array" ref="V41">VLOOKUP(Q41&amp;R41,IF({1,0},$B$2:$B$464&amp;$F$2:$F$464,$D$2:$D$464),2,)</f>
        <v>联络工程室</v>
      </c>
    </row>
    <row r="42" s="35" customFormat="1" customHeight="1" spans="1:22">
      <c r="A42" s="47">
        <f t="shared" si="0"/>
        <v>41</v>
      </c>
      <c r="B42" s="48" t="s">
        <v>355</v>
      </c>
      <c r="C42" s="49">
        <f>IFERROR(VLOOKUP(B42,[1]工程研发事业部人员名单!B:D,2,0),"")</f>
        <v>51844</v>
      </c>
      <c r="D42" s="50" t="str">
        <f>IFERROR(VLOOKUP(B42,[1]工程研发事业部人员名单!B:D,3,0),"")</f>
        <v>结构一室</v>
      </c>
      <c r="E42" s="51" t="s">
        <v>174</v>
      </c>
      <c r="F42" s="52">
        <f t="shared" si="1"/>
        <v>120</v>
      </c>
      <c r="G42" s="53"/>
      <c r="H42" s="53"/>
      <c r="I42" s="53">
        <v>120</v>
      </c>
      <c r="J42" s="53"/>
      <c r="K42" s="57" t="s">
        <v>255</v>
      </c>
      <c r="L42" s="57" t="s">
        <v>673</v>
      </c>
      <c r="M42" s="59"/>
      <c r="N42" s="58" t="e">
        <f>VLOOKUP(E42,订单号!B:C,2,0)</f>
        <v>#N/A</v>
      </c>
      <c r="O42" s="35" t="e">
        <f>VLOOKUP(C42,领导干部!B:B,1,0)</f>
        <v>#N/A</v>
      </c>
      <c r="Q42" t="s">
        <v>318</v>
      </c>
      <c r="R42">
        <v>291.5</v>
      </c>
      <c r="S42">
        <f t="array" ref="S42">VLOOKUP(Q42&amp;R42,IF({1,0},$B$2:$B$464&amp;$F$2:$F$464,$N$2:$N$464),2,)</f>
        <v>10502</v>
      </c>
      <c r="T42" s="35" t="str">
        <f t="array" ref="T42">VLOOKUP(Q42&amp;R42,IF({1,0},$B$2:$B$464&amp;$F$2:$F$464,$E$2:$E$464),2,)</f>
        <v>工程支持</v>
      </c>
      <c r="U42" s="35">
        <f t="array" ref="U42">VLOOKUP(Q42&amp;R42,IF({1,0},$B$2:$B$464&amp;$F$2:$F$464,$C$2:$C$464),2,)</f>
        <v>25603</v>
      </c>
      <c r="V42" s="35" t="str">
        <f t="array" ref="V42">VLOOKUP(Q42&amp;R42,IF({1,0},$B$2:$B$464&amp;$F$2:$F$464,$D$2:$D$464),2,)</f>
        <v>联络工程室</v>
      </c>
    </row>
    <row r="43" s="35" customFormat="1" customHeight="1" spans="1:22">
      <c r="A43" s="47">
        <f t="shared" si="0"/>
        <v>42</v>
      </c>
      <c r="B43" s="48" t="s">
        <v>338</v>
      </c>
      <c r="C43" s="49">
        <f>IFERROR(VLOOKUP(B43,[1]工程研发事业部人员名单!B:D,2,0),"")</f>
        <v>52156</v>
      </c>
      <c r="D43" s="50" t="str">
        <f>IFERROR(VLOOKUP(B43,[1]工程研发事业部人员名单!B:D,3,0),"")</f>
        <v>系统室</v>
      </c>
      <c r="E43" s="51" t="s">
        <v>174</v>
      </c>
      <c r="F43" s="52">
        <f t="shared" si="1"/>
        <v>20</v>
      </c>
      <c r="G43" s="53">
        <v>20</v>
      </c>
      <c r="H43" s="53"/>
      <c r="I43" s="53"/>
      <c r="J43" s="53"/>
      <c r="K43" s="57" t="s">
        <v>277</v>
      </c>
      <c r="L43" s="57" t="s">
        <v>673</v>
      </c>
      <c r="M43" s="59"/>
      <c r="N43" s="58" t="e">
        <f>VLOOKUP(E43,订单号!B:C,2,0)</f>
        <v>#N/A</v>
      </c>
      <c r="O43" s="35" t="e">
        <f>VLOOKUP(C43,领导干部!B:B,1,0)</f>
        <v>#N/A</v>
      </c>
      <c r="Q43" t="s">
        <v>674</v>
      </c>
      <c r="R43">
        <v>160</v>
      </c>
      <c r="S43" t="str">
        <f t="array" ref="S43">VLOOKUP(Q43&amp;R43,IF({1,0},$B$2:$B$464&amp;$F$2:$F$464,$N$2:$N$464),2,)</f>
        <v>YZ40000680</v>
      </c>
      <c r="T43" s="35" t="str">
        <f t="array" ref="T43">VLOOKUP(Q43&amp;R43,IF({1,0},$B$2:$B$464&amp;$F$2:$F$464,$E$2:$E$464),2,)</f>
        <v>C919设计（2022年上飞院）</v>
      </c>
      <c r="U43" s="35">
        <f t="array" ref="U43">VLOOKUP(Q43&amp;R43,IF({1,0},$B$2:$B$464&amp;$F$2:$F$464,$C$2:$C$464),2,)</f>
        <v>51202</v>
      </c>
      <c r="V43" s="35" t="str">
        <f t="array" ref="V43">VLOOKUP(Q43&amp;R43,IF({1,0},$B$2:$B$464&amp;$F$2:$F$464,$D$2:$D$464),2,)</f>
        <v>综合技术室</v>
      </c>
    </row>
    <row r="44" s="35" customFormat="1" customHeight="1" spans="1:22">
      <c r="A44" s="47">
        <f t="shared" si="0"/>
        <v>43</v>
      </c>
      <c r="B44" s="48" t="s">
        <v>490</v>
      </c>
      <c r="C44" s="49">
        <f>IFERROR(VLOOKUP(B44,[1]工程研发事业部人员名单!B:D,2,0),"")</f>
        <v>51763</v>
      </c>
      <c r="D44" s="50" t="str">
        <f>IFERROR(VLOOKUP(B44,[1]工程研发事业部人员名单!B:D,3,0),"")</f>
        <v>强度室</v>
      </c>
      <c r="E44" s="51" t="s">
        <v>174</v>
      </c>
      <c r="F44" s="52">
        <f t="shared" si="1"/>
        <v>100</v>
      </c>
      <c r="G44" s="53"/>
      <c r="H44" s="53"/>
      <c r="I44" s="53">
        <v>100</v>
      </c>
      <c r="J44" s="53"/>
      <c r="K44" s="57" t="s">
        <v>277</v>
      </c>
      <c r="L44" s="57" t="s">
        <v>278</v>
      </c>
      <c r="M44" s="59"/>
      <c r="N44" s="58" t="e">
        <f>VLOOKUP(E44,订单号!B:C,2,0)</f>
        <v>#N/A</v>
      </c>
      <c r="O44" s="35" t="e">
        <f>VLOOKUP(C44,领导干部!B:B,1,0)</f>
        <v>#N/A</v>
      </c>
      <c r="Q44" t="s">
        <v>321</v>
      </c>
      <c r="R44">
        <v>90</v>
      </c>
      <c r="S44" t="e">
        <f t="array" ref="S44">VLOOKUP(Q44&amp;R44,IF({1,0},$B$2:$B$464&amp;$F$2:$F$464,$N$2:$N$464),2,)</f>
        <v>#N/A</v>
      </c>
      <c r="T44" s="35" t="str">
        <f t="array" ref="T44">VLOOKUP(Q44&amp;R44,IF({1,0},$B$2:$B$464&amp;$F$2:$F$464,$E$2:$E$464),2,)</f>
        <v>1号设计（2022年KTB）</v>
      </c>
      <c r="U44" s="35">
        <f t="array" ref="U44">VLOOKUP(Q44&amp;R44,IF({1,0},$B$2:$B$464&amp;$F$2:$F$464,$C$2:$C$464),2,)</f>
        <v>51430</v>
      </c>
      <c r="V44" s="35" t="str">
        <f t="array" ref="V44">VLOOKUP(Q44&amp;R44,IF({1,0},$B$2:$B$464&amp;$F$2:$F$464,$D$2:$D$464),2,)</f>
        <v>系统室</v>
      </c>
    </row>
    <row r="45" s="35" customFormat="1" customHeight="1" spans="1:22">
      <c r="A45" s="47">
        <f t="shared" si="0"/>
        <v>44</v>
      </c>
      <c r="B45" s="48" t="s">
        <v>230</v>
      </c>
      <c r="C45" s="49">
        <f>IFERROR(VLOOKUP(B45,[1]工程研发事业部人员名单!B:D,2,0),"")</f>
        <v>50030</v>
      </c>
      <c r="D45" s="50" t="str">
        <f>IFERROR(VLOOKUP(B45,[1]工程研发事业部人员名单!B:D,3,0),"")</f>
        <v>总体室</v>
      </c>
      <c r="E45" s="51" t="s">
        <v>174</v>
      </c>
      <c r="F45" s="52">
        <f t="shared" si="1"/>
        <v>50</v>
      </c>
      <c r="G45" s="53"/>
      <c r="H45" s="53"/>
      <c r="I45" s="53">
        <v>50</v>
      </c>
      <c r="J45" s="53"/>
      <c r="K45" s="57" t="s">
        <v>277</v>
      </c>
      <c r="L45" s="57" t="s">
        <v>278</v>
      </c>
      <c r="M45" s="59"/>
      <c r="N45" s="58" t="e">
        <f>VLOOKUP(E45,订单号!B:C,2,0)</f>
        <v>#N/A</v>
      </c>
      <c r="O45" s="35" t="e">
        <f>VLOOKUP(C45,领导干部!B:B,1,0)</f>
        <v>#N/A</v>
      </c>
      <c r="Q45" t="s">
        <v>324</v>
      </c>
      <c r="R45">
        <v>65</v>
      </c>
      <c r="S45" t="e">
        <f t="array" ref="S45">VLOOKUP(Q45&amp;R45,IF({1,0},$B$2:$B$464&amp;$F$2:$F$464,$N$2:$N$464),2,)</f>
        <v>#N/A</v>
      </c>
      <c r="T45" s="35" t="str">
        <f t="array" ref="T45">VLOOKUP(Q45&amp;R45,IF({1,0},$B$2:$B$464&amp;$F$2:$F$464,$E$2:$E$464),2,)</f>
        <v>CR929设计（2022年复材中心）</v>
      </c>
      <c r="U45" s="35">
        <f t="array" ref="U45">VLOOKUP(Q45&amp;R45,IF({1,0},$B$2:$B$464&amp;$F$2:$F$464,$C$2:$C$464),2,)</f>
        <v>51860</v>
      </c>
      <c r="V45" s="35" t="str">
        <f t="array" ref="V45">VLOOKUP(Q45&amp;R45,IF({1,0},$B$2:$B$464&amp;$F$2:$F$464,$D$2:$D$464),2,)</f>
        <v>总体室</v>
      </c>
    </row>
    <row r="46" s="35" customFormat="1" customHeight="1" spans="1:22">
      <c r="A46" s="47">
        <f t="shared" si="0"/>
        <v>45</v>
      </c>
      <c r="B46" s="48" t="s">
        <v>670</v>
      </c>
      <c r="C46" s="49">
        <f>IFERROR(VLOOKUP(B46,[1]工程研发事业部人员名单!B:D,2,0),"")</f>
        <v>51200</v>
      </c>
      <c r="D46" s="50" t="str">
        <f>IFERROR(VLOOKUP(B46,[1]工程研发事业部人员名单!B:D,3,0),"")</f>
        <v>强度室</v>
      </c>
      <c r="E46" s="51" t="s">
        <v>174</v>
      </c>
      <c r="F46" s="52">
        <f t="shared" si="1"/>
        <v>50</v>
      </c>
      <c r="G46" s="53"/>
      <c r="H46" s="53"/>
      <c r="I46" s="53">
        <v>50</v>
      </c>
      <c r="J46" s="53"/>
      <c r="K46" s="57" t="s">
        <v>277</v>
      </c>
      <c r="L46" s="57" t="s">
        <v>278</v>
      </c>
      <c r="M46" s="59"/>
      <c r="N46" s="58" t="e">
        <f>VLOOKUP(E46,订单号!B:C,2,0)</f>
        <v>#N/A</v>
      </c>
      <c r="O46" s="35" t="e">
        <f>VLOOKUP(C46,领导干部!B:B,1,0)</f>
        <v>#N/A</v>
      </c>
      <c r="Q46" t="s">
        <v>326</v>
      </c>
      <c r="R46">
        <v>222.9</v>
      </c>
      <c r="S46" t="e">
        <f t="array" ref="S46">VLOOKUP(Q46&amp;R46,IF({1,0},$B$2:$B$464&amp;$F$2:$F$464,$N$2:$N$464),2,)</f>
        <v>#N/A</v>
      </c>
      <c r="T46" s="35" t="str">
        <f t="array" ref="T46">VLOOKUP(Q46&amp;R46,IF({1,0},$B$2:$B$464&amp;$F$2:$F$464,$E$2:$E$464),2,)</f>
        <v>6号设计（2021年）</v>
      </c>
      <c r="U46" s="35">
        <f t="array" ref="U46">VLOOKUP(Q46&amp;R46,IF({1,0},$B$2:$B$464&amp;$F$2:$F$464,$C$2:$C$464),2,)</f>
        <v>52018</v>
      </c>
      <c r="V46" s="35" t="str">
        <f t="array" ref="V46">VLOOKUP(Q46&amp;R46,IF({1,0},$B$2:$B$464&amp;$F$2:$F$464,$D$2:$D$464),2,)</f>
        <v>总体室</v>
      </c>
    </row>
    <row r="47" s="35" customFormat="1" customHeight="1" spans="1:22">
      <c r="A47" s="47">
        <f t="shared" si="0"/>
        <v>46</v>
      </c>
      <c r="B47" s="48" t="s">
        <v>410</v>
      </c>
      <c r="C47" s="49">
        <f>IFERROR(VLOOKUP(B47,[1]工程研发事业部人员名单!B:D,2,0),"")</f>
        <v>51196</v>
      </c>
      <c r="D47" s="50" t="str">
        <f>IFERROR(VLOOKUP(B47,[1]工程研发事业部人员名单!B:D,3,0),"")</f>
        <v>强度室</v>
      </c>
      <c r="E47" s="51" t="s">
        <v>174</v>
      </c>
      <c r="F47" s="52">
        <f t="shared" si="1"/>
        <v>80</v>
      </c>
      <c r="G47" s="53"/>
      <c r="H47" s="53"/>
      <c r="I47" s="53">
        <v>80</v>
      </c>
      <c r="J47" s="53"/>
      <c r="K47" s="57" t="s">
        <v>277</v>
      </c>
      <c r="L47" s="57" t="s">
        <v>278</v>
      </c>
      <c r="M47" s="59"/>
      <c r="N47" s="58" t="e">
        <f>VLOOKUP(E47,订单号!B:C,2,0)</f>
        <v>#N/A</v>
      </c>
      <c r="O47" s="35" t="e">
        <f>VLOOKUP(C47,领导干部!B:B,1,0)</f>
        <v>#N/A</v>
      </c>
      <c r="Q47" t="s">
        <v>332</v>
      </c>
      <c r="R47">
        <v>127</v>
      </c>
      <c r="S47">
        <f t="array" ref="S47">VLOOKUP(Q47&amp;R47,IF({1,0},$B$2:$B$464&amp;$F$2:$F$464,$N$2:$N$464),2,)</f>
        <v>10502</v>
      </c>
      <c r="T47" s="35" t="str">
        <f t="array" ref="T47">VLOOKUP(Q47&amp;R47,IF({1,0},$B$2:$B$464&amp;$F$2:$F$464,$E$2:$E$464),2,)</f>
        <v>工程支持</v>
      </c>
      <c r="U47" s="35">
        <f t="array" ref="U47">VLOOKUP(Q47&amp;R47,IF({1,0},$B$2:$B$464&amp;$F$2:$F$464,$C$2:$C$464),2,)</f>
        <v>51151</v>
      </c>
      <c r="V47" s="35" t="str">
        <f t="array" ref="V47">VLOOKUP(Q47&amp;R47,IF({1,0},$B$2:$B$464&amp;$F$2:$F$464,$D$2:$D$464),2,)</f>
        <v>综合技术室</v>
      </c>
    </row>
    <row r="48" s="35" customFormat="1" customHeight="1" spans="1:22">
      <c r="A48" s="47">
        <f t="shared" si="0"/>
        <v>47</v>
      </c>
      <c r="B48" s="48" t="s">
        <v>270</v>
      </c>
      <c r="C48" s="49">
        <f>IFERROR(VLOOKUP(B48,[1]工程研发事业部人员名单!B:D,2,0),"")</f>
        <v>51615</v>
      </c>
      <c r="D48" s="50" t="str">
        <f>IFERROR(VLOOKUP(B48,[1]工程研发事业部人员名单!B:D,3,0),"")</f>
        <v>结构一室</v>
      </c>
      <c r="E48" s="51" t="s">
        <v>174</v>
      </c>
      <c r="F48" s="52">
        <f t="shared" si="1"/>
        <v>170</v>
      </c>
      <c r="G48" s="53"/>
      <c r="H48" s="53"/>
      <c r="I48" s="53">
        <v>170</v>
      </c>
      <c r="J48" s="53"/>
      <c r="K48" s="57" t="s">
        <v>255</v>
      </c>
      <c r="L48" s="48" t="s">
        <v>675</v>
      </c>
      <c r="M48" s="59"/>
      <c r="N48" s="58" t="e">
        <f>VLOOKUP(E48,订单号!B:C,2,0)</f>
        <v>#N/A</v>
      </c>
      <c r="O48" s="35" t="e">
        <f>VLOOKUP(C48,领导干部!B:B,1,0)</f>
        <v>#N/A</v>
      </c>
      <c r="Q48" t="s">
        <v>335</v>
      </c>
      <c r="R48">
        <v>220</v>
      </c>
      <c r="S48" t="e">
        <f t="array" ref="S48">VLOOKUP(Q48&amp;R48,IF({1,0},$B$2:$B$464&amp;$F$2:$F$464,$N$2:$N$464),2,)</f>
        <v>#N/A</v>
      </c>
      <c r="T48" s="35" t="str">
        <f t="array" ref="T48">VLOOKUP(Q48&amp;R48,IF({1,0},$B$2:$B$464&amp;$F$2:$F$464,$E$2:$E$464),2,)</f>
        <v>1号设计（2022年KTB）</v>
      </c>
      <c r="U48" s="35">
        <f t="array" ref="U48">VLOOKUP(Q48&amp;R48,IF({1,0},$B$2:$B$464&amp;$F$2:$F$464,$C$2:$C$464),2,)</f>
        <v>51641</v>
      </c>
      <c r="V48" s="35" t="str">
        <f t="array" ref="V48">VLOOKUP(Q48&amp;R48,IF({1,0},$B$2:$B$464&amp;$F$2:$F$464,$D$2:$D$464),2,)</f>
        <v>结构二室</v>
      </c>
    </row>
    <row r="49" s="35" customFormat="1" customHeight="1" spans="1:22">
      <c r="A49" s="47">
        <f t="shared" si="0"/>
        <v>48</v>
      </c>
      <c r="B49" s="48" t="s">
        <v>470</v>
      </c>
      <c r="C49" s="49">
        <f>IFERROR(VLOOKUP(B49,[1]工程研发事业部人员名单!B:D,2,0),"")</f>
        <v>52017</v>
      </c>
      <c r="D49" s="50" t="str">
        <f>IFERROR(VLOOKUP(B49,[1]工程研发事业部人员名单!B:D,3,0),"")</f>
        <v>结构一室</v>
      </c>
      <c r="E49" s="51" t="s">
        <v>174</v>
      </c>
      <c r="F49" s="52">
        <f t="shared" si="1"/>
        <v>170</v>
      </c>
      <c r="G49" s="53"/>
      <c r="H49" s="53"/>
      <c r="I49" s="53">
        <v>170</v>
      </c>
      <c r="J49" s="53"/>
      <c r="K49" s="57" t="s">
        <v>255</v>
      </c>
      <c r="L49" s="48" t="s">
        <v>675</v>
      </c>
      <c r="M49" s="59"/>
      <c r="N49" s="58" t="e">
        <f>VLOOKUP(E49,订单号!B:C,2,0)</f>
        <v>#N/A</v>
      </c>
      <c r="O49" s="35" t="e">
        <f>VLOOKUP(C49,领导干部!B:B,1,0)</f>
        <v>#N/A</v>
      </c>
      <c r="Q49" t="s">
        <v>338</v>
      </c>
      <c r="R49">
        <v>150</v>
      </c>
      <c r="S49" t="e">
        <f t="array" ref="S49">VLOOKUP(Q49&amp;R49,IF({1,0},$B$2:$B$464&amp;$F$2:$F$464,$N$2:$N$464),2,)</f>
        <v>#N/A</v>
      </c>
      <c r="T49" s="35" t="str">
        <f t="array" ref="T49">VLOOKUP(Q49&amp;R49,IF({1,0},$B$2:$B$464&amp;$F$2:$F$464,$E$2:$E$464),2,)</f>
        <v>CR929设计（2022年复材中心）</v>
      </c>
      <c r="U49" s="35">
        <f t="array" ref="U49">VLOOKUP(Q49&amp;R49,IF({1,0},$B$2:$B$464&amp;$F$2:$F$464,$C$2:$C$464),2,)</f>
        <v>52156</v>
      </c>
      <c r="V49" s="35" t="str">
        <f t="array" ref="V49">VLOOKUP(Q49&amp;R49,IF({1,0},$B$2:$B$464&amp;$F$2:$F$464,$D$2:$D$464),2,)</f>
        <v>系统室</v>
      </c>
    </row>
    <row r="50" s="35" customFormat="1" customHeight="1" spans="1:22">
      <c r="A50" s="47">
        <f t="shared" si="0"/>
        <v>49</v>
      </c>
      <c r="B50" s="48" t="s">
        <v>236</v>
      </c>
      <c r="C50" s="49">
        <f>IFERROR(VLOOKUP(B50,[1]工程研发事业部人员名单!B:D,2,0),"")</f>
        <v>51211</v>
      </c>
      <c r="D50" s="50" t="str">
        <f>IFERROR(VLOOKUP(B50,[1]工程研发事业部人员名单!B:D,3,0),"")</f>
        <v>结构一室</v>
      </c>
      <c r="E50" s="51" t="s">
        <v>174</v>
      </c>
      <c r="F50" s="52">
        <f t="shared" si="1"/>
        <v>220</v>
      </c>
      <c r="G50" s="53"/>
      <c r="H50" s="53"/>
      <c r="I50" s="53">
        <v>220</v>
      </c>
      <c r="J50" s="53"/>
      <c r="K50" s="57" t="s">
        <v>255</v>
      </c>
      <c r="L50" s="48" t="s">
        <v>675</v>
      </c>
      <c r="M50" s="59"/>
      <c r="N50" s="58" t="e">
        <f>VLOOKUP(E50,订单号!B:C,2,0)</f>
        <v>#N/A</v>
      </c>
      <c r="O50" s="35" t="e">
        <f>VLOOKUP(C50,领导干部!B:B,1,0)</f>
        <v>#N/A</v>
      </c>
      <c r="Q50" t="s">
        <v>341</v>
      </c>
      <c r="R50">
        <v>180</v>
      </c>
      <c r="S50" t="e">
        <f t="array" ref="S50">VLOOKUP(Q50&amp;R50,IF({1,0},$B$2:$B$464&amp;$F$2:$F$464,$N$2:$N$464),2,)</f>
        <v>#N/A</v>
      </c>
      <c r="T50" s="35" t="str">
        <f t="array" ref="T50">VLOOKUP(Q50&amp;R50,IF({1,0},$B$2:$B$464&amp;$F$2:$F$464,$E$2:$E$464),2,)</f>
        <v>C919设计（2021年上飞院）</v>
      </c>
      <c r="U50" s="35">
        <f t="array" ref="U50">VLOOKUP(Q50&amp;R50,IF({1,0},$B$2:$B$464&amp;$F$2:$F$464,$C$2:$C$464),2,)</f>
        <v>51793</v>
      </c>
      <c r="V50" s="35" t="str">
        <f t="array" ref="V50">VLOOKUP(Q50&amp;R50,IF({1,0},$B$2:$B$464&amp;$F$2:$F$464,$D$2:$D$464),2,)</f>
        <v>强度室</v>
      </c>
    </row>
    <row r="51" s="35" customFormat="1" customHeight="1" spans="1:22">
      <c r="A51" s="47">
        <f t="shared" si="0"/>
        <v>50</v>
      </c>
      <c r="B51" s="48" t="s">
        <v>230</v>
      </c>
      <c r="C51" s="49">
        <f>IFERROR(VLOOKUP(B51,[1]工程研发事业部人员名单!B:D,2,0),"")</f>
        <v>50030</v>
      </c>
      <c r="D51" s="50" t="str">
        <f>IFERROR(VLOOKUP(B51,[1]工程研发事业部人员名单!B:D,3,0),"")</f>
        <v>总体室</v>
      </c>
      <c r="E51" s="51" t="s">
        <v>174</v>
      </c>
      <c r="F51" s="52">
        <f t="shared" si="1"/>
        <v>50</v>
      </c>
      <c r="G51" s="53"/>
      <c r="H51" s="53"/>
      <c r="I51" s="53">
        <v>50</v>
      </c>
      <c r="J51" s="53"/>
      <c r="K51" s="57" t="s">
        <v>277</v>
      </c>
      <c r="L51" s="57" t="s">
        <v>675</v>
      </c>
      <c r="M51" s="59"/>
      <c r="N51" s="58" t="e">
        <f>VLOOKUP(E51,订单号!B:C,2,0)</f>
        <v>#N/A</v>
      </c>
      <c r="O51" s="35" t="e">
        <f>VLOOKUP(C51,领导干部!B:B,1,0)</f>
        <v>#N/A</v>
      </c>
      <c r="Q51" t="s">
        <v>339</v>
      </c>
      <c r="R51">
        <v>220</v>
      </c>
      <c r="S51" t="str">
        <f t="array" ref="S51">VLOOKUP(Q51&amp;R51,IF({1,0},$B$2:$B$464&amp;$F$2:$F$464,$N$2:$N$464),2,)</f>
        <v>YZ40000680</v>
      </c>
      <c r="T51" s="35" t="str">
        <f t="array" ref="T51">VLOOKUP(Q51&amp;R51,IF({1,0},$B$2:$B$464&amp;$F$2:$F$464,$E$2:$E$464),2,)</f>
        <v>C919设计（2022年上飞院）</v>
      </c>
      <c r="U51" s="35">
        <f t="array" ref="U51">VLOOKUP(Q51&amp;R51,IF({1,0},$B$2:$B$464&amp;$F$2:$F$464,$C$2:$C$464),2,)</f>
        <v>50874</v>
      </c>
      <c r="V51" s="35" t="str">
        <f t="array" ref="V51">VLOOKUP(Q51&amp;R51,IF({1,0},$B$2:$B$464&amp;$F$2:$F$464,$D$2:$D$464),2,)</f>
        <v>总体室</v>
      </c>
    </row>
    <row r="52" s="35" customFormat="1" customHeight="1" spans="1:22">
      <c r="A52" s="47">
        <f t="shared" si="0"/>
        <v>51</v>
      </c>
      <c r="B52" s="48" t="s">
        <v>272</v>
      </c>
      <c r="C52" s="49">
        <f>IFERROR(VLOOKUP(B52,[1]工程研发事业部人员名单!B:D,2,0),"")</f>
        <v>50730</v>
      </c>
      <c r="D52" s="50" t="str">
        <f>IFERROR(VLOOKUP(B52,[1]工程研发事业部人员名单!B:D,3,0),"")</f>
        <v>结构一室</v>
      </c>
      <c r="E52" s="51" t="s">
        <v>174</v>
      </c>
      <c r="F52" s="52">
        <f t="shared" si="1"/>
        <v>60</v>
      </c>
      <c r="G52" s="53"/>
      <c r="H52" s="53"/>
      <c r="I52" s="53">
        <v>60</v>
      </c>
      <c r="J52" s="53"/>
      <c r="K52" s="57" t="s">
        <v>255</v>
      </c>
      <c r="L52" s="57" t="s">
        <v>676</v>
      </c>
      <c r="M52" s="59"/>
      <c r="N52" s="58" t="e">
        <f>VLOOKUP(E52,订单号!B:C,2,0)</f>
        <v>#N/A</v>
      </c>
      <c r="O52" s="35" t="e">
        <f>VLOOKUP(C52,领导干部!B:B,1,0)</f>
        <v>#N/A</v>
      </c>
      <c r="Q52" t="s">
        <v>346</v>
      </c>
      <c r="R52">
        <v>80</v>
      </c>
      <c r="S52" t="e">
        <f t="array" ref="S52">VLOOKUP(Q52&amp;R52,IF({1,0},$B$2:$B$464&amp;$F$2:$F$464,$N$2:$N$464),2,)</f>
        <v>#N/A</v>
      </c>
      <c r="T52" s="35" t="str">
        <f t="array" ref="T52">VLOOKUP(Q52&amp;R52,IF({1,0},$B$2:$B$464&amp;$F$2:$F$464,$E$2:$E$464),2,)</f>
        <v>1号设计（2022年KTB）</v>
      </c>
      <c r="U52" s="35">
        <f t="array" ref="U52">VLOOKUP(Q52&amp;R52,IF({1,0},$B$2:$B$464&amp;$F$2:$F$464,$C$2:$C$464),2,)</f>
        <v>52130</v>
      </c>
      <c r="V52" s="35" t="str">
        <f t="array" ref="V52">VLOOKUP(Q52&amp;R52,IF({1,0},$B$2:$B$464&amp;$F$2:$F$464,$D$2:$D$464),2,)</f>
        <v>强度室</v>
      </c>
    </row>
    <row r="53" s="35" customFormat="1" customHeight="1" spans="1:22">
      <c r="A53" s="47">
        <f t="shared" si="0"/>
        <v>52</v>
      </c>
      <c r="B53" s="48" t="s">
        <v>246</v>
      </c>
      <c r="C53" s="49">
        <f>IFERROR(VLOOKUP(B53,[1]工程研发事业部人员名单!B:D,2,0),"")</f>
        <v>51183</v>
      </c>
      <c r="D53" s="50" t="str">
        <f>IFERROR(VLOOKUP(B53,[1]工程研发事业部人员名单!B:D,3,0),"")</f>
        <v>结构一室</v>
      </c>
      <c r="E53" s="51" t="s">
        <v>174</v>
      </c>
      <c r="F53" s="52">
        <f t="shared" si="1"/>
        <v>75</v>
      </c>
      <c r="G53" s="53"/>
      <c r="H53" s="53"/>
      <c r="I53" s="53">
        <v>75</v>
      </c>
      <c r="J53" s="53"/>
      <c r="K53" s="57" t="s">
        <v>255</v>
      </c>
      <c r="L53" s="57" t="s">
        <v>676</v>
      </c>
      <c r="M53" s="59"/>
      <c r="N53" s="58" t="e">
        <f>VLOOKUP(E53,订单号!B:C,2,0)</f>
        <v>#N/A</v>
      </c>
      <c r="O53" s="35" t="e">
        <f>VLOOKUP(C53,领导干部!B:B,1,0)</f>
        <v>#N/A</v>
      </c>
      <c r="Q53" t="s">
        <v>451</v>
      </c>
      <c r="R53">
        <v>150</v>
      </c>
      <c r="S53">
        <f t="array" ref="S53">VLOOKUP(Q53&amp;R53,IF({1,0},$B$2:$B$464&amp;$F$2:$F$464,$N$2:$N$464),2,)</f>
        <v>10502</v>
      </c>
      <c r="T53" s="35" t="str">
        <f t="array" ref="T53">VLOOKUP(Q53&amp;R53,IF({1,0},$B$2:$B$464&amp;$F$2:$F$464,$E$2:$E$464),2,)</f>
        <v>工程支持</v>
      </c>
      <c r="U53" s="35">
        <f t="array" ref="U53">VLOOKUP(Q53&amp;R53,IF({1,0},$B$2:$B$464&amp;$F$2:$F$464,$C$2:$C$464),2,)</f>
        <v>50245</v>
      </c>
      <c r="V53" s="35" t="str">
        <f t="array" ref="V53">VLOOKUP(Q53&amp;R53,IF({1,0},$B$2:$B$464&amp;$F$2:$F$464,$D$2:$D$464),2,)</f>
        <v>综合技术室</v>
      </c>
    </row>
    <row r="54" s="35" customFormat="1" customHeight="1" spans="1:22">
      <c r="A54" s="47">
        <f t="shared" si="0"/>
        <v>53</v>
      </c>
      <c r="B54" s="48" t="s">
        <v>472</v>
      </c>
      <c r="C54" s="49">
        <f>IFERROR(VLOOKUP(B54,[1]工程研发事业部人员名单!B:D,2,0),"")</f>
        <v>51165</v>
      </c>
      <c r="D54" s="50" t="str">
        <f>IFERROR(VLOOKUP(B54,[1]工程研发事业部人员名单!B:D,3,0),"")</f>
        <v>结构一室</v>
      </c>
      <c r="E54" s="51" t="s">
        <v>174</v>
      </c>
      <c r="F54" s="52">
        <f t="shared" si="1"/>
        <v>50</v>
      </c>
      <c r="G54" s="53"/>
      <c r="H54" s="53"/>
      <c r="I54" s="53">
        <v>50</v>
      </c>
      <c r="J54" s="53"/>
      <c r="K54" s="57" t="s">
        <v>255</v>
      </c>
      <c r="L54" s="57" t="s">
        <v>677</v>
      </c>
      <c r="M54" s="59"/>
      <c r="N54" s="58" t="e">
        <f>VLOOKUP(E54,订单号!B:C,2,0)</f>
        <v>#N/A</v>
      </c>
      <c r="O54" s="35" t="e">
        <f>VLOOKUP(C54,领导干部!B:B,1,0)</f>
        <v>#N/A</v>
      </c>
      <c r="Q54" t="s">
        <v>441</v>
      </c>
      <c r="R54">
        <v>2</v>
      </c>
      <c r="S54">
        <f t="array" ref="S54">VLOOKUP(Q54&amp;R54,IF({1,0},$B$2:$B$464&amp;$F$2:$F$464,$N$2:$N$464),2,)</f>
        <v>10502</v>
      </c>
      <c r="T54" s="35" t="str">
        <f t="array" ref="T54">VLOOKUP(Q54&amp;R54,IF({1,0},$B$2:$B$464&amp;$F$2:$F$464,$E$2:$E$464),2,)</f>
        <v>工程支持</v>
      </c>
      <c r="U54" s="35">
        <f t="array" ref="U54">VLOOKUP(Q54&amp;R54,IF({1,0},$B$2:$B$464&amp;$F$2:$F$464,$C$2:$C$464),2,)</f>
        <v>50709</v>
      </c>
      <c r="V54" s="35" t="str">
        <f t="array" ref="V54">VLOOKUP(Q54&amp;R54,IF({1,0},$B$2:$B$464&amp;$F$2:$F$464,$D$2:$D$464),2,)</f>
        <v>系统室</v>
      </c>
    </row>
    <row r="55" s="35" customFormat="1" customHeight="1" spans="1:22">
      <c r="A55" s="47">
        <f t="shared" si="0"/>
        <v>54</v>
      </c>
      <c r="B55" s="48" t="s">
        <v>357</v>
      </c>
      <c r="C55" s="49">
        <f>IFERROR(VLOOKUP(B55,[1]工程研发事业部人员名单!B:D,2,0),"")</f>
        <v>51781</v>
      </c>
      <c r="D55" s="50" t="str">
        <f>IFERROR(VLOOKUP(B55,[1]工程研发事业部人员名单!B:D,3,0),"")</f>
        <v>结构一室</v>
      </c>
      <c r="E55" s="51" t="s">
        <v>174</v>
      </c>
      <c r="F55" s="52">
        <f t="shared" si="1"/>
        <v>40</v>
      </c>
      <c r="G55" s="53"/>
      <c r="H55" s="53"/>
      <c r="I55" s="53">
        <v>40</v>
      </c>
      <c r="J55" s="53"/>
      <c r="K55" s="57" t="s">
        <v>255</v>
      </c>
      <c r="L55" s="57" t="s">
        <v>677</v>
      </c>
      <c r="M55" s="59"/>
      <c r="N55" s="58" t="e">
        <f>VLOOKUP(E55,订单号!B:C,2,0)</f>
        <v>#N/A</v>
      </c>
      <c r="O55" s="35" t="e">
        <f>VLOOKUP(C55,领导干部!B:B,1,0)</f>
        <v>#N/A</v>
      </c>
      <c r="Q55" t="s">
        <v>292</v>
      </c>
      <c r="R55">
        <v>123</v>
      </c>
      <c r="S55" t="e">
        <f t="array" ref="S55">VLOOKUP(Q55&amp;R55,IF({1,0},$B$2:$B$464&amp;$F$2:$F$464,$N$2:$N$464),2,)</f>
        <v>#N/A</v>
      </c>
      <c r="T55" s="35" t="str">
        <f t="array" ref="T55">VLOOKUP(Q55&amp;R55,IF({1,0},$B$2:$B$464&amp;$F$2:$F$464,$E$2:$E$464),2,)</f>
        <v>6号设计（2021年）</v>
      </c>
      <c r="U55" s="35">
        <f t="array" ref="U55">VLOOKUP(Q55&amp;R55,IF({1,0},$B$2:$B$464&amp;$F$2:$F$464,$C$2:$C$464),2,)</f>
        <v>51385</v>
      </c>
      <c r="V55" s="35" t="str">
        <f t="array" ref="V55">VLOOKUP(Q55&amp;R55,IF({1,0},$B$2:$B$464&amp;$F$2:$F$464,$D$2:$D$464),2,)</f>
        <v>系统室</v>
      </c>
    </row>
    <row r="56" s="35" customFormat="1" customHeight="1" spans="1:22">
      <c r="A56" s="47">
        <f t="shared" si="0"/>
        <v>55</v>
      </c>
      <c r="B56" s="48" t="s">
        <v>234</v>
      </c>
      <c r="C56" s="49">
        <f>IFERROR(VLOOKUP(B56,[1]工程研发事业部人员名单!B:D,2,0),"")</f>
        <v>50281</v>
      </c>
      <c r="D56" s="50" t="str">
        <f>IFERROR(VLOOKUP(B56,[1]工程研发事业部人员名单!B:D,3,0),"")</f>
        <v>结构一室</v>
      </c>
      <c r="E56" s="51" t="s">
        <v>173</v>
      </c>
      <c r="F56" s="52">
        <f t="shared" si="1"/>
        <v>340</v>
      </c>
      <c r="G56" s="53"/>
      <c r="H56" s="53"/>
      <c r="I56" s="53">
        <v>340</v>
      </c>
      <c r="J56" s="53"/>
      <c r="K56" s="57" t="s">
        <v>255</v>
      </c>
      <c r="L56" s="57" t="s">
        <v>678</v>
      </c>
      <c r="M56" s="59"/>
      <c r="N56" s="58" t="e">
        <f>VLOOKUP(E56,订单号!B:C,2,0)</f>
        <v>#N/A</v>
      </c>
      <c r="O56" s="35" t="e">
        <f>VLOOKUP(C56,领导干部!B:B,1,0)</f>
        <v>#N/A</v>
      </c>
      <c r="Q56" t="s">
        <v>351</v>
      </c>
      <c r="R56">
        <v>200</v>
      </c>
      <c r="S56" t="e">
        <f t="array" ref="S56">VLOOKUP(Q56&amp;R56,IF({1,0},$B$2:$B$464&amp;$F$2:$F$464,$N$2:$N$464),2,)</f>
        <v>#N/A</v>
      </c>
      <c r="T56" s="35" t="str">
        <f t="array" ref="T56">VLOOKUP(Q56&amp;R56,IF({1,0},$B$2:$B$464&amp;$F$2:$F$464,$E$2:$E$464),2,)</f>
        <v>1号设计（2022年KTB）</v>
      </c>
      <c r="U56" s="35">
        <f t="array" ref="U56">VLOOKUP(Q56&amp;R56,IF({1,0},$B$2:$B$464&amp;$F$2:$F$464,$C$2:$C$464),2,)</f>
        <v>51190</v>
      </c>
      <c r="V56" s="35" t="str">
        <f t="array" ref="V56">VLOOKUP(Q56&amp;R56,IF({1,0},$B$2:$B$464&amp;$F$2:$F$464,$D$2:$D$464),2,)</f>
        <v>结构二室</v>
      </c>
    </row>
    <row r="57" s="35" customFormat="1" customHeight="1" spans="1:22">
      <c r="A57" s="47">
        <f t="shared" si="0"/>
        <v>56</v>
      </c>
      <c r="B57" s="48" t="s">
        <v>477</v>
      </c>
      <c r="C57" s="49">
        <f>IFERROR(VLOOKUP(B57,[1]工程研发事业部人员名单!B:D,2,0),"")</f>
        <v>52063</v>
      </c>
      <c r="D57" s="50" t="str">
        <f>IFERROR(VLOOKUP(B57,[1]工程研发事业部人员名单!B:D,3,0),"")</f>
        <v>结构一室</v>
      </c>
      <c r="E57" s="51" t="s">
        <v>173</v>
      </c>
      <c r="F57" s="52">
        <f t="shared" si="1"/>
        <v>320</v>
      </c>
      <c r="G57" s="53"/>
      <c r="H57" s="53"/>
      <c r="I57" s="53">
        <v>320</v>
      </c>
      <c r="J57" s="53"/>
      <c r="K57" s="57" t="s">
        <v>255</v>
      </c>
      <c r="L57" s="57" t="s">
        <v>678</v>
      </c>
      <c r="M57" s="59"/>
      <c r="N57" s="58" t="e">
        <f>VLOOKUP(E57,订单号!B:C,2,0)</f>
        <v>#N/A</v>
      </c>
      <c r="O57" s="35" t="e">
        <f>VLOOKUP(C57,领导干部!B:B,1,0)</f>
        <v>#N/A</v>
      </c>
      <c r="Q57" t="s">
        <v>353</v>
      </c>
      <c r="R57">
        <v>326.1</v>
      </c>
      <c r="S57">
        <f t="array" ref="S57">VLOOKUP(Q57&amp;R57,IF({1,0},$B$2:$B$464&amp;$F$2:$F$464,$N$2:$N$464),2,)</f>
        <v>10502</v>
      </c>
      <c r="T57" s="35" t="str">
        <f t="array" ref="T57">VLOOKUP(Q57&amp;R57,IF({1,0},$B$2:$B$464&amp;$F$2:$F$464,$E$2:$E$464),2,)</f>
        <v>工程支持</v>
      </c>
      <c r="U57" s="35">
        <f t="array" ref="U57">VLOOKUP(Q57&amp;R57,IF({1,0},$B$2:$B$464&amp;$F$2:$F$464,$C$2:$C$464),2,)</f>
        <v>51395</v>
      </c>
      <c r="V57" s="35" t="str">
        <f t="array" ref="V57">VLOOKUP(Q57&amp;R57,IF({1,0},$B$2:$B$464&amp;$F$2:$F$464,$D$2:$D$464),2,)</f>
        <v>联络工程室</v>
      </c>
    </row>
    <row r="58" s="35" customFormat="1" customHeight="1" spans="1:22">
      <c r="A58" s="47">
        <f t="shared" si="0"/>
        <v>57</v>
      </c>
      <c r="B58" s="48" t="s">
        <v>459</v>
      </c>
      <c r="C58" s="49">
        <f>IFERROR(VLOOKUP(B58,[1]工程研发事业部人员名单!B:D,2,0),"")</f>
        <v>51400</v>
      </c>
      <c r="D58" s="50" t="str">
        <f>IFERROR(VLOOKUP(B58,[1]工程研发事业部人员名单!B:D,3,0),"")</f>
        <v>结构一室</v>
      </c>
      <c r="E58" s="51" t="s">
        <v>173</v>
      </c>
      <c r="F58" s="52">
        <f t="shared" si="1"/>
        <v>245</v>
      </c>
      <c r="G58" s="53"/>
      <c r="H58" s="53"/>
      <c r="I58" s="53">
        <v>245</v>
      </c>
      <c r="J58" s="53"/>
      <c r="K58" s="57" t="s">
        <v>255</v>
      </c>
      <c r="L58" s="57" t="s">
        <v>678</v>
      </c>
      <c r="M58" s="59"/>
      <c r="N58" s="58" t="e">
        <f>VLOOKUP(E58,订单号!B:C,2,0)</f>
        <v>#N/A</v>
      </c>
      <c r="O58" s="35" t="e">
        <f>VLOOKUP(C58,领导干部!B:B,1,0)</f>
        <v>#N/A</v>
      </c>
      <c r="Q58" t="s">
        <v>355</v>
      </c>
      <c r="R58">
        <v>120</v>
      </c>
      <c r="S58" t="e">
        <f t="array" ref="S58">VLOOKUP(Q58&amp;R58,IF({1,0},$B$2:$B$464&amp;$F$2:$F$464,$N$2:$N$464),2,)</f>
        <v>#N/A</v>
      </c>
      <c r="T58" s="35" t="str">
        <f t="array" ref="T58">VLOOKUP(Q58&amp;R58,IF({1,0},$B$2:$B$464&amp;$F$2:$F$464,$E$2:$E$464),2,)</f>
        <v>CR929设计（2022年复材中心）</v>
      </c>
      <c r="U58" s="35">
        <f t="array" ref="U58">VLOOKUP(Q58&amp;R58,IF({1,0},$B$2:$B$464&amp;$F$2:$F$464,$C$2:$C$464),2,)</f>
        <v>51844</v>
      </c>
      <c r="V58" s="35" t="str">
        <f t="array" ref="V58">VLOOKUP(Q58&amp;R58,IF({1,0},$B$2:$B$464&amp;$F$2:$F$464,$D$2:$D$464),2,)</f>
        <v>结构一室</v>
      </c>
    </row>
    <row r="59" s="35" customFormat="1" customHeight="1" spans="1:22">
      <c r="A59" s="47">
        <f t="shared" si="0"/>
        <v>58</v>
      </c>
      <c r="B59" s="48" t="s">
        <v>266</v>
      </c>
      <c r="C59" s="49">
        <f>IFERROR(VLOOKUP(B59,[1]工程研发事业部人员名单!B:D,2,0),"")</f>
        <v>50275</v>
      </c>
      <c r="D59" s="50" t="str">
        <f>IFERROR(VLOOKUP(B59,[1]工程研发事业部人员名单!B:D,3,0),"")</f>
        <v>结构一室</v>
      </c>
      <c r="E59" s="51" t="s">
        <v>173</v>
      </c>
      <c r="F59" s="52">
        <f t="shared" si="1"/>
        <v>50</v>
      </c>
      <c r="G59" s="53"/>
      <c r="H59" s="53"/>
      <c r="I59" s="53">
        <v>50</v>
      </c>
      <c r="J59" s="53"/>
      <c r="K59" s="57" t="s">
        <v>255</v>
      </c>
      <c r="L59" s="57" t="s">
        <v>679</v>
      </c>
      <c r="M59" s="59"/>
      <c r="N59" s="58" t="e">
        <f>VLOOKUP(E59,订单号!B:C,2,0)</f>
        <v>#N/A</v>
      </c>
      <c r="O59" s="35" t="e">
        <f>VLOOKUP(C59,领导干部!B:B,1,0)</f>
        <v>#N/A</v>
      </c>
      <c r="Q59" t="s">
        <v>357</v>
      </c>
      <c r="R59">
        <v>211.5</v>
      </c>
      <c r="S59" t="str">
        <f t="array" ref="S59">VLOOKUP(Q59&amp;R59,IF({1,0},$B$2:$B$464&amp;$F$2:$F$464,$N$2:$N$464),2,)</f>
        <v>YZ40000680</v>
      </c>
      <c r="T59" s="35" t="str">
        <f t="array" ref="T59">VLOOKUP(Q59&amp;R59,IF({1,0},$B$2:$B$464&amp;$F$2:$F$464,$E$2:$E$464),2,)</f>
        <v>C919设计（2022年上飞院）</v>
      </c>
      <c r="U59" s="35">
        <f t="array" ref="U59">VLOOKUP(Q59&amp;R59,IF({1,0},$B$2:$B$464&amp;$F$2:$F$464,$C$2:$C$464),2,)</f>
        <v>51781</v>
      </c>
      <c r="V59" s="35" t="str">
        <f t="array" ref="V59">VLOOKUP(Q59&amp;R59,IF({1,0},$B$2:$B$464&amp;$F$2:$F$464,$D$2:$D$464),2,)</f>
        <v>结构一室</v>
      </c>
    </row>
    <row r="60" s="35" customFormat="1" customHeight="1" spans="1:22">
      <c r="A60" s="47">
        <f t="shared" si="0"/>
        <v>59</v>
      </c>
      <c r="B60" s="48" t="s">
        <v>477</v>
      </c>
      <c r="C60" s="49">
        <f>IFERROR(VLOOKUP(B60,[1]工程研发事业部人员名单!B:D,2,0),"")</f>
        <v>52063</v>
      </c>
      <c r="D60" s="50" t="str">
        <f>IFERROR(VLOOKUP(B60,[1]工程研发事业部人员名单!B:D,3,0),"")</f>
        <v>结构一室</v>
      </c>
      <c r="E60" s="51" t="s">
        <v>173</v>
      </c>
      <c r="F60" s="52">
        <f t="shared" si="1"/>
        <v>10</v>
      </c>
      <c r="G60" s="53"/>
      <c r="H60" s="53"/>
      <c r="I60" s="53">
        <v>10</v>
      </c>
      <c r="J60" s="53"/>
      <c r="K60" s="57" t="s">
        <v>255</v>
      </c>
      <c r="L60" s="57" t="s">
        <v>679</v>
      </c>
      <c r="M60" s="59"/>
      <c r="N60" s="58" t="e">
        <f>VLOOKUP(E60,订单号!B:C,2,0)</f>
        <v>#N/A</v>
      </c>
      <c r="O60" s="35" t="e">
        <f>VLOOKUP(C60,领导干部!B:B,1,0)</f>
        <v>#N/A</v>
      </c>
      <c r="Q60" t="s">
        <v>322</v>
      </c>
      <c r="R60">
        <v>300</v>
      </c>
      <c r="S60" t="e">
        <f t="array" ref="S60">VLOOKUP(Q60&amp;R60,IF({1,0},$B$2:$B$464&amp;$F$2:$F$464,$N$2:$N$464),2,)</f>
        <v>#N/A</v>
      </c>
      <c r="T60" s="35" t="str">
        <f t="array" ref="T60">VLOOKUP(Q60&amp;R60,IF({1,0},$B$2:$B$464&amp;$F$2:$F$464,$E$2:$E$464),2,)</f>
        <v>1号设计（2022年KTB）</v>
      </c>
      <c r="U60" s="35">
        <f t="array" ref="U60">VLOOKUP(Q60&amp;R60,IF({1,0},$B$2:$B$464&amp;$F$2:$F$464,$C$2:$C$464),2,)</f>
        <v>51186</v>
      </c>
      <c r="V60" s="35" t="str">
        <f t="array" ref="V60">VLOOKUP(Q60&amp;R60,IF({1,0},$B$2:$B$464&amp;$F$2:$F$464,$D$2:$D$464),2,)</f>
        <v>结构二室</v>
      </c>
    </row>
    <row r="61" s="35" customFormat="1" customHeight="1" spans="1:22">
      <c r="A61" s="47">
        <f t="shared" si="0"/>
        <v>60</v>
      </c>
      <c r="B61" s="48" t="s">
        <v>472</v>
      </c>
      <c r="C61" s="49">
        <f>IFERROR(VLOOKUP(B61,[1]工程研发事业部人员名单!B:D,2,0),"")</f>
        <v>51165</v>
      </c>
      <c r="D61" s="50" t="str">
        <f>IFERROR(VLOOKUP(B61,[1]工程研发事业部人员名单!B:D,3,0),"")</f>
        <v>结构一室</v>
      </c>
      <c r="E61" s="51" t="s">
        <v>173</v>
      </c>
      <c r="F61" s="52">
        <f t="shared" si="1"/>
        <v>150</v>
      </c>
      <c r="G61" s="53"/>
      <c r="H61" s="53"/>
      <c r="I61" s="53">
        <v>150</v>
      </c>
      <c r="J61" s="53"/>
      <c r="K61" s="57" t="s">
        <v>255</v>
      </c>
      <c r="L61" s="57" t="s">
        <v>680</v>
      </c>
      <c r="M61" s="59"/>
      <c r="N61" s="58" t="e">
        <f>VLOOKUP(E61,订单号!B:C,2,0)</f>
        <v>#N/A</v>
      </c>
      <c r="O61" s="35" t="e">
        <f>VLOOKUP(C61,领导干部!B:B,1,0)</f>
        <v>#N/A</v>
      </c>
      <c r="Q61" t="s">
        <v>360</v>
      </c>
      <c r="R61">
        <v>115</v>
      </c>
      <c r="S61" t="e">
        <f t="array" ref="S61">VLOOKUP(Q61&amp;R61,IF({1,0},$B$2:$B$464&amp;$F$2:$F$464,$N$2:$N$464),2,)</f>
        <v>#N/A</v>
      </c>
      <c r="T61" s="35" t="str">
        <f t="array" ref="T61">VLOOKUP(Q61&amp;R61,IF({1,0},$B$2:$B$464&amp;$F$2:$F$464,$E$2:$E$464),2,)</f>
        <v>6号设计（2021年）</v>
      </c>
      <c r="U61" s="35">
        <f t="array" ref="U61">VLOOKUP(Q61&amp;R61,IF({1,0},$B$2:$B$464&amp;$F$2:$F$464,$C$2:$C$464),2,)</f>
        <v>50713</v>
      </c>
      <c r="V61" s="35" t="str">
        <f t="array" ref="V61">VLOOKUP(Q61&amp;R61,IF({1,0},$B$2:$B$464&amp;$F$2:$F$464,$D$2:$D$464),2,)</f>
        <v>系统室</v>
      </c>
    </row>
    <row r="62" s="35" customFormat="1" customHeight="1" spans="1:22">
      <c r="A62" s="47">
        <f t="shared" si="0"/>
        <v>61</v>
      </c>
      <c r="B62" s="48" t="s">
        <v>246</v>
      </c>
      <c r="C62" s="49">
        <f>IFERROR(VLOOKUP(B62,[1]工程研发事业部人员名单!B:D,2,0),"")</f>
        <v>51183</v>
      </c>
      <c r="D62" s="50" t="str">
        <f>IFERROR(VLOOKUP(B62,[1]工程研发事业部人员名单!B:D,3,0),"")</f>
        <v>结构一室</v>
      </c>
      <c r="E62" s="51" t="s">
        <v>173</v>
      </c>
      <c r="F62" s="52">
        <f t="shared" si="1"/>
        <v>0</v>
      </c>
      <c r="G62" s="53"/>
      <c r="H62" s="53"/>
      <c r="I62" s="53"/>
      <c r="J62" s="53"/>
      <c r="K62" s="57" t="s">
        <v>255</v>
      </c>
      <c r="L62" s="57" t="s">
        <v>680</v>
      </c>
      <c r="M62" s="59"/>
      <c r="N62" s="58" t="e">
        <f>VLOOKUP(E62,订单号!B:C,2,0)</f>
        <v>#N/A</v>
      </c>
      <c r="O62" s="35" t="e">
        <f>VLOOKUP(C62,领导干部!B:B,1,0)</f>
        <v>#N/A</v>
      </c>
      <c r="Q62" t="s">
        <v>249</v>
      </c>
      <c r="R62">
        <v>170</v>
      </c>
      <c r="S62" t="str">
        <f t="array" ref="S62">VLOOKUP(Q62&amp;R62,IF({1,0},$B$2:$B$464&amp;$F$2:$F$464,$N$2:$N$464),2,)</f>
        <v>YZ40000680</v>
      </c>
      <c r="T62" s="35" t="str">
        <f t="array" ref="T62">VLOOKUP(Q62&amp;R62,IF({1,0},$B$2:$B$464&amp;$F$2:$F$464,$E$2:$E$464),2,)</f>
        <v>C919设计（2022年上飞院）</v>
      </c>
      <c r="U62" s="35">
        <f t="array" ref="U62">VLOOKUP(Q62&amp;R62,IF({1,0},$B$2:$B$464&amp;$F$2:$F$464,$C$2:$C$464),2,)</f>
        <v>51160</v>
      </c>
      <c r="V62" s="35" t="str">
        <f t="array" ref="V62">VLOOKUP(Q62&amp;R62,IF({1,0},$B$2:$B$464&amp;$F$2:$F$464,$D$2:$D$464),2,)</f>
        <v>综合技术室</v>
      </c>
    </row>
    <row r="63" s="35" customFormat="1" customHeight="1" spans="1:22">
      <c r="A63" s="47">
        <f t="shared" si="0"/>
        <v>62</v>
      </c>
      <c r="B63" s="48" t="s">
        <v>274</v>
      </c>
      <c r="C63" s="49">
        <f>IFERROR(VLOOKUP(B63,[1]工程研发事业部人员名单!B:D,2,0),"")</f>
        <v>26689</v>
      </c>
      <c r="D63" s="50" t="str">
        <f>IFERROR(VLOOKUP(B63,[1]工程研发事业部人员名单!B:D,3,0),"")</f>
        <v>强度室</v>
      </c>
      <c r="E63" s="51" t="s">
        <v>173</v>
      </c>
      <c r="F63" s="52">
        <f t="shared" si="1"/>
        <v>60</v>
      </c>
      <c r="G63" s="53"/>
      <c r="H63" s="53"/>
      <c r="I63" s="53">
        <v>60</v>
      </c>
      <c r="J63" s="53"/>
      <c r="K63" s="57" t="s">
        <v>277</v>
      </c>
      <c r="L63" s="57" t="s">
        <v>680</v>
      </c>
      <c r="M63" s="59"/>
      <c r="N63" s="58" t="e">
        <f>VLOOKUP(E63,订单号!B:C,2,0)</f>
        <v>#N/A</v>
      </c>
      <c r="O63" s="35" t="e">
        <f>VLOOKUP(C63,领导干部!B:B,1,0)</f>
        <v>#N/A</v>
      </c>
      <c r="Q63" t="s">
        <v>681</v>
      </c>
      <c r="R63">
        <v>284.4</v>
      </c>
      <c r="S63" t="e">
        <f t="array" ref="S63">VLOOKUP(Q63&amp;R63,IF({1,0},$B$2:$B$464&amp;$F$2:$F$464,$N$2:$N$464),2,)</f>
        <v>#N/A</v>
      </c>
      <c r="T63" s="35" t="str">
        <f t="array" ref="T63">VLOOKUP(Q63&amp;R63,IF({1,0},$B$2:$B$464&amp;$F$2:$F$464,$E$2:$E$464),2,)</f>
        <v>6号设计（2021年）</v>
      </c>
      <c r="U63" s="35">
        <f t="array" ref="U63">VLOOKUP(Q63&amp;R63,IF({1,0},$B$2:$B$464&amp;$F$2:$F$464,$C$2:$C$464),2,)</f>
        <v>51188</v>
      </c>
      <c r="V63" s="35" t="str">
        <f t="array" ref="V63">VLOOKUP(Q63&amp;R63,IF({1,0},$B$2:$B$464&amp;$F$2:$F$464,$D$2:$D$464),2,)</f>
        <v>强度室</v>
      </c>
    </row>
    <row r="64" s="35" customFormat="1" customHeight="1" spans="1:22">
      <c r="A64" s="47">
        <f t="shared" si="0"/>
        <v>63</v>
      </c>
      <c r="B64" s="48" t="s">
        <v>228</v>
      </c>
      <c r="C64" s="49">
        <f>IFERROR(VLOOKUP(B64,[1]工程研发事业部人员名单!B:D,2,0),"")</f>
        <v>51181</v>
      </c>
      <c r="D64" s="50" t="str">
        <f>IFERROR(VLOOKUP(B64,[1]工程研发事业部人员名单!B:D,3,0),"")</f>
        <v>强度室</v>
      </c>
      <c r="E64" s="51" t="s">
        <v>173</v>
      </c>
      <c r="F64" s="52">
        <f t="shared" si="1"/>
        <v>220</v>
      </c>
      <c r="G64" s="53"/>
      <c r="H64" s="53"/>
      <c r="I64" s="53">
        <v>220</v>
      </c>
      <c r="J64" s="53"/>
      <c r="K64" s="57" t="s">
        <v>277</v>
      </c>
      <c r="L64" s="57" t="s">
        <v>682</v>
      </c>
      <c r="M64" s="59"/>
      <c r="N64" s="58" t="e">
        <f>VLOOKUP(E64,订单号!B:C,2,0)</f>
        <v>#N/A</v>
      </c>
      <c r="O64" s="35" t="e">
        <f>VLOOKUP(C64,领导干部!B:B,1,0)</f>
        <v>#N/A</v>
      </c>
      <c r="Q64" t="s">
        <v>364</v>
      </c>
      <c r="R64">
        <v>300</v>
      </c>
      <c r="S64" t="e">
        <f t="array" ref="S64">VLOOKUP(Q64&amp;R64,IF({1,0},$B$2:$B$464&amp;$F$2:$F$464,$N$2:$N$464),2,)</f>
        <v>#N/A</v>
      </c>
      <c r="T64" s="35" t="str">
        <f t="array" ref="T64">VLOOKUP(Q64&amp;R64,IF({1,0},$B$2:$B$464&amp;$F$2:$F$464,$E$2:$E$464),2,)</f>
        <v>1号设计（2022年KTB）</v>
      </c>
      <c r="U64" s="35">
        <f t="array" ref="U64">VLOOKUP(Q64&amp;R64,IF({1,0},$B$2:$B$464&amp;$F$2:$F$464,$C$2:$C$464),2,)</f>
        <v>52236</v>
      </c>
      <c r="V64" s="35" t="str">
        <f t="array" ref="V64">VLOOKUP(Q64&amp;R64,IF({1,0},$B$2:$B$464&amp;$F$2:$F$464,$D$2:$D$464),2,)</f>
        <v>结构一室</v>
      </c>
    </row>
    <row r="65" s="35" customFormat="1" customHeight="1" spans="1:22">
      <c r="A65" s="47">
        <f t="shared" si="0"/>
        <v>64</v>
      </c>
      <c r="B65" s="48" t="s">
        <v>344</v>
      </c>
      <c r="C65" s="49">
        <f>IFERROR(VLOOKUP(B65,[1]工程研发事业部人员名单!B:D,2,0),"")</f>
        <v>51591</v>
      </c>
      <c r="D65" s="50" t="str">
        <f>IFERROR(VLOOKUP(B65,[1]工程研发事业部人员名单!B:D,3,0),"")</f>
        <v>总体室</v>
      </c>
      <c r="E65" s="51" t="s">
        <v>173</v>
      </c>
      <c r="F65" s="52">
        <f t="shared" si="1"/>
        <v>170</v>
      </c>
      <c r="G65" s="53"/>
      <c r="H65" s="53"/>
      <c r="I65" s="53">
        <v>170</v>
      </c>
      <c r="J65" s="53"/>
      <c r="K65" s="57" t="s">
        <v>277</v>
      </c>
      <c r="L65" s="57" t="s">
        <v>682</v>
      </c>
      <c r="M65" s="59"/>
      <c r="N65" s="58" t="e">
        <f>VLOOKUP(E65,订单号!B:C,2,0)</f>
        <v>#N/A</v>
      </c>
      <c r="O65" s="35" t="e">
        <f>VLOOKUP(C65,领导干部!B:B,1,0)</f>
        <v>#N/A</v>
      </c>
      <c r="Q65" t="s">
        <v>319</v>
      </c>
      <c r="R65">
        <v>192</v>
      </c>
      <c r="S65" t="e">
        <f t="array" ref="S65">VLOOKUP(Q65&amp;R65,IF({1,0},$B$2:$B$464&amp;$F$2:$F$464,$N$2:$N$464),2,)</f>
        <v>#N/A</v>
      </c>
      <c r="T65" s="35" t="str">
        <f t="array" ref="T65">VLOOKUP(Q65&amp;R65,IF({1,0},$B$2:$B$464&amp;$F$2:$F$464,$E$2:$E$464),2,)</f>
        <v>CR929设计（2022年复材中心）</v>
      </c>
      <c r="U65" s="35">
        <f t="array" ref="U65">VLOOKUP(Q65&amp;R65,IF({1,0},$B$2:$B$464&amp;$F$2:$F$464,$C$2:$C$464),2,)</f>
        <v>51642</v>
      </c>
      <c r="V65" s="35" t="str">
        <f t="array" ref="V65">VLOOKUP(Q65&amp;R65,IF({1,0},$B$2:$B$464&amp;$F$2:$F$464,$D$2:$D$464),2,)</f>
        <v>结构二室</v>
      </c>
    </row>
    <row r="66" s="35" customFormat="1" customHeight="1" spans="1:22">
      <c r="A66" s="47">
        <f t="shared" ref="A66:A129" si="2">ROW()-1</f>
        <v>65</v>
      </c>
      <c r="B66" s="48" t="s">
        <v>226</v>
      </c>
      <c r="C66" s="49">
        <f>IFERROR(VLOOKUP(B66,[1]工程研发事业部人员名单!B:D,2,0),"")</f>
        <v>50876</v>
      </c>
      <c r="D66" s="50" t="str">
        <f>IFERROR(VLOOKUP(B66,[1]工程研发事业部人员名单!B:D,3,0),"")</f>
        <v>工程项目室</v>
      </c>
      <c r="E66" s="51" t="s">
        <v>174</v>
      </c>
      <c r="F66" s="52">
        <f t="shared" ref="F66:F129" si="3">G66+H66+I66+J66</f>
        <v>206</v>
      </c>
      <c r="G66" s="62"/>
      <c r="H66" s="53"/>
      <c r="I66" s="53">
        <v>206</v>
      </c>
      <c r="J66" s="64"/>
      <c r="K66" s="57" t="s">
        <v>214</v>
      </c>
      <c r="L66" s="57" t="s">
        <v>683</v>
      </c>
      <c r="M66" s="59"/>
      <c r="N66" s="58" t="e">
        <f>VLOOKUP(E66,订单号!B:C,2,0)</f>
        <v>#N/A</v>
      </c>
      <c r="O66" s="35" t="e">
        <f>VLOOKUP(C66,领导干部!B:B,1,0)</f>
        <v>#N/A</v>
      </c>
      <c r="Q66" t="s">
        <v>56</v>
      </c>
      <c r="R66">
        <v>80</v>
      </c>
      <c r="S66" t="e">
        <f t="array" ref="S66">VLOOKUP(Q66&amp;R66,IF({1,0},$B$2:$B$464&amp;$F$2:$F$464,$N$2:$N$464),2,)</f>
        <v>#N/A</v>
      </c>
      <c r="T66" s="35" t="str">
        <f t="array" ref="T66">VLOOKUP(Q66&amp;R66,IF({1,0},$B$2:$B$464&amp;$F$2:$F$464,$E$2:$E$464),2,)</f>
        <v>CR929设计（2022年复材中心）</v>
      </c>
      <c r="U66" s="35">
        <f t="array" ref="U66">VLOOKUP(Q66&amp;R66,IF({1,0},$B$2:$B$464&amp;$F$2:$F$464,$C$2:$C$464),2,)</f>
        <v>52560</v>
      </c>
      <c r="V66" s="35" t="str">
        <f t="array" ref="V66">VLOOKUP(Q66&amp;R66,IF({1,0},$B$2:$B$464&amp;$F$2:$F$464,$D$2:$D$464),2,)</f>
        <v>强度室</v>
      </c>
    </row>
    <row r="67" s="35" customFormat="1" customHeight="1" spans="1:22">
      <c r="A67" s="47">
        <f t="shared" si="2"/>
        <v>66</v>
      </c>
      <c r="B67" s="48" t="s">
        <v>230</v>
      </c>
      <c r="C67" s="49">
        <f>IFERROR(VLOOKUP(B67,[1]工程研发事业部人员名单!B:D,2,0),"")</f>
        <v>50030</v>
      </c>
      <c r="D67" s="50" t="str">
        <f>IFERROR(VLOOKUP(B67,[1]工程研发事业部人员名单!B:D,3,0),"")</f>
        <v>总体室</v>
      </c>
      <c r="E67" s="51" t="s">
        <v>191</v>
      </c>
      <c r="F67" s="52">
        <f t="shared" si="3"/>
        <v>7.5</v>
      </c>
      <c r="G67" s="53"/>
      <c r="H67" s="53"/>
      <c r="I67" s="53">
        <v>7.5</v>
      </c>
      <c r="J67" s="53"/>
      <c r="K67" s="57"/>
      <c r="L67" s="58"/>
      <c r="M67" s="59" t="s">
        <v>684</v>
      </c>
      <c r="N67" s="58">
        <f>VLOOKUP(E67,订单号!B:C,2,0)</f>
        <v>10502</v>
      </c>
      <c r="O67" s="35" t="e">
        <f>VLOOKUP(C67,领导干部!B:B,1,0)</f>
        <v>#N/A</v>
      </c>
      <c r="Q67" t="s">
        <v>272</v>
      </c>
      <c r="R67">
        <v>315</v>
      </c>
      <c r="S67" t="str">
        <f t="array" ref="S67">VLOOKUP(Q67&amp;R67,IF({1,0},$B$2:$B$464&amp;$F$2:$F$464,$N$2:$N$464),2,)</f>
        <v>YZ40000680</v>
      </c>
      <c r="T67" s="35" t="str">
        <f t="array" ref="T67">VLOOKUP(Q67&amp;R67,IF({1,0},$B$2:$B$464&amp;$F$2:$F$464,$E$2:$E$464),2,)</f>
        <v>C919设计（2022年上飞院）</v>
      </c>
      <c r="U67" s="35">
        <f t="array" ref="U67">VLOOKUP(Q67&amp;R67,IF({1,0},$B$2:$B$464&amp;$F$2:$F$464,$C$2:$C$464),2,)</f>
        <v>50730</v>
      </c>
      <c r="V67" s="35" t="str">
        <f t="array" ref="V67">VLOOKUP(Q67&amp;R67,IF({1,0},$B$2:$B$464&amp;$F$2:$F$464,$D$2:$D$464),2,)</f>
        <v>结构一室</v>
      </c>
    </row>
    <row r="68" s="35" customFormat="1" customHeight="1" spans="1:22">
      <c r="A68" s="47">
        <f t="shared" si="2"/>
        <v>67</v>
      </c>
      <c r="B68" s="48" t="s">
        <v>333</v>
      </c>
      <c r="C68" s="49">
        <f>IFERROR(VLOOKUP(B68,[1]工程研发事业部人员名单!B:D,2,0),"")</f>
        <v>50032</v>
      </c>
      <c r="D68" s="50" t="str">
        <f>IFERROR(VLOOKUP(B68,[1]工程研发事业部人员名单!B:D,3,0),"")</f>
        <v>总体室</v>
      </c>
      <c r="E68" s="51" t="s">
        <v>191</v>
      </c>
      <c r="F68" s="52">
        <f t="shared" si="3"/>
        <v>4.5</v>
      </c>
      <c r="G68" s="53"/>
      <c r="H68" s="53"/>
      <c r="I68" s="53">
        <v>4.5</v>
      </c>
      <c r="J68" s="53"/>
      <c r="K68" s="57"/>
      <c r="L68" s="57"/>
      <c r="M68" s="59" t="s">
        <v>684</v>
      </c>
      <c r="N68" s="58">
        <f>VLOOKUP(E68,订单号!B:C,2,0)</f>
        <v>10502</v>
      </c>
      <c r="O68" s="35" t="e">
        <f>VLOOKUP(C68,领导干部!B:B,1,0)</f>
        <v>#N/A</v>
      </c>
      <c r="Q68" t="s">
        <v>369</v>
      </c>
      <c r="R68">
        <v>224.55</v>
      </c>
      <c r="S68">
        <f t="array" ref="S68">VLOOKUP(Q68&amp;R68,IF({1,0},$B$2:$B$464&amp;$F$2:$F$464,$N$2:$N$464),2,)</f>
        <v>10502</v>
      </c>
      <c r="T68" s="35" t="str">
        <f t="array" ref="T68">VLOOKUP(Q68&amp;R68,IF({1,0},$B$2:$B$464&amp;$F$2:$F$464,$E$2:$E$464),2,)</f>
        <v>工程支持</v>
      </c>
      <c r="U68" s="35">
        <f t="array" ref="U68">VLOOKUP(Q68&amp;R68,IF({1,0},$B$2:$B$464&amp;$F$2:$F$464,$C$2:$C$464),2,)</f>
        <v>51665</v>
      </c>
      <c r="V68" s="35" t="str">
        <f t="array" ref="V68">VLOOKUP(Q68&amp;R68,IF({1,0},$B$2:$B$464&amp;$F$2:$F$464,$D$2:$D$464),2,)</f>
        <v>联络工程室</v>
      </c>
    </row>
    <row r="69" s="35" customFormat="1" customHeight="1" spans="1:22">
      <c r="A69" s="47">
        <f t="shared" si="2"/>
        <v>68</v>
      </c>
      <c r="B69" s="48" t="s">
        <v>342</v>
      </c>
      <c r="C69" s="49">
        <f>IFERROR(VLOOKUP(B69,[1]工程研发事业部人员名单!B:D,2,0),"")</f>
        <v>50702</v>
      </c>
      <c r="D69" s="50" t="str">
        <f>IFERROR(VLOOKUP(B69,[1]工程研发事业部人员名单!B:D,3,0),"")</f>
        <v>总体室</v>
      </c>
      <c r="E69" s="51" t="s">
        <v>191</v>
      </c>
      <c r="F69" s="52">
        <f t="shared" si="3"/>
        <v>4.5</v>
      </c>
      <c r="G69" s="53"/>
      <c r="H69" s="53"/>
      <c r="I69" s="53">
        <v>4.5</v>
      </c>
      <c r="J69" s="53"/>
      <c r="K69" s="57"/>
      <c r="L69" s="57"/>
      <c r="M69" s="59" t="s">
        <v>684</v>
      </c>
      <c r="N69" s="58">
        <f>VLOOKUP(E69,订单号!B:C,2,0)</f>
        <v>10502</v>
      </c>
      <c r="O69" s="35" t="e">
        <f>VLOOKUP(C69,领导干部!B:B,1,0)</f>
        <v>#N/A</v>
      </c>
      <c r="Q69" t="s">
        <v>371</v>
      </c>
      <c r="R69">
        <v>300</v>
      </c>
      <c r="S69" t="e">
        <f t="array" ref="S69">VLOOKUP(Q69&amp;R69,IF({1,0},$B$2:$B$464&amp;$F$2:$F$464,$N$2:$N$464),2,)</f>
        <v>#N/A</v>
      </c>
      <c r="T69" s="35" t="str">
        <f t="array" ref="T69">VLOOKUP(Q69&amp;R69,IF({1,0},$B$2:$B$464&amp;$F$2:$F$464,$E$2:$E$464),2,)</f>
        <v>1号设计（2022年KTB）</v>
      </c>
      <c r="U69" s="35">
        <f t="array" ref="U69">VLOOKUP(Q69&amp;R69,IF({1,0},$B$2:$B$464&amp;$F$2:$F$464,$C$2:$C$464),2,)</f>
        <v>51640</v>
      </c>
      <c r="V69" s="35" t="str">
        <f t="array" ref="V69">VLOOKUP(Q69&amp;R69,IF({1,0},$B$2:$B$464&amp;$F$2:$F$464,$D$2:$D$464),2,)</f>
        <v>结构一室</v>
      </c>
    </row>
    <row r="70" s="35" customFormat="1" customHeight="1" spans="1:22">
      <c r="A70" s="47">
        <f t="shared" si="2"/>
        <v>69</v>
      </c>
      <c r="B70" s="48" t="s">
        <v>339</v>
      </c>
      <c r="C70" s="49">
        <f>IFERROR(VLOOKUP(B70,[1]工程研发事业部人员名单!B:D,2,0),"")</f>
        <v>50874</v>
      </c>
      <c r="D70" s="50" t="str">
        <f>IFERROR(VLOOKUP(B70,[1]工程研发事业部人员名单!B:D,3,0),"")</f>
        <v>总体室</v>
      </c>
      <c r="E70" s="51" t="s">
        <v>191</v>
      </c>
      <c r="F70" s="52">
        <f t="shared" si="3"/>
        <v>4.5</v>
      </c>
      <c r="G70" s="53"/>
      <c r="H70" s="53"/>
      <c r="I70" s="53">
        <v>4.5</v>
      </c>
      <c r="J70" s="53"/>
      <c r="K70" s="57"/>
      <c r="L70" s="57"/>
      <c r="M70" s="59" t="s">
        <v>684</v>
      </c>
      <c r="N70" s="58">
        <f>VLOOKUP(E70,订单号!B:C,2,0)</f>
        <v>10502</v>
      </c>
      <c r="O70" s="35" t="e">
        <f>VLOOKUP(C70,领导干部!B:B,1,0)</f>
        <v>#N/A</v>
      </c>
      <c r="Q70" t="s">
        <v>373</v>
      </c>
      <c r="R70">
        <v>120</v>
      </c>
      <c r="S70" t="e">
        <f t="array" ref="S70">VLOOKUP(Q70&amp;R70,IF({1,0},$B$2:$B$464&amp;$F$2:$F$464,$N$2:$N$464),2,)</f>
        <v>#N/A</v>
      </c>
      <c r="T70" s="35" t="str">
        <f t="array" ref="T70">VLOOKUP(Q70&amp;R70,IF({1,0},$B$2:$B$464&amp;$F$2:$F$464,$E$2:$E$464),2,)</f>
        <v>C919设计（2021年上飞院）</v>
      </c>
      <c r="U70" s="35">
        <f t="array" ref="U70">VLOOKUP(Q70&amp;R70,IF({1,0},$B$2:$B$464&amp;$F$2:$F$464,$C$2:$C$464),2,)</f>
        <v>51234</v>
      </c>
      <c r="V70" s="35" t="str">
        <f t="array" ref="V70">VLOOKUP(Q70&amp;R70,IF({1,0},$B$2:$B$464&amp;$F$2:$F$464,$D$2:$D$464),2,)</f>
        <v>结构二室</v>
      </c>
    </row>
    <row r="71" s="35" customFormat="1" customHeight="1" spans="1:22">
      <c r="A71" s="47">
        <f t="shared" si="2"/>
        <v>70</v>
      </c>
      <c r="B71" s="48" t="s">
        <v>344</v>
      </c>
      <c r="C71" s="49">
        <f>IFERROR(VLOOKUP(B71,[1]工程研发事业部人员名单!B:D,2,0),"")</f>
        <v>51591</v>
      </c>
      <c r="D71" s="50" t="str">
        <f>IFERROR(VLOOKUP(B71,[1]工程研发事业部人员名单!B:D,3,0),"")</f>
        <v>总体室</v>
      </c>
      <c r="E71" s="51" t="s">
        <v>191</v>
      </c>
      <c r="F71" s="52">
        <f t="shared" si="3"/>
        <v>4.5</v>
      </c>
      <c r="G71" s="53"/>
      <c r="H71" s="53"/>
      <c r="I71" s="53">
        <v>4.5</v>
      </c>
      <c r="J71" s="53"/>
      <c r="K71" s="57"/>
      <c r="L71" s="57"/>
      <c r="M71" s="59" t="s">
        <v>684</v>
      </c>
      <c r="N71" s="58">
        <f>VLOOKUP(E71,订单号!B:C,2,0)</f>
        <v>10502</v>
      </c>
      <c r="O71" s="35" t="e">
        <f>VLOOKUP(C71,领导干部!B:B,1,0)</f>
        <v>#N/A</v>
      </c>
      <c r="Q71" t="s">
        <v>375</v>
      </c>
      <c r="R71">
        <v>164</v>
      </c>
      <c r="S71" t="e">
        <f t="array" ref="S71">VLOOKUP(Q71&amp;R71,IF({1,0},$B$2:$B$464&amp;$F$2:$F$464,$N$2:$N$464),2,)</f>
        <v>#N/A</v>
      </c>
      <c r="T71" s="35" t="str">
        <f t="array" ref="T71">VLOOKUP(Q71&amp;R71,IF({1,0},$B$2:$B$464&amp;$F$2:$F$464,$E$2:$E$464),2,)</f>
        <v>CR929设计（2022年复材中心）</v>
      </c>
      <c r="U71" s="35">
        <f t="array" ref="U71">VLOOKUP(Q71&amp;R71,IF({1,0},$B$2:$B$464&amp;$F$2:$F$464,$C$2:$C$464),2,)</f>
        <v>22298</v>
      </c>
      <c r="V71" s="35" t="str">
        <f t="array" ref="V71">VLOOKUP(Q71&amp;R71,IF({1,0},$B$2:$B$464&amp;$F$2:$F$464,$D$2:$D$464),2,)</f>
        <v>结构二室</v>
      </c>
    </row>
    <row r="72" s="35" customFormat="1" customHeight="1" spans="1:22">
      <c r="A72" s="47">
        <f t="shared" si="2"/>
        <v>71</v>
      </c>
      <c r="B72" s="48" t="s">
        <v>400</v>
      </c>
      <c r="C72" s="49">
        <f>IFERROR(VLOOKUP(B72,[1]工程研发事业部人员名单!B:D,2,0),"")</f>
        <v>17725</v>
      </c>
      <c r="D72" s="50" t="str">
        <f>IFERROR(VLOOKUP(B72,[1]工程研发事业部人员名单!B:D,3,0),"")</f>
        <v>总体室</v>
      </c>
      <c r="E72" s="51" t="s">
        <v>191</v>
      </c>
      <c r="F72" s="52">
        <f t="shared" si="3"/>
        <v>4.5</v>
      </c>
      <c r="G72" s="53"/>
      <c r="H72" s="53"/>
      <c r="I72" s="53">
        <v>4.5</v>
      </c>
      <c r="J72" s="53"/>
      <c r="K72" s="57"/>
      <c r="L72" s="57"/>
      <c r="M72" s="59" t="s">
        <v>684</v>
      </c>
      <c r="N72" s="58">
        <f>VLOOKUP(E72,订单号!B:C,2,0)</f>
        <v>10502</v>
      </c>
      <c r="O72" s="35" t="e">
        <f>VLOOKUP(C72,领导干部!B:B,1,0)</f>
        <v>#N/A</v>
      </c>
      <c r="Q72" t="s">
        <v>380</v>
      </c>
      <c r="R72">
        <v>260</v>
      </c>
      <c r="S72" t="str">
        <f t="array" ref="S72">VLOOKUP(Q72&amp;R72,IF({1,0},$B$2:$B$464&amp;$F$2:$F$464,$N$2:$N$464),2,)</f>
        <v>YZ40000680</v>
      </c>
      <c r="T72" s="35" t="str">
        <f t="array" ref="T72">VLOOKUP(Q72&amp;R72,IF({1,0},$B$2:$B$464&amp;$F$2:$F$464,$E$2:$E$464),2,)</f>
        <v>C919设计（2022年上飞院）</v>
      </c>
      <c r="U72" s="35">
        <f t="array" ref="U72">VLOOKUP(Q72&amp;R72,IF({1,0},$B$2:$B$464&amp;$F$2:$F$464,$C$2:$C$464),2,)</f>
        <v>50722</v>
      </c>
      <c r="V72" s="35" t="str">
        <f t="array" ref="V72">VLOOKUP(Q72&amp;R72,IF({1,0},$B$2:$B$464&amp;$F$2:$F$464,$D$2:$D$464),2,)</f>
        <v>强度室</v>
      </c>
    </row>
    <row r="73" s="35" customFormat="1" customHeight="1" spans="1:22">
      <c r="A73" s="47">
        <f t="shared" si="2"/>
        <v>72</v>
      </c>
      <c r="B73" s="48" t="s">
        <v>324</v>
      </c>
      <c r="C73" s="49">
        <f>IFERROR(VLOOKUP(B73,[1]工程研发事业部人员名单!B:D,2,0),"")</f>
        <v>51860</v>
      </c>
      <c r="D73" s="50" t="str">
        <f>IFERROR(VLOOKUP(B73,[1]工程研发事业部人员名单!B:D,3,0),"")</f>
        <v>总体室</v>
      </c>
      <c r="E73" s="51" t="s">
        <v>191</v>
      </c>
      <c r="F73" s="52">
        <f t="shared" si="3"/>
        <v>4</v>
      </c>
      <c r="G73" s="53"/>
      <c r="H73" s="53"/>
      <c r="I73" s="53">
        <v>4</v>
      </c>
      <c r="J73" s="53"/>
      <c r="K73" s="57"/>
      <c r="L73" s="57"/>
      <c r="M73" s="59" t="s">
        <v>684</v>
      </c>
      <c r="N73" s="58">
        <f>VLOOKUP(E73,订单号!B:C,2,0)</f>
        <v>10502</v>
      </c>
      <c r="O73" s="35" t="e">
        <f>VLOOKUP(C73,领导干部!B:B,1,0)</f>
        <v>#N/A</v>
      </c>
      <c r="Q73" t="s">
        <v>270</v>
      </c>
      <c r="R73">
        <v>170</v>
      </c>
      <c r="S73" t="e">
        <f t="array" ref="S73">VLOOKUP(Q73&amp;R73,IF({1,0},$B$2:$B$464&amp;$F$2:$F$464,$N$2:$N$464),2,)</f>
        <v>#N/A</v>
      </c>
      <c r="T73" s="35" t="str">
        <f t="array" ref="T73">VLOOKUP(Q73&amp;R73,IF({1,0},$B$2:$B$464&amp;$F$2:$F$464,$E$2:$E$464),2,)</f>
        <v>CR929设计（2022年复材中心）</v>
      </c>
      <c r="U73" s="35">
        <f t="array" ref="U73">VLOOKUP(Q73&amp;R73,IF({1,0},$B$2:$B$464&amp;$F$2:$F$464,$C$2:$C$464),2,)</f>
        <v>51615</v>
      </c>
      <c r="V73" s="35" t="str">
        <f t="array" ref="V73">VLOOKUP(Q73&amp;R73,IF({1,0},$B$2:$B$464&amp;$F$2:$F$464,$D$2:$D$464),2,)</f>
        <v>结构一室</v>
      </c>
    </row>
    <row r="74" s="35" customFormat="1" customHeight="1" spans="1:22">
      <c r="A74" s="47">
        <f t="shared" si="2"/>
        <v>73</v>
      </c>
      <c r="B74" s="48" t="s">
        <v>230</v>
      </c>
      <c r="C74" s="49">
        <f>IFERROR(VLOOKUP(B74,[1]工程研发事业部人员名单!B:D,2,0),"")</f>
        <v>50030</v>
      </c>
      <c r="D74" s="50" t="str">
        <f>IFERROR(VLOOKUP(B74,[1]工程研发事业部人员名单!B:D,3,0),"")</f>
        <v>总体室</v>
      </c>
      <c r="E74" s="51" t="s">
        <v>191</v>
      </c>
      <c r="F74" s="52">
        <f t="shared" si="3"/>
        <v>12</v>
      </c>
      <c r="G74" s="53"/>
      <c r="H74" s="53"/>
      <c r="I74" s="53">
        <v>12</v>
      </c>
      <c r="J74" s="53"/>
      <c r="K74" s="57"/>
      <c r="L74" s="57"/>
      <c r="M74" s="59" t="s">
        <v>684</v>
      </c>
      <c r="N74" s="58">
        <f>VLOOKUP(E74,订单号!B:C,2,0)</f>
        <v>10502</v>
      </c>
      <c r="O74" s="35" t="e">
        <f>VLOOKUP(C74,领导干部!B:B,1,0)</f>
        <v>#N/A</v>
      </c>
      <c r="Q74" t="s">
        <v>384</v>
      </c>
      <c r="R74">
        <v>168</v>
      </c>
      <c r="S74" t="e">
        <f t="array" ref="S74">VLOOKUP(Q74&amp;R74,IF({1,0},$B$2:$B$464&amp;$F$2:$F$464,$N$2:$N$464),2,)</f>
        <v>#N/A</v>
      </c>
      <c r="T74" s="35" t="str">
        <f t="array" ref="T74">VLOOKUP(Q74&amp;R74,IF({1,0},$B$2:$B$464&amp;$F$2:$F$464,$E$2:$E$464),2,)</f>
        <v>CR929设计（2022年复材中心）</v>
      </c>
      <c r="U74" s="35">
        <f t="array" ref="U74">VLOOKUP(Q74&amp;R74,IF({1,0},$B$2:$B$464&amp;$F$2:$F$464,$C$2:$C$464),2,)</f>
        <v>50710</v>
      </c>
      <c r="V74" s="35" t="str">
        <f t="array" ref="V74">VLOOKUP(Q74&amp;R74,IF({1,0},$B$2:$B$464&amp;$F$2:$F$464,$D$2:$D$464),2,)</f>
        <v>结构二室</v>
      </c>
    </row>
    <row r="75" s="35" customFormat="1" customHeight="1" spans="1:22">
      <c r="A75" s="47">
        <f t="shared" si="2"/>
        <v>74</v>
      </c>
      <c r="B75" s="48" t="s">
        <v>257</v>
      </c>
      <c r="C75" s="49">
        <f>IFERROR(VLOOKUP(B75,[1]工程研发事业部人员名单!B:D,2,0),"")</f>
        <v>51410</v>
      </c>
      <c r="D75" s="50" t="str">
        <f>IFERROR(VLOOKUP(B75,[1]工程研发事业部人员名单!B:D,3,0),"")</f>
        <v>结构一室</v>
      </c>
      <c r="E75" s="51" t="s">
        <v>191</v>
      </c>
      <c r="F75" s="52">
        <f t="shared" si="3"/>
        <v>12</v>
      </c>
      <c r="G75" s="53"/>
      <c r="H75" s="53"/>
      <c r="I75" s="53">
        <v>12</v>
      </c>
      <c r="J75" s="53"/>
      <c r="K75" s="57"/>
      <c r="L75" s="57"/>
      <c r="M75" s="59" t="s">
        <v>684</v>
      </c>
      <c r="N75" s="58">
        <f>VLOOKUP(E75,订单号!B:C,2,0)</f>
        <v>10502</v>
      </c>
      <c r="O75" s="35" t="e">
        <f>VLOOKUP(C75,领导干部!B:B,1,0)</f>
        <v>#N/A</v>
      </c>
      <c r="Q75" t="s">
        <v>386</v>
      </c>
      <c r="R75">
        <v>292</v>
      </c>
      <c r="S75">
        <f t="array" ref="S75">VLOOKUP(Q75&amp;R75,IF({1,0},$B$2:$B$464&amp;$F$2:$F$464,$N$2:$N$464),2,)</f>
        <v>10502</v>
      </c>
      <c r="T75" s="35" t="str">
        <f t="array" ref="T75">VLOOKUP(Q75&amp;R75,IF({1,0},$B$2:$B$464&amp;$F$2:$F$464,$E$2:$E$464),2,)</f>
        <v>工程支持</v>
      </c>
      <c r="U75" s="35">
        <f t="array" ref="U75">VLOOKUP(Q75&amp;R75,IF({1,0},$B$2:$B$464&amp;$F$2:$F$464,$C$2:$C$464),2,)</f>
        <v>17090</v>
      </c>
      <c r="V75" s="35" t="str">
        <f t="array" ref="V75">VLOOKUP(Q75&amp;R75,IF({1,0},$B$2:$B$464&amp;$F$2:$F$464,$D$2:$D$464),2,)</f>
        <v>联络工程室</v>
      </c>
    </row>
    <row r="76" s="35" customFormat="1" customHeight="1" spans="1:22">
      <c r="A76" s="47">
        <f t="shared" si="2"/>
        <v>75</v>
      </c>
      <c r="B76" s="48" t="s">
        <v>272</v>
      </c>
      <c r="C76" s="49">
        <f>IFERROR(VLOOKUP(B76,[1]工程研发事业部人员名单!B:D,2,0),"")</f>
        <v>50730</v>
      </c>
      <c r="D76" s="50" t="str">
        <f>IFERROR(VLOOKUP(B76,[1]工程研发事业部人员名单!B:D,3,0),"")</f>
        <v>结构一室</v>
      </c>
      <c r="E76" s="51" t="s">
        <v>191</v>
      </c>
      <c r="F76" s="52">
        <f t="shared" si="3"/>
        <v>12</v>
      </c>
      <c r="G76" s="53"/>
      <c r="H76" s="53"/>
      <c r="I76" s="53">
        <v>12</v>
      </c>
      <c r="J76" s="53"/>
      <c r="K76" s="57"/>
      <c r="L76" s="57"/>
      <c r="M76" s="59" t="s">
        <v>684</v>
      </c>
      <c r="N76" s="58">
        <f>VLOOKUP(E76,订单号!B:C,2,0)</f>
        <v>10502</v>
      </c>
      <c r="O76" s="35" t="e">
        <f>VLOOKUP(C76,领导干部!B:B,1,0)</f>
        <v>#N/A</v>
      </c>
      <c r="Q76" t="s">
        <v>388</v>
      </c>
      <c r="R76">
        <v>162</v>
      </c>
      <c r="S76" t="e">
        <f t="array" ref="S76">VLOOKUP(Q76&amp;R76,IF({1,0},$B$2:$B$464&amp;$F$2:$F$464,$N$2:$N$464),2,)</f>
        <v>#N/A</v>
      </c>
      <c r="T76" s="35" t="str">
        <f t="array" ref="T76">VLOOKUP(Q76&amp;R76,IF({1,0},$B$2:$B$464&amp;$F$2:$F$464,$E$2:$E$464),2,)</f>
        <v>1号设计（2022年KTB）</v>
      </c>
      <c r="U76" s="35">
        <f t="array" ref="U76">VLOOKUP(Q76&amp;R76,IF({1,0},$B$2:$B$464&amp;$F$2:$F$464,$C$2:$C$464),2,)</f>
        <v>50864</v>
      </c>
      <c r="V76" s="35" t="str">
        <f t="array" ref="V76">VLOOKUP(Q76&amp;R76,IF({1,0},$B$2:$B$464&amp;$F$2:$F$464,$D$2:$D$464),2,)</f>
        <v>综合技术室</v>
      </c>
    </row>
    <row r="77" s="35" customFormat="1" customHeight="1" spans="1:22">
      <c r="A77" s="47">
        <f t="shared" si="2"/>
        <v>76</v>
      </c>
      <c r="B77" s="48" t="s">
        <v>234</v>
      </c>
      <c r="C77" s="49">
        <f>IFERROR(VLOOKUP(B77,[1]工程研发事业部人员名单!B:D,2,0),"")</f>
        <v>50281</v>
      </c>
      <c r="D77" s="50" t="str">
        <f>IFERROR(VLOOKUP(B77,[1]工程研发事业部人员名单!B:D,3,0),"")</f>
        <v>结构一室</v>
      </c>
      <c r="E77" s="51" t="s">
        <v>191</v>
      </c>
      <c r="F77" s="52">
        <f t="shared" si="3"/>
        <v>11.5</v>
      </c>
      <c r="G77" s="53"/>
      <c r="H77" s="53"/>
      <c r="I77" s="53">
        <v>11.5</v>
      </c>
      <c r="J77" s="53"/>
      <c r="K77" s="57"/>
      <c r="L77" s="57"/>
      <c r="M77" s="59" t="s">
        <v>684</v>
      </c>
      <c r="N77" s="58">
        <f>VLOOKUP(E77,订单号!B:C,2,0)</f>
        <v>10502</v>
      </c>
      <c r="O77" s="35" t="e">
        <f>VLOOKUP(C77,领导干部!B:B,1,0)</f>
        <v>#N/A</v>
      </c>
      <c r="Q77" t="s">
        <v>344</v>
      </c>
      <c r="R77">
        <v>170</v>
      </c>
      <c r="S77" t="e">
        <f t="array" ref="S77">VLOOKUP(Q77&amp;R77,IF({1,0},$B$2:$B$464&amp;$F$2:$F$464,$N$2:$N$464),2,)</f>
        <v>#N/A</v>
      </c>
      <c r="T77" s="35" t="str">
        <f t="array" ref="T77">VLOOKUP(Q77&amp;R77,IF({1,0},$B$2:$B$464&amp;$F$2:$F$464,$E$2:$E$464),2,)</f>
        <v>CR929设计（2022年上飞院）</v>
      </c>
      <c r="U77" s="35">
        <f t="array" ref="U77">VLOOKUP(Q77&amp;R77,IF({1,0},$B$2:$B$464&amp;$F$2:$F$464,$C$2:$C$464),2,)</f>
        <v>51591</v>
      </c>
      <c r="V77" s="35" t="str">
        <f t="array" ref="V77">VLOOKUP(Q77&amp;R77,IF({1,0},$B$2:$B$464&amp;$F$2:$F$464,$D$2:$D$464),2,)</f>
        <v>总体室</v>
      </c>
    </row>
    <row r="78" s="35" customFormat="1" customHeight="1" spans="1:22">
      <c r="A78" s="47">
        <f t="shared" si="2"/>
        <v>77</v>
      </c>
      <c r="B78" s="48" t="s">
        <v>262</v>
      </c>
      <c r="C78" s="49">
        <f>IFERROR(VLOOKUP(B78,[1]工程研发事业部人员名单!B:D,2,0),"")</f>
        <v>22294</v>
      </c>
      <c r="D78" s="50" t="str">
        <f>IFERROR(VLOOKUP(B78,[1]工程研发事业部人员名单!B:D,3,0),"")</f>
        <v>结构一室</v>
      </c>
      <c r="E78" s="51" t="s">
        <v>191</v>
      </c>
      <c r="F78" s="52">
        <f t="shared" si="3"/>
        <v>11.5</v>
      </c>
      <c r="G78" s="53"/>
      <c r="H78" s="53"/>
      <c r="I78" s="53">
        <v>11.5</v>
      </c>
      <c r="J78" s="53"/>
      <c r="K78" s="57"/>
      <c r="L78" s="57"/>
      <c r="M78" s="59" t="s">
        <v>684</v>
      </c>
      <c r="N78" s="58">
        <f>VLOOKUP(E78,订单号!B:C,2,0)</f>
        <v>10502</v>
      </c>
      <c r="O78" s="35" t="e">
        <f>VLOOKUP(C78,领导干部!B:B,1,0)</f>
        <v>#N/A</v>
      </c>
      <c r="Q78" t="s">
        <v>393</v>
      </c>
      <c r="R78">
        <v>190</v>
      </c>
      <c r="S78" t="e">
        <f t="array" ref="S78">VLOOKUP(Q78&amp;R78,IF({1,0},$B$2:$B$464&amp;$F$2:$F$464,$N$2:$N$464),2,)</f>
        <v>#N/A</v>
      </c>
      <c r="T78" s="35" t="str">
        <f t="array" ref="T78">VLOOKUP(Q78&amp;R78,IF({1,0},$B$2:$B$464&amp;$F$2:$F$464,$E$2:$E$464),2,)</f>
        <v>1号设计（2022年KTB）</v>
      </c>
      <c r="U78" s="35">
        <f t="array" ref="U78">VLOOKUP(Q78&amp;R78,IF({1,0},$B$2:$B$464&amp;$F$2:$F$464,$C$2:$C$464),2,)</f>
        <v>52133</v>
      </c>
      <c r="V78" s="35" t="str">
        <f t="array" ref="V78">VLOOKUP(Q78&amp;R78,IF({1,0},$B$2:$B$464&amp;$F$2:$F$464,$D$2:$D$464),2,)</f>
        <v>结构一室</v>
      </c>
    </row>
    <row r="79" s="35" customFormat="1" customHeight="1" spans="1:22">
      <c r="A79" s="47">
        <f t="shared" si="2"/>
        <v>78</v>
      </c>
      <c r="B79" s="48" t="s">
        <v>464</v>
      </c>
      <c r="C79" s="49">
        <f>IFERROR(VLOOKUP(B79,[1]工程研发事业部人员名单!B:D,2,0),"")</f>
        <v>18548</v>
      </c>
      <c r="D79" s="50" t="str">
        <f>IFERROR(VLOOKUP(B79,[1]工程研发事业部人员名单!B:D,3,0),"")</f>
        <v>结构二室</v>
      </c>
      <c r="E79" s="51" t="s">
        <v>191</v>
      </c>
      <c r="F79" s="52">
        <f t="shared" si="3"/>
        <v>54.5</v>
      </c>
      <c r="G79" s="53"/>
      <c r="H79" s="53"/>
      <c r="I79" s="53">
        <v>54.5</v>
      </c>
      <c r="J79" s="53"/>
      <c r="K79" s="57"/>
      <c r="L79" s="57"/>
      <c r="M79" s="59" t="s">
        <v>684</v>
      </c>
      <c r="N79" s="58">
        <f>VLOOKUP(E79,订单号!B:C,2,0)</f>
        <v>10502</v>
      </c>
      <c r="O79" s="35" t="e">
        <f>VLOOKUP(C79,领导干部!B:B,1,0)</f>
        <v>#N/A</v>
      </c>
      <c r="Q79" t="s">
        <v>685</v>
      </c>
      <c r="R79">
        <v>88</v>
      </c>
      <c r="S79">
        <f t="array" ref="S79">VLOOKUP(Q79&amp;R79,IF({1,0},$B$2:$B$464&amp;$F$2:$F$464,$N$2:$N$464),2,)</f>
        <v>0</v>
      </c>
      <c r="T79" s="35" t="str">
        <f t="array" ref="T79">VLOOKUP(Q79&amp;R79,IF({1,0},$B$2:$B$464&amp;$F$2:$F$464,$E$2:$E$464),2,)</f>
        <v>培训工作</v>
      </c>
      <c r="U79" s="35">
        <f t="array" ref="U79">VLOOKUP(Q79&amp;R79,IF({1,0},$B$2:$B$464&amp;$F$2:$F$464,$C$2:$C$464),2,)</f>
        <v>52166</v>
      </c>
      <c r="V79" s="35" t="str">
        <f t="array" ref="V79">VLOOKUP(Q79&amp;R79,IF({1,0},$B$2:$B$464&amp;$F$2:$F$464,$D$2:$D$464),2,)</f>
        <v>系统室</v>
      </c>
    </row>
    <row r="80" s="35" customFormat="1" customHeight="1" spans="1:22">
      <c r="A80" s="47">
        <f t="shared" si="2"/>
        <v>79</v>
      </c>
      <c r="B80" s="48" t="s">
        <v>441</v>
      </c>
      <c r="C80" s="49">
        <f>IFERROR(VLOOKUP(B80,[1]工程研发事业部人员名单!B:D,2,0),"")</f>
        <v>50709</v>
      </c>
      <c r="D80" s="50" t="str">
        <f>IFERROR(VLOOKUP(B80,[1]工程研发事业部人员名单!B:D,3,0),"")</f>
        <v>系统室</v>
      </c>
      <c r="E80" s="51" t="s">
        <v>191</v>
      </c>
      <c r="F80" s="52">
        <f t="shared" si="3"/>
        <v>2</v>
      </c>
      <c r="G80" s="53"/>
      <c r="H80" s="53"/>
      <c r="I80" s="53">
        <v>2</v>
      </c>
      <c r="J80" s="53"/>
      <c r="K80" s="57"/>
      <c r="L80" s="57"/>
      <c r="M80" s="59" t="s">
        <v>684</v>
      </c>
      <c r="N80" s="58">
        <f>VLOOKUP(E80,订单号!B:C,2,0)</f>
        <v>10502</v>
      </c>
      <c r="O80" s="35">
        <f>VLOOKUP(C80,领导干部!B:B,1,0)</f>
        <v>50709</v>
      </c>
      <c r="Q80" t="s">
        <v>298</v>
      </c>
      <c r="R80">
        <v>100</v>
      </c>
      <c r="S80" t="e">
        <f t="array" ref="S80">VLOOKUP(Q80&amp;R80,IF({1,0},$B$2:$B$464&amp;$F$2:$F$464,$N$2:$N$464),2,)</f>
        <v>#N/A</v>
      </c>
      <c r="T80" s="35" t="str">
        <f t="array" ref="T80">VLOOKUP(Q80&amp;R80,IF({1,0},$B$2:$B$464&amp;$F$2:$F$464,$E$2:$E$464),2,)</f>
        <v>1号设计（2022年KTB）</v>
      </c>
      <c r="U80" s="35">
        <f t="array" ref="U80">VLOOKUP(Q80&amp;R80,IF({1,0},$B$2:$B$464&amp;$F$2:$F$464,$C$2:$C$464),2,)</f>
        <v>51517</v>
      </c>
      <c r="V80" s="35" t="str">
        <f t="array" ref="V80">VLOOKUP(Q80&amp;R80,IF({1,0},$B$2:$B$464&amp;$F$2:$F$464,$D$2:$D$464),2,)</f>
        <v>系统室</v>
      </c>
    </row>
    <row r="81" s="35" customFormat="1" customHeight="1" spans="1:22">
      <c r="A81" s="47">
        <f t="shared" si="2"/>
        <v>80</v>
      </c>
      <c r="B81" s="48" t="s">
        <v>305</v>
      </c>
      <c r="C81" s="49">
        <f>IFERROR(VLOOKUP(B81,[1]工程研发事业部人员名单!B:D,2,0),"")</f>
        <v>51389</v>
      </c>
      <c r="D81" s="50" t="str">
        <f>IFERROR(VLOOKUP(B81,[1]工程研发事业部人员名单!B:D,3,0),"")</f>
        <v>系统室</v>
      </c>
      <c r="E81" s="51" t="s">
        <v>191</v>
      </c>
      <c r="F81" s="52">
        <f t="shared" si="3"/>
        <v>2.5</v>
      </c>
      <c r="G81" s="53"/>
      <c r="H81" s="53"/>
      <c r="I81" s="53">
        <v>2.5</v>
      </c>
      <c r="J81" s="53"/>
      <c r="K81" s="57"/>
      <c r="L81" s="57"/>
      <c r="M81" s="59" t="s">
        <v>684</v>
      </c>
      <c r="N81" s="58">
        <f>VLOOKUP(E81,订单号!B:C,2,0)</f>
        <v>10502</v>
      </c>
      <c r="O81" s="35" t="e">
        <f>VLOOKUP(C81,领导干部!B:B,1,0)</f>
        <v>#N/A</v>
      </c>
      <c r="Q81" t="s">
        <v>333</v>
      </c>
      <c r="R81">
        <v>149</v>
      </c>
      <c r="S81" t="str">
        <f t="array" ref="S81">VLOOKUP(Q81&amp;R81,IF({1,0},$B$2:$B$464&amp;$F$2:$F$464,$N$2:$N$464),2,)</f>
        <v>YZ40000741</v>
      </c>
      <c r="T81" s="35" t="str">
        <f t="array" ref="T81">VLOOKUP(Q81&amp;R81,IF({1,0},$B$2:$B$464&amp;$F$2:$F$464,$E$2:$E$464),2,)</f>
        <v>ARJ21货运型设计（2022年上飞院）</v>
      </c>
      <c r="U81" s="35">
        <f t="array" ref="U81">VLOOKUP(Q81&amp;R81,IF({1,0},$B$2:$B$464&amp;$F$2:$F$464,$C$2:$C$464),2,)</f>
        <v>50032</v>
      </c>
      <c r="V81" s="35" t="str">
        <f t="array" ref="V81">VLOOKUP(Q81&amp;R81,IF({1,0},$B$2:$B$464&amp;$F$2:$F$464,$D$2:$D$464),2,)</f>
        <v>总体室</v>
      </c>
    </row>
    <row r="82" s="35" customFormat="1" customHeight="1" spans="1:22">
      <c r="A82" s="47">
        <f t="shared" si="2"/>
        <v>81</v>
      </c>
      <c r="B82" s="48" t="s">
        <v>292</v>
      </c>
      <c r="C82" s="49">
        <f>IFERROR(VLOOKUP(B82,[1]工程研发事业部人员名单!B:D,2,0),"")</f>
        <v>51385</v>
      </c>
      <c r="D82" s="50" t="str">
        <f>IFERROR(VLOOKUP(B82,[1]工程研发事业部人员名单!B:D,3,0),"")</f>
        <v>系统室</v>
      </c>
      <c r="E82" s="51" t="s">
        <v>191</v>
      </c>
      <c r="F82" s="52">
        <f t="shared" si="3"/>
        <v>2.5</v>
      </c>
      <c r="G82" s="53"/>
      <c r="H82" s="53"/>
      <c r="I82" s="53">
        <v>2.5</v>
      </c>
      <c r="J82" s="53"/>
      <c r="K82" s="57"/>
      <c r="L82" s="57"/>
      <c r="M82" s="59" t="s">
        <v>684</v>
      </c>
      <c r="N82" s="58">
        <f>VLOOKUP(E82,订单号!B:C,2,0)</f>
        <v>10502</v>
      </c>
      <c r="O82" s="35" t="e">
        <f>VLOOKUP(C82,领导干部!B:B,1,0)</f>
        <v>#N/A</v>
      </c>
      <c r="Q82" t="s">
        <v>686</v>
      </c>
      <c r="R82">
        <v>75</v>
      </c>
      <c r="S82">
        <f t="array" ref="S82">VLOOKUP(Q82&amp;R82,IF({1,0},$B$2:$B$464&amp;$F$2:$F$464,$N$2:$N$464),2,)</f>
        <v>0</v>
      </c>
      <c r="T82" s="35" t="str">
        <f t="array" ref="T82">VLOOKUP(Q82&amp;R82,IF({1,0},$B$2:$B$464&amp;$F$2:$F$464,$E$2:$E$464),2,)</f>
        <v>培训工作</v>
      </c>
      <c r="U82" s="35">
        <f t="array" ref="U82">VLOOKUP(Q82&amp;R82,IF({1,0},$B$2:$B$464&amp;$F$2:$F$464,$C$2:$C$464),2,)</f>
        <v>52016</v>
      </c>
      <c r="V82" s="35" t="str">
        <f t="array" ref="V82">VLOOKUP(Q82&amp;R82,IF({1,0},$B$2:$B$464&amp;$F$2:$F$464,$D$2:$D$464),2,)</f>
        <v>结构一室</v>
      </c>
    </row>
    <row r="83" s="35" customFormat="1" customHeight="1" spans="1:22">
      <c r="A83" s="47">
        <f t="shared" si="2"/>
        <v>82</v>
      </c>
      <c r="B83" s="48" t="s">
        <v>685</v>
      </c>
      <c r="C83" s="49">
        <f>IFERROR(VLOOKUP(B83,[1]工程研发事业部人员名单!B:D,2,0),"")</f>
        <v>52166</v>
      </c>
      <c r="D83" s="50" t="str">
        <f>IFERROR(VLOOKUP(B83,[1]工程研发事业部人员名单!B:D,3,0),"")</f>
        <v>系统室</v>
      </c>
      <c r="E83" s="51" t="s">
        <v>191</v>
      </c>
      <c r="F83" s="52">
        <f t="shared" si="3"/>
        <v>2</v>
      </c>
      <c r="G83" s="53"/>
      <c r="H83" s="53"/>
      <c r="I83" s="53">
        <v>2</v>
      </c>
      <c r="J83" s="53"/>
      <c r="K83" s="57"/>
      <c r="L83" s="57"/>
      <c r="M83" s="59" t="s">
        <v>684</v>
      </c>
      <c r="N83" s="58">
        <f>VLOOKUP(E83,订单号!B:C,2,0)</f>
        <v>10502</v>
      </c>
      <c r="O83" s="35" t="e">
        <f>VLOOKUP(C83,领导干部!B:B,1,0)</f>
        <v>#N/A</v>
      </c>
      <c r="Q83" t="s">
        <v>223</v>
      </c>
      <c r="R83">
        <v>284.6</v>
      </c>
      <c r="S83" t="e">
        <f t="array" ref="S83">VLOOKUP(Q83&amp;R83,IF({1,0},$B$2:$B$464&amp;$F$2:$F$464,$N$2:$N$464),2,)</f>
        <v>#N/A</v>
      </c>
      <c r="T83" s="35" t="str">
        <f t="array" ref="T83">VLOOKUP(Q83&amp;R83,IF({1,0},$B$2:$B$464&amp;$F$2:$F$464,$E$2:$E$464),2,)</f>
        <v>6号设计（2021年）</v>
      </c>
      <c r="U83" s="35">
        <f t="array" ref="U83">VLOOKUP(Q83&amp;R83,IF({1,0},$B$2:$B$464&amp;$F$2:$F$464,$C$2:$C$464),2,)</f>
        <v>51166</v>
      </c>
      <c r="V83" s="35" t="str">
        <f t="array" ref="V83">VLOOKUP(Q83&amp;R83,IF({1,0},$B$2:$B$464&amp;$F$2:$F$464,$D$2:$D$464),2,)</f>
        <v>工程项目室</v>
      </c>
    </row>
    <row r="84" s="35" customFormat="1" customHeight="1" spans="1:22">
      <c r="A84" s="47">
        <f t="shared" si="2"/>
        <v>83</v>
      </c>
      <c r="B84" s="48" t="s">
        <v>360</v>
      </c>
      <c r="C84" s="49">
        <f>IFERROR(VLOOKUP(B84,[1]工程研发事业部人员名单!B:D,2,0),"")</f>
        <v>50713</v>
      </c>
      <c r="D84" s="50" t="str">
        <f>IFERROR(VLOOKUP(B84,[1]工程研发事业部人员名单!B:D,3,0),"")</f>
        <v>系统室</v>
      </c>
      <c r="E84" s="51" t="s">
        <v>191</v>
      </c>
      <c r="F84" s="52">
        <f t="shared" si="3"/>
        <v>2.5</v>
      </c>
      <c r="G84" s="53"/>
      <c r="H84" s="53"/>
      <c r="I84" s="53">
        <v>2.5</v>
      </c>
      <c r="J84" s="53"/>
      <c r="K84" s="57"/>
      <c r="L84" s="57"/>
      <c r="M84" s="59" t="s">
        <v>684</v>
      </c>
      <c r="N84" s="58">
        <f>VLOOKUP(E84,订单号!B:C,2,0)</f>
        <v>10502</v>
      </c>
      <c r="O84" s="35" t="e">
        <f>VLOOKUP(C84,领导干部!B:B,1,0)</f>
        <v>#N/A</v>
      </c>
      <c r="Q84" t="s">
        <v>399</v>
      </c>
      <c r="R84">
        <v>185</v>
      </c>
      <c r="S84" t="e">
        <f t="array" ref="S84">VLOOKUP(Q84&amp;R84,IF({1,0},$B$2:$B$464&amp;$F$2:$F$464,$N$2:$N$464),2,)</f>
        <v>#N/A</v>
      </c>
      <c r="T84" s="35" t="str">
        <f t="array" ref="T84">VLOOKUP(Q84&amp;R84,IF({1,0},$B$2:$B$464&amp;$F$2:$F$464,$E$2:$E$464),2,)</f>
        <v>1号设计（2022年KTB）</v>
      </c>
      <c r="U84" s="35">
        <f t="array" ref="U84">VLOOKUP(Q84&amp;R84,IF({1,0},$B$2:$B$464&amp;$F$2:$F$464,$C$2:$C$464),2,)</f>
        <v>27100</v>
      </c>
      <c r="V84" s="35" t="str">
        <f t="array" ref="V84">VLOOKUP(Q84&amp;R84,IF({1,0},$B$2:$B$464&amp;$F$2:$F$464,$D$2:$D$464),2,)</f>
        <v>综合技术室</v>
      </c>
    </row>
    <row r="85" s="35" customFormat="1" customHeight="1" spans="1:22">
      <c r="A85" s="47">
        <f t="shared" si="2"/>
        <v>84</v>
      </c>
      <c r="B85" s="48" t="s">
        <v>376</v>
      </c>
      <c r="C85" s="49">
        <f>IFERROR(VLOOKUP(B85,[1]工程研发事业部人员名单!B:D,2,0),"")</f>
        <v>50872</v>
      </c>
      <c r="D85" s="50" t="str">
        <f>IFERROR(VLOOKUP(B85,[1]工程研发事业部人员名单!B:D,3,0),"")</f>
        <v>系统室</v>
      </c>
      <c r="E85" s="51" t="s">
        <v>191</v>
      </c>
      <c r="F85" s="52">
        <f t="shared" si="3"/>
        <v>2.5</v>
      </c>
      <c r="G85" s="53"/>
      <c r="H85" s="53"/>
      <c r="I85" s="53">
        <v>2.5</v>
      </c>
      <c r="J85" s="53"/>
      <c r="K85" s="57"/>
      <c r="L85" s="57"/>
      <c r="M85" s="59" t="s">
        <v>684</v>
      </c>
      <c r="N85" s="58">
        <f>VLOOKUP(E85,订单号!B:C,2,0)</f>
        <v>10502</v>
      </c>
      <c r="O85" s="35" t="e">
        <f>VLOOKUP(C85,领导干部!B:B,1,0)</f>
        <v>#N/A</v>
      </c>
      <c r="Q85" t="s">
        <v>295</v>
      </c>
      <c r="R85">
        <v>60</v>
      </c>
      <c r="S85" t="e">
        <f t="array" ref="S85">VLOOKUP(Q85&amp;R85,IF({1,0},$B$2:$B$464&amp;$F$2:$F$464,$N$2:$N$464),2,)</f>
        <v>#N/A</v>
      </c>
      <c r="T85" s="35" t="str">
        <f t="array" ref="T85">VLOOKUP(Q85&amp;R85,IF({1,0},$B$2:$B$464&amp;$F$2:$F$464,$E$2:$E$464),2,)</f>
        <v>CR929设计（2022年复材中心）</v>
      </c>
      <c r="U85" s="35">
        <f t="array" ref="U85">VLOOKUP(Q85&amp;R85,IF({1,0},$B$2:$B$464&amp;$F$2:$F$464,$C$2:$C$464),2,)</f>
        <v>51951</v>
      </c>
      <c r="V85" s="35" t="str">
        <f t="array" ref="V85">VLOOKUP(Q85&amp;R85,IF({1,0},$B$2:$B$464&amp;$F$2:$F$464,$D$2:$D$464),2,)</f>
        <v>系统室</v>
      </c>
    </row>
    <row r="86" s="35" customFormat="1" customHeight="1" spans="1:22">
      <c r="A86" s="47">
        <f t="shared" si="2"/>
        <v>85</v>
      </c>
      <c r="B86" s="48" t="s">
        <v>321</v>
      </c>
      <c r="C86" s="49">
        <f>IFERROR(VLOOKUP(B86,[1]工程研发事业部人员名单!B:D,2,0),"")</f>
        <v>51430</v>
      </c>
      <c r="D86" s="50" t="str">
        <f>IFERROR(VLOOKUP(B86,[1]工程研发事业部人员名单!B:D,3,0),"")</f>
        <v>系统室</v>
      </c>
      <c r="E86" s="51" t="s">
        <v>191</v>
      </c>
      <c r="F86" s="52">
        <f t="shared" si="3"/>
        <v>2.5</v>
      </c>
      <c r="G86" s="53"/>
      <c r="H86" s="53"/>
      <c r="I86" s="53">
        <v>2.5</v>
      </c>
      <c r="J86" s="53"/>
      <c r="K86" s="57"/>
      <c r="L86" s="57"/>
      <c r="M86" s="59" t="s">
        <v>684</v>
      </c>
      <c r="N86" s="58">
        <f>VLOOKUP(E86,订单号!B:C,2,0)</f>
        <v>10502</v>
      </c>
      <c r="O86" s="35" t="e">
        <f>VLOOKUP(C86,领导干部!B:B,1,0)</f>
        <v>#N/A</v>
      </c>
      <c r="Q86" t="s">
        <v>687</v>
      </c>
      <c r="R86">
        <v>157.5</v>
      </c>
      <c r="S86">
        <f t="array" ref="S86">VLOOKUP(Q86&amp;R86,IF({1,0},$B$2:$B$464&amp;$F$2:$F$464,$N$2:$N$464),2,)</f>
        <v>10502</v>
      </c>
      <c r="T86" s="35" t="str">
        <f t="array" ref="T86">VLOOKUP(Q86&amp;R86,IF({1,0},$B$2:$B$464&amp;$F$2:$F$464,$E$2:$E$464),2,)</f>
        <v>工程支持</v>
      </c>
      <c r="U86" s="35" t="str">
        <f t="array" ref="U86">VLOOKUP(Q86&amp;R86,IF({1,0},$B$2:$B$464&amp;$F$2:$F$464,$C$2:$C$464),2,)</f>
        <v>02501</v>
      </c>
      <c r="V86" s="35" t="str">
        <f t="array" ref="V86">VLOOKUP(Q86&amp;R86,IF({1,0},$B$2:$B$464&amp;$F$2:$F$464,$D$2:$D$464),2,)</f>
        <v>综合技术室</v>
      </c>
    </row>
    <row r="87" s="35" customFormat="1" customHeight="1" spans="1:22">
      <c r="A87" s="47">
        <f t="shared" si="2"/>
        <v>86</v>
      </c>
      <c r="B87" s="48" t="s">
        <v>298</v>
      </c>
      <c r="C87" s="49">
        <f>IFERROR(VLOOKUP(B87,[1]工程研发事业部人员名单!B:D,2,0),"")</f>
        <v>51517</v>
      </c>
      <c r="D87" s="50" t="str">
        <f>IFERROR(VLOOKUP(B87,[1]工程研发事业部人员名单!B:D,3,0),"")</f>
        <v>系统室</v>
      </c>
      <c r="E87" s="51" t="s">
        <v>191</v>
      </c>
      <c r="F87" s="52">
        <f t="shared" si="3"/>
        <v>2</v>
      </c>
      <c r="G87" s="53"/>
      <c r="H87" s="53"/>
      <c r="I87" s="53">
        <v>2</v>
      </c>
      <c r="J87" s="53"/>
      <c r="K87" s="57"/>
      <c r="L87" s="57"/>
      <c r="M87" s="59" t="s">
        <v>684</v>
      </c>
      <c r="N87" s="58">
        <f>VLOOKUP(E87,订单号!B:C,2,0)</f>
        <v>10502</v>
      </c>
      <c r="O87" s="35" t="e">
        <f>VLOOKUP(C87,领导干部!B:B,1,0)</f>
        <v>#N/A</v>
      </c>
      <c r="Q87" t="s">
        <v>405</v>
      </c>
      <c r="R87">
        <v>157</v>
      </c>
      <c r="S87">
        <f t="array" ref="S87">VLOOKUP(Q87&amp;R87,IF({1,0},$B$2:$B$464&amp;$F$2:$F$464,$N$2:$N$464),2,)</f>
        <v>10502</v>
      </c>
      <c r="T87" s="35" t="str">
        <f t="array" ref="T87">VLOOKUP(Q87&amp;R87,IF({1,0},$B$2:$B$464&amp;$F$2:$F$464,$E$2:$E$464),2,)</f>
        <v>工程支持</v>
      </c>
      <c r="U87" s="35">
        <f t="array" ref="U87">VLOOKUP(Q87&amp;R87,IF({1,0},$B$2:$B$464&amp;$F$2:$F$464,$C$2:$C$464),2,)</f>
        <v>50686</v>
      </c>
      <c r="V87" s="35" t="str">
        <f t="array" ref="V87">VLOOKUP(Q87&amp;R87,IF({1,0},$B$2:$B$464&amp;$F$2:$F$464,$D$2:$D$464),2,)</f>
        <v>综合技术室</v>
      </c>
    </row>
    <row r="88" s="35" customFormat="1" customHeight="1" spans="1:22">
      <c r="A88" s="47">
        <f t="shared" si="2"/>
        <v>87</v>
      </c>
      <c r="B88" s="48" t="s">
        <v>295</v>
      </c>
      <c r="C88" s="49">
        <f>IFERROR(VLOOKUP(B88,[1]工程研发事业部人员名单!B:D,2,0),"")</f>
        <v>51951</v>
      </c>
      <c r="D88" s="50" t="str">
        <f>IFERROR(VLOOKUP(B88,[1]工程研发事业部人员名单!B:D,3,0),"")</f>
        <v>系统室</v>
      </c>
      <c r="E88" s="51" t="s">
        <v>191</v>
      </c>
      <c r="F88" s="52">
        <f t="shared" si="3"/>
        <v>2</v>
      </c>
      <c r="G88" s="53"/>
      <c r="H88" s="53"/>
      <c r="I88" s="53">
        <v>2</v>
      </c>
      <c r="J88" s="53"/>
      <c r="K88" s="57"/>
      <c r="L88" s="57"/>
      <c r="M88" s="59" t="s">
        <v>684</v>
      </c>
      <c r="N88" s="58">
        <f>VLOOKUP(E88,订单号!B:C,2,0)</f>
        <v>10502</v>
      </c>
      <c r="O88" s="35" t="e">
        <f>VLOOKUP(C88,领导干部!B:B,1,0)</f>
        <v>#N/A</v>
      </c>
      <c r="Q88" t="s">
        <v>258</v>
      </c>
      <c r="R88">
        <v>225</v>
      </c>
      <c r="S88" t="e">
        <f t="array" ref="S88">VLOOKUP(Q88&amp;R88,IF({1,0},$B$2:$B$464&amp;$F$2:$F$464,$N$2:$N$464),2,)</f>
        <v>#N/A</v>
      </c>
      <c r="T88" s="35" t="str">
        <f t="array" ref="T88">VLOOKUP(Q88&amp;R88,IF({1,0},$B$2:$B$464&amp;$F$2:$F$464,$E$2:$E$464),2,)</f>
        <v>1号设计（2022年KTB）</v>
      </c>
      <c r="U88" s="35">
        <f t="array" ref="U88">VLOOKUP(Q88&amp;R88,IF({1,0},$B$2:$B$464&amp;$F$2:$F$464,$C$2:$C$464),2,)</f>
        <v>25601</v>
      </c>
      <c r="V88" s="35" t="str">
        <f t="array" ref="V88">VLOOKUP(Q88&amp;R88,IF({1,0},$B$2:$B$464&amp;$F$2:$F$464,$D$2:$D$464),2,)</f>
        <v>联络工程室</v>
      </c>
    </row>
    <row r="89" s="35" customFormat="1" customHeight="1" spans="1:22">
      <c r="A89" s="47">
        <f t="shared" si="2"/>
        <v>88</v>
      </c>
      <c r="B89" s="48" t="s">
        <v>358</v>
      </c>
      <c r="C89" s="49">
        <f>IFERROR(VLOOKUP(B89,[1]工程研发事业部人员名单!B:D,2,0),"")</f>
        <v>51387</v>
      </c>
      <c r="D89" s="50" t="str">
        <f>IFERROR(VLOOKUP(B89,[1]工程研发事业部人员名单!B:D,3,0),"")</f>
        <v>系统室</v>
      </c>
      <c r="E89" s="51" t="s">
        <v>191</v>
      </c>
      <c r="F89" s="52">
        <f t="shared" si="3"/>
        <v>2.5</v>
      </c>
      <c r="G89" s="53"/>
      <c r="H89" s="53"/>
      <c r="I89" s="53">
        <v>2.5</v>
      </c>
      <c r="J89" s="53"/>
      <c r="K89" s="57"/>
      <c r="L89" s="57"/>
      <c r="M89" s="59" t="s">
        <v>684</v>
      </c>
      <c r="N89" s="58">
        <f>VLOOKUP(E89,订单号!B:C,2,0)</f>
        <v>10502</v>
      </c>
      <c r="O89" s="35" t="e">
        <f>VLOOKUP(C89,领导干部!B:B,1,0)</f>
        <v>#N/A</v>
      </c>
      <c r="Q89" t="s">
        <v>408</v>
      </c>
      <c r="R89">
        <v>255</v>
      </c>
      <c r="S89" t="e">
        <f t="array" ref="S89">VLOOKUP(Q89&amp;R89,IF({1,0},$B$2:$B$464&amp;$F$2:$F$464,$N$2:$N$464),2,)</f>
        <v>#N/A</v>
      </c>
      <c r="T89" s="35" t="str">
        <f t="array" ref="T89">VLOOKUP(Q89&amp;R89,IF({1,0},$B$2:$B$464&amp;$F$2:$F$464,$E$2:$E$464),2,)</f>
        <v>1号设计（2022年KTB）</v>
      </c>
      <c r="U89" s="35">
        <f t="array" ref="U89">VLOOKUP(Q89&amp;R89,IF({1,0},$B$2:$B$464&amp;$F$2:$F$464,$C$2:$C$464),2,)</f>
        <v>25548</v>
      </c>
      <c r="V89" s="35" t="str">
        <f t="array" ref="V89">VLOOKUP(Q89&amp;R89,IF({1,0},$B$2:$B$464&amp;$F$2:$F$464,$D$2:$D$464),2,)</f>
        <v>结构一室</v>
      </c>
    </row>
    <row r="90" s="35" customFormat="1" customHeight="1" spans="1:22">
      <c r="A90" s="47">
        <f t="shared" si="2"/>
        <v>89</v>
      </c>
      <c r="B90" s="48" t="s">
        <v>311</v>
      </c>
      <c r="C90" s="49">
        <f>IFERROR(VLOOKUP(B90,[1]工程研发事业部人员名单!B:D,2,0),"")</f>
        <v>51435</v>
      </c>
      <c r="D90" s="50" t="str">
        <f>IFERROR(VLOOKUP(B90,[1]工程研发事业部人员名单!B:D,3,0),"")</f>
        <v>系统室</v>
      </c>
      <c r="E90" s="51" t="s">
        <v>191</v>
      </c>
      <c r="F90" s="52">
        <f t="shared" si="3"/>
        <v>2.5</v>
      </c>
      <c r="G90" s="53"/>
      <c r="H90" s="53"/>
      <c r="I90" s="53">
        <v>2.5</v>
      </c>
      <c r="J90" s="53"/>
      <c r="K90" s="57"/>
      <c r="L90" s="57"/>
      <c r="M90" s="59" t="s">
        <v>684</v>
      </c>
      <c r="N90" s="58">
        <f>VLOOKUP(E90,订单号!B:C,2,0)</f>
        <v>10502</v>
      </c>
      <c r="O90" s="35" t="e">
        <f>VLOOKUP(C90,领导干部!B:B,1,0)</f>
        <v>#N/A</v>
      </c>
      <c r="Q90" t="s">
        <v>688</v>
      </c>
      <c r="R90">
        <v>457.69</v>
      </c>
      <c r="S90">
        <f t="array" ref="S90">VLOOKUP(Q90&amp;R90,IF({1,0},$B$2:$B$464&amp;$F$2:$F$464,$N$2:$N$464),2,)</f>
        <v>10502</v>
      </c>
      <c r="T90" s="35" t="str">
        <f t="array" ref="T90">VLOOKUP(Q90&amp;R90,IF({1,0},$B$2:$B$464&amp;$F$2:$F$464,$E$2:$E$464),2,)</f>
        <v>工程支持</v>
      </c>
      <c r="U90" s="35">
        <f t="array" ref="U90">VLOOKUP(Q90&amp;R90,IF({1,0},$B$2:$B$464&amp;$F$2:$F$464,$C$2:$C$464),2,)</f>
        <v>52161</v>
      </c>
      <c r="V90" s="35" t="str">
        <f t="array" ref="V90">VLOOKUP(Q90&amp;R90,IF({1,0},$B$2:$B$464&amp;$F$2:$F$464,$D$2:$D$464),2,)</f>
        <v>联络工程室</v>
      </c>
    </row>
    <row r="91" s="35" customFormat="1" customHeight="1" spans="1:22">
      <c r="A91" s="47">
        <f t="shared" si="2"/>
        <v>90</v>
      </c>
      <c r="B91" s="48" t="s">
        <v>338</v>
      </c>
      <c r="C91" s="49">
        <f>IFERROR(VLOOKUP(B91,[1]工程研发事业部人员名单!B:D,2,0),"")</f>
        <v>52156</v>
      </c>
      <c r="D91" s="50" t="str">
        <f>IFERROR(VLOOKUP(B91,[1]工程研发事业部人员名单!B:D,3,0),"")</f>
        <v>系统室</v>
      </c>
      <c r="E91" s="51" t="s">
        <v>191</v>
      </c>
      <c r="F91" s="52">
        <f t="shared" si="3"/>
        <v>2</v>
      </c>
      <c r="G91" s="53"/>
      <c r="H91" s="53"/>
      <c r="I91" s="53">
        <v>2</v>
      </c>
      <c r="J91" s="53"/>
      <c r="K91" s="57"/>
      <c r="L91" s="57"/>
      <c r="M91" s="59" t="s">
        <v>684</v>
      </c>
      <c r="N91" s="58">
        <f>VLOOKUP(E91,订单号!B:C,2,0)</f>
        <v>10502</v>
      </c>
      <c r="O91" s="35" t="e">
        <f>VLOOKUP(C91,领导干部!B:B,1,0)</f>
        <v>#N/A</v>
      </c>
      <c r="Q91" t="s">
        <v>358</v>
      </c>
      <c r="R91">
        <v>100</v>
      </c>
      <c r="S91" t="e">
        <f t="array" ref="S91">VLOOKUP(Q91&amp;R91,IF({1,0},$B$2:$B$464&amp;$F$2:$F$464,$N$2:$N$464),2,)</f>
        <v>#N/A</v>
      </c>
      <c r="T91" s="35" t="str">
        <f t="array" ref="T91">VLOOKUP(Q91&amp;R91,IF({1,0},$B$2:$B$464&amp;$F$2:$F$464,$E$2:$E$464),2,)</f>
        <v>CR929设计（2022年复材中心）</v>
      </c>
      <c r="U91" s="35">
        <f t="array" ref="U91">VLOOKUP(Q91&amp;R91,IF({1,0},$B$2:$B$464&amp;$F$2:$F$464,$C$2:$C$464),2,)</f>
        <v>51387</v>
      </c>
      <c r="V91" s="35" t="str">
        <f t="array" ref="V91">VLOOKUP(Q91&amp;R91,IF({1,0},$B$2:$B$464&amp;$F$2:$F$464,$D$2:$D$464),2,)</f>
        <v>系统室</v>
      </c>
    </row>
    <row r="92" s="35" customFormat="1" customHeight="1" spans="1:22">
      <c r="A92" s="47">
        <f t="shared" si="2"/>
        <v>91</v>
      </c>
      <c r="B92" s="48" t="s">
        <v>414</v>
      </c>
      <c r="C92" s="49">
        <f>IFERROR(VLOOKUP(B92,[1]工程研发事业部人员名单!B:D,2,0),"")</f>
        <v>51162</v>
      </c>
      <c r="D92" s="50" t="str">
        <f>IFERROR(VLOOKUP(B92,[1]工程研发事业部人员名单!B:D,3,0),"")</f>
        <v>工程项目室</v>
      </c>
      <c r="E92" s="51" t="s">
        <v>191</v>
      </c>
      <c r="F92" s="52">
        <f t="shared" si="3"/>
        <v>20</v>
      </c>
      <c r="G92" s="53"/>
      <c r="H92" s="53"/>
      <c r="I92" s="53">
        <v>20</v>
      </c>
      <c r="J92" s="53"/>
      <c r="K92" s="57"/>
      <c r="L92" s="57"/>
      <c r="M92" s="59" t="s">
        <v>684</v>
      </c>
      <c r="N92" s="58">
        <f>VLOOKUP(E92,订单号!B:C,2,0)</f>
        <v>10502</v>
      </c>
      <c r="O92" s="35">
        <f>VLOOKUP(C92,领导干部!B:B,1,0)</f>
        <v>51162</v>
      </c>
      <c r="Q92" t="s">
        <v>409</v>
      </c>
      <c r="R92">
        <v>366.72</v>
      </c>
      <c r="S92">
        <f t="array" ref="S92">VLOOKUP(Q92&amp;R92,IF({1,0},$B$2:$B$464&amp;$F$2:$F$464,$N$2:$N$464),2,)</f>
        <v>10502</v>
      </c>
      <c r="T92" s="35" t="str">
        <f t="array" ref="T92">VLOOKUP(Q92&amp;R92,IF({1,0},$B$2:$B$464&amp;$F$2:$F$464,$E$2:$E$464),2,)</f>
        <v>工程支持</v>
      </c>
      <c r="U92" s="35">
        <f t="array" ref="U92">VLOOKUP(Q92&amp;R92,IF({1,0},$B$2:$B$464&amp;$F$2:$F$464,$C$2:$C$464),2,)</f>
        <v>26621</v>
      </c>
      <c r="V92" s="35" t="str">
        <f t="array" ref="V92">VLOOKUP(Q92&amp;R92,IF({1,0},$B$2:$B$464&amp;$F$2:$F$464,$D$2:$D$464),2,)</f>
        <v>联络工程室</v>
      </c>
    </row>
    <row r="93" s="35" customFormat="1" customHeight="1" spans="1:22">
      <c r="A93" s="47">
        <f t="shared" si="2"/>
        <v>92</v>
      </c>
      <c r="B93" s="48" t="s">
        <v>451</v>
      </c>
      <c r="C93" s="49">
        <f>IFERROR(VLOOKUP(B93,[1]工程研发事业部人员名单!B:D,2,0),"")</f>
        <v>50245</v>
      </c>
      <c r="D93" s="50" t="str">
        <f>IFERROR(VLOOKUP(B93,[1]工程研发事业部人员名单!B:D,3,0),"")</f>
        <v>综合技术室</v>
      </c>
      <c r="E93" s="51" t="s">
        <v>191</v>
      </c>
      <c r="F93" s="52">
        <f t="shared" si="3"/>
        <v>19.5</v>
      </c>
      <c r="G93" s="53"/>
      <c r="H93" s="53"/>
      <c r="I93" s="53">
        <v>19.5</v>
      </c>
      <c r="J93" s="53"/>
      <c r="K93" s="57"/>
      <c r="L93" s="57"/>
      <c r="M93" s="59" t="s">
        <v>684</v>
      </c>
      <c r="N93" s="58">
        <f>VLOOKUP(E93,订单号!B:C,2,0)</f>
        <v>10502</v>
      </c>
      <c r="O93" s="35" t="e">
        <f>VLOOKUP(C93,领导干部!B:B,1,0)</f>
        <v>#N/A</v>
      </c>
      <c r="Q93" t="s">
        <v>389</v>
      </c>
      <c r="R93">
        <v>140</v>
      </c>
      <c r="S93" t="str">
        <f t="array" ref="S93">VLOOKUP(Q93&amp;R93,IF({1,0},$B$2:$B$464&amp;$F$2:$F$464,$N$2:$N$464),2,)</f>
        <v>YZ40000680</v>
      </c>
      <c r="T93" s="35" t="str">
        <f t="array" ref="T93">VLOOKUP(Q93&amp;R93,IF({1,0},$B$2:$B$464&amp;$F$2:$F$464,$E$2:$E$464),2,)</f>
        <v>C919设计（2022年上飞院）</v>
      </c>
      <c r="U93" s="35">
        <f t="array" ref="U93">VLOOKUP(Q93&amp;R93,IF({1,0},$B$2:$B$464&amp;$F$2:$F$464,$C$2:$C$464),2,)</f>
        <v>22291</v>
      </c>
      <c r="V93" s="35" t="str">
        <f t="array" ref="V93">VLOOKUP(Q93&amp;R93,IF({1,0},$B$2:$B$464&amp;$F$2:$F$464,$D$2:$D$464),2,)</f>
        <v>综合技术室</v>
      </c>
    </row>
    <row r="94" s="35" customFormat="1" customHeight="1" spans="1:22">
      <c r="A94" s="47">
        <f t="shared" si="2"/>
        <v>93</v>
      </c>
      <c r="B94" s="48" t="s">
        <v>687</v>
      </c>
      <c r="C94" s="49" t="str">
        <f>IFERROR(VLOOKUP(B94,[1]工程研发事业部人员名单!B:D,2,0),"")</f>
        <v>02501</v>
      </c>
      <c r="D94" s="50" t="str">
        <f>IFERROR(VLOOKUP(B94,[1]工程研发事业部人员名单!B:D,3,0),"")</f>
        <v>综合技术室</v>
      </c>
      <c r="E94" s="51" t="s">
        <v>191</v>
      </c>
      <c r="F94" s="52">
        <f t="shared" si="3"/>
        <v>15</v>
      </c>
      <c r="G94" s="53"/>
      <c r="H94" s="53"/>
      <c r="I94" s="53">
        <v>15</v>
      </c>
      <c r="J94" s="53"/>
      <c r="K94" s="57"/>
      <c r="L94" s="57"/>
      <c r="M94" s="59" t="s">
        <v>684</v>
      </c>
      <c r="N94" s="58">
        <f>VLOOKUP(E94,订单号!B:C,2,0)</f>
        <v>10502</v>
      </c>
      <c r="O94" s="35" t="e">
        <f>VLOOKUP(C94,领导干部!B:B,1,0)</f>
        <v>#N/A</v>
      </c>
      <c r="Q94" t="s">
        <v>410</v>
      </c>
      <c r="R94">
        <v>120</v>
      </c>
      <c r="S94" t="e">
        <f t="array" ref="S94">VLOOKUP(Q94&amp;R94,IF({1,0},$B$2:$B$464&amp;$F$2:$F$464,$N$2:$N$464),2,)</f>
        <v>#N/A</v>
      </c>
      <c r="T94" s="35" t="str">
        <f t="array" ref="T94">VLOOKUP(Q94&amp;R94,IF({1,0},$B$2:$B$464&amp;$F$2:$F$464,$E$2:$E$464),2,)</f>
        <v>CR929设计（2022年复材中心）</v>
      </c>
      <c r="U94" s="35">
        <f t="array" ref="U94">VLOOKUP(Q94&amp;R94,IF({1,0},$B$2:$B$464&amp;$F$2:$F$464,$C$2:$C$464),2,)</f>
        <v>51196</v>
      </c>
      <c r="V94" s="35" t="str">
        <f t="array" ref="V94">VLOOKUP(Q94&amp;R94,IF({1,0},$B$2:$B$464&amp;$F$2:$F$464,$D$2:$D$464),2,)</f>
        <v>强度室</v>
      </c>
    </row>
    <row r="95" s="35" customFormat="1" customHeight="1" spans="1:22">
      <c r="A95" s="47">
        <f t="shared" si="2"/>
        <v>94</v>
      </c>
      <c r="B95" s="48" t="s">
        <v>514</v>
      </c>
      <c r="C95" s="49">
        <f>IFERROR(VLOOKUP(B95,[1]工程研发事业部人员名单!B:D,2,0),"")</f>
        <v>17787</v>
      </c>
      <c r="D95" s="50" t="str">
        <f>IFERROR(VLOOKUP(B95,[1]工程研发事业部人员名单!B:D,3,0),"")</f>
        <v>综合技术室</v>
      </c>
      <c r="E95" s="51" t="s">
        <v>191</v>
      </c>
      <c r="F95" s="52">
        <f t="shared" si="3"/>
        <v>15</v>
      </c>
      <c r="G95" s="53"/>
      <c r="H95" s="53"/>
      <c r="I95" s="53">
        <v>15</v>
      </c>
      <c r="J95" s="53"/>
      <c r="K95" s="57"/>
      <c r="L95" s="57"/>
      <c r="M95" s="59" t="s">
        <v>684</v>
      </c>
      <c r="N95" s="58">
        <f>VLOOKUP(E95,订单号!B:C,2,0)</f>
        <v>10502</v>
      </c>
      <c r="O95" s="35" t="e">
        <f>VLOOKUP(C95,领导干部!B:B,1,0)</f>
        <v>#N/A</v>
      </c>
      <c r="Q95" t="s">
        <v>412</v>
      </c>
      <c r="R95">
        <v>358.92</v>
      </c>
      <c r="S95">
        <f t="array" ref="S95">VLOOKUP(Q95&amp;R95,IF({1,0},$B$2:$B$464&amp;$F$2:$F$464,$N$2:$N$464),2,)</f>
        <v>10502</v>
      </c>
      <c r="T95" s="35" t="str">
        <f t="array" ref="T95">VLOOKUP(Q95&amp;R95,IF({1,0},$B$2:$B$464&amp;$F$2:$F$464,$E$2:$E$464),2,)</f>
        <v>工程支持</v>
      </c>
      <c r="U95" s="35">
        <f t="array" ref="U95">VLOOKUP(Q95&amp;R95,IF({1,0},$B$2:$B$464&amp;$F$2:$F$464,$C$2:$C$464),2,)</f>
        <v>22250</v>
      </c>
      <c r="V95" s="35" t="str">
        <f t="array" ref="V95">VLOOKUP(Q95&amp;R95,IF({1,0},$B$2:$B$464&amp;$F$2:$F$464,$D$2:$D$464),2,)</f>
        <v>联络工程室</v>
      </c>
    </row>
    <row r="96" s="35" customFormat="1" customHeight="1" spans="1:22">
      <c r="A96" s="47">
        <f t="shared" si="2"/>
        <v>95</v>
      </c>
      <c r="B96" s="48" t="s">
        <v>313</v>
      </c>
      <c r="C96" s="49">
        <f>IFERROR(VLOOKUP(B96,[1]工程研发事业部人员名单!B:D,2,0),"")</f>
        <v>23524</v>
      </c>
      <c r="D96" s="50" t="str">
        <f>IFERROR(VLOOKUP(B96,[1]工程研发事业部人员名单!B:D,3,0),"")</f>
        <v>强度室</v>
      </c>
      <c r="E96" s="51" t="s">
        <v>191</v>
      </c>
      <c r="F96" s="52">
        <f t="shared" si="3"/>
        <v>20</v>
      </c>
      <c r="G96" s="53"/>
      <c r="H96" s="53"/>
      <c r="I96" s="53">
        <v>20</v>
      </c>
      <c r="J96" s="53"/>
      <c r="K96" s="57"/>
      <c r="L96" s="57"/>
      <c r="M96" s="59" t="s">
        <v>684</v>
      </c>
      <c r="N96" s="58">
        <f>VLOOKUP(E96,订单号!B:C,2,0)</f>
        <v>10502</v>
      </c>
      <c r="O96" s="35" t="e">
        <f>VLOOKUP(C96,领导干部!B:B,1,0)</f>
        <v>#N/A</v>
      </c>
      <c r="Q96" t="s">
        <v>414</v>
      </c>
      <c r="R96">
        <v>60</v>
      </c>
      <c r="S96" t="e">
        <f t="array" ref="S96">VLOOKUP(Q96&amp;R96,IF({1,0},$B$2:$B$464&amp;$F$2:$F$464,$N$2:$N$464),2,)</f>
        <v>#N/A</v>
      </c>
      <c r="T96" s="35" t="str">
        <f t="array" ref="T96">VLOOKUP(Q96&amp;R96,IF({1,0},$B$2:$B$464&amp;$F$2:$F$464,$E$2:$E$464),2,)</f>
        <v>C919设计（2020年上飞院）</v>
      </c>
      <c r="U96" s="35">
        <f t="array" ref="U96">VLOOKUP(Q96&amp;R96,IF({1,0},$B$2:$B$464&amp;$F$2:$F$464,$C$2:$C$464),2,)</f>
        <v>51162</v>
      </c>
      <c r="V96" s="35" t="str">
        <f t="array" ref="V96">VLOOKUP(Q96&amp;R96,IF({1,0},$B$2:$B$464&amp;$F$2:$F$464,$D$2:$D$464),2,)</f>
        <v>工程项目室</v>
      </c>
    </row>
    <row r="97" s="35" customFormat="1" customHeight="1" spans="1:22">
      <c r="A97" s="47">
        <f t="shared" si="2"/>
        <v>96</v>
      </c>
      <c r="B97" s="48" t="s">
        <v>353</v>
      </c>
      <c r="C97" s="49">
        <f>IFERROR(VLOOKUP(B97,[1]工程研发事业部人员名单!B:D,2,0),"")</f>
        <v>51395</v>
      </c>
      <c r="D97" s="50" t="str">
        <f>IFERROR(VLOOKUP(B97,[1]工程研发事业部人员名单!B:D,3,0),"")</f>
        <v>联络工程室</v>
      </c>
      <c r="E97" s="51" t="s">
        <v>191</v>
      </c>
      <c r="F97" s="52">
        <f t="shared" si="3"/>
        <v>7</v>
      </c>
      <c r="G97" s="53"/>
      <c r="H97" s="53"/>
      <c r="I97" s="53">
        <v>7</v>
      </c>
      <c r="J97" s="53"/>
      <c r="K97" s="57"/>
      <c r="L97" s="57"/>
      <c r="M97" s="59" t="s">
        <v>684</v>
      </c>
      <c r="N97" s="58">
        <f>VLOOKUP(E97,订单号!B:C,2,0)</f>
        <v>10502</v>
      </c>
      <c r="O97" s="35" t="e">
        <f>VLOOKUP(C97,领导干部!B:B,1,0)</f>
        <v>#N/A</v>
      </c>
      <c r="Q97" t="s">
        <v>259</v>
      </c>
      <c r="R97">
        <v>301.5</v>
      </c>
      <c r="S97" t="str">
        <f t="array" ref="S97">VLOOKUP(Q97&amp;R97,IF({1,0},$B$2:$B$464&amp;$F$2:$F$464,$N$2:$N$464),2,)</f>
        <v>YZ40000680</v>
      </c>
      <c r="T97" s="35" t="str">
        <f t="array" ref="T97">VLOOKUP(Q97&amp;R97,IF({1,0},$B$2:$B$464&amp;$F$2:$F$464,$E$2:$E$464),2,)</f>
        <v>C919设计（2022年上飞院）</v>
      </c>
      <c r="U97" s="35">
        <f t="array" ref="U97">VLOOKUP(Q97&amp;R97,IF({1,0},$B$2:$B$464&amp;$F$2:$F$464,$C$2:$C$464),2,)</f>
        <v>51784</v>
      </c>
      <c r="V97" s="35" t="str">
        <f t="array" ref="V97">VLOOKUP(Q97&amp;R97,IF({1,0},$B$2:$B$464&amp;$F$2:$F$464,$D$2:$D$464),2,)</f>
        <v>结构一室</v>
      </c>
    </row>
    <row r="98" s="35" customFormat="1" customHeight="1" spans="1:22">
      <c r="A98" s="47">
        <f t="shared" si="2"/>
        <v>97</v>
      </c>
      <c r="B98" s="48" t="s">
        <v>271</v>
      </c>
      <c r="C98" s="49">
        <f>IFERROR(VLOOKUP(B98,[1]工程研发事业部人员名单!B:D,2,0),"")</f>
        <v>51941</v>
      </c>
      <c r="D98" s="50" t="str">
        <f>IFERROR(VLOOKUP(B98,[1]工程研发事业部人员名单!B:D,3,0),"")</f>
        <v>联络工程室</v>
      </c>
      <c r="E98" s="51" t="s">
        <v>191</v>
      </c>
      <c r="F98" s="52">
        <f t="shared" si="3"/>
        <v>6.5</v>
      </c>
      <c r="G98" s="53"/>
      <c r="H98" s="53"/>
      <c r="I98" s="53">
        <v>6.5</v>
      </c>
      <c r="J98" s="53"/>
      <c r="K98" s="57"/>
      <c r="L98" s="57"/>
      <c r="M98" s="59" t="s">
        <v>684</v>
      </c>
      <c r="N98" s="58">
        <f>VLOOKUP(E98,订单号!B:C,2,0)</f>
        <v>10502</v>
      </c>
      <c r="O98" s="35" t="e">
        <f>VLOOKUP(C98,领导干部!B:B,1,0)</f>
        <v>#N/A</v>
      </c>
      <c r="Q98" t="s">
        <v>417</v>
      </c>
      <c r="R98">
        <v>375.81</v>
      </c>
      <c r="S98">
        <f t="array" ref="S98">VLOOKUP(Q98&amp;R98,IF({1,0},$B$2:$B$464&amp;$F$2:$F$464,$N$2:$N$464),2,)</f>
        <v>10502</v>
      </c>
      <c r="T98" s="35" t="str">
        <f t="array" ref="T98">VLOOKUP(Q98&amp;R98,IF({1,0},$B$2:$B$464&amp;$F$2:$F$464,$E$2:$E$464),2,)</f>
        <v>工程支持</v>
      </c>
      <c r="U98" s="35">
        <f t="array" ref="U98">VLOOKUP(Q98&amp;R98,IF({1,0},$B$2:$B$464&amp;$F$2:$F$464,$C$2:$C$464),2,)</f>
        <v>27106</v>
      </c>
      <c r="V98" s="35" t="str">
        <f t="array" ref="V98">VLOOKUP(Q98&amp;R98,IF({1,0},$B$2:$B$464&amp;$F$2:$F$464,$D$2:$D$464),2,)</f>
        <v>联络工程室</v>
      </c>
    </row>
    <row r="99" s="35" customFormat="1" customHeight="1" spans="1:22">
      <c r="A99" s="47">
        <f t="shared" si="2"/>
        <v>98</v>
      </c>
      <c r="B99" s="48" t="s">
        <v>307</v>
      </c>
      <c r="C99" s="49">
        <f>IFERROR(VLOOKUP(B99,[1]工程研发事业部人员名单!B:D,2,0),"")</f>
        <v>50019</v>
      </c>
      <c r="D99" s="50" t="str">
        <f>IFERROR(VLOOKUP(B99,[1]工程研发事业部人员名单!B:D,3,0),"")</f>
        <v>联络工程室</v>
      </c>
      <c r="E99" s="51" t="s">
        <v>191</v>
      </c>
      <c r="F99" s="52">
        <f t="shared" si="3"/>
        <v>6.5</v>
      </c>
      <c r="G99" s="53"/>
      <c r="H99" s="53"/>
      <c r="I99" s="53">
        <v>6.5</v>
      </c>
      <c r="J99" s="53"/>
      <c r="K99" s="57"/>
      <c r="L99" s="57"/>
      <c r="M99" s="59" t="s">
        <v>684</v>
      </c>
      <c r="N99" s="58">
        <f>VLOOKUP(E99,订单号!B:C,2,0)</f>
        <v>10502</v>
      </c>
      <c r="O99" s="35" t="e">
        <f>VLOOKUP(C99,领导干部!B:B,1,0)</f>
        <v>#N/A</v>
      </c>
      <c r="Q99" t="s">
        <v>419</v>
      </c>
      <c r="R99">
        <v>343.09</v>
      </c>
      <c r="S99">
        <f t="array" ref="S99">VLOOKUP(Q99&amp;R99,IF({1,0},$B$2:$B$464&amp;$F$2:$F$464,$N$2:$N$464),2,)</f>
        <v>10502</v>
      </c>
      <c r="T99" s="35" t="str">
        <f t="array" ref="T99">VLOOKUP(Q99&amp;R99,IF({1,0},$B$2:$B$464&amp;$F$2:$F$464,$E$2:$E$464),2,)</f>
        <v>工程支持</v>
      </c>
      <c r="U99" s="35">
        <f t="array" ref="U99">VLOOKUP(Q99&amp;R99,IF({1,0},$B$2:$B$464&amp;$F$2:$F$464,$C$2:$C$464),2,)</f>
        <v>51396</v>
      </c>
      <c r="V99" s="35" t="str">
        <f t="array" ref="V99">VLOOKUP(Q99&amp;R99,IF({1,0},$B$2:$B$464&amp;$F$2:$F$464,$D$2:$D$464),2,)</f>
        <v>联络工程室</v>
      </c>
    </row>
    <row r="100" s="35" customFormat="1" customHeight="1" spans="1:22">
      <c r="A100" s="47">
        <f t="shared" si="2"/>
        <v>99</v>
      </c>
      <c r="B100" s="48" t="s">
        <v>316</v>
      </c>
      <c r="C100" s="49">
        <f>IFERROR(VLOOKUP(B100,[1]工程研发事业部人员名单!B:D,2,0),"")</f>
        <v>50316</v>
      </c>
      <c r="D100" s="50" t="str">
        <f>IFERROR(VLOOKUP(B100,[1]工程研发事业部人员名单!B:D,3,0),"")</f>
        <v>联络工程室</v>
      </c>
      <c r="E100" s="51" t="s">
        <v>191</v>
      </c>
      <c r="F100" s="52">
        <f t="shared" si="3"/>
        <v>6.5</v>
      </c>
      <c r="G100" s="53"/>
      <c r="H100" s="53"/>
      <c r="I100" s="53">
        <v>6.5</v>
      </c>
      <c r="J100" s="53"/>
      <c r="K100" s="57"/>
      <c r="L100" s="57"/>
      <c r="M100" s="59" t="s">
        <v>684</v>
      </c>
      <c r="N100" s="58">
        <f>VLOOKUP(E100,订单号!B:C,2,0)</f>
        <v>10502</v>
      </c>
      <c r="O100" s="35" t="e">
        <f>VLOOKUP(C100,领导干部!B:B,1,0)</f>
        <v>#N/A</v>
      </c>
      <c r="Q100" t="s">
        <v>689</v>
      </c>
      <c r="R100">
        <v>278.1</v>
      </c>
      <c r="S100" t="e">
        <f t="array" ref="S100">VLOOKUP(Q100&amp;R100,IF({1,0},$B$2:$B$464&amp;$F$2:$F$464,$N$2:$N$464),2,)</f>
        <v>#N/A</v>
      </c>
      <c r="T100" s="35" t="str">
        <f t="array" ref="T100">VLOOKUP(Q100&amp;R100,IF({1,0},$B$2:$B$464&amp;$F$2:$F$464,$E$2:$E$464),2,)</f>
        <v>6号设计（2021年）</v>
      </c>
      <c r="U100" s="35">
        <f t="array" ref="U100">VLOOKUP(Q100&amp;R100,IF({1,0},$B$2:$B$464&amp;$F$2:$F$464,$C$2:$C$464),2,)</f>
        <v>23481</v>
      </c>
      <c r="V100" s="35" t="str">
        <f t="array" ref="V100">VLOOKUP(Q100&amp;R100,IF({1,0},$B$2:$B$464&amp;$F$2:$F$464,$D$2:$D$464),2,)</f>
        <v>总体室</v>
      </c>
    </row>
    <row r="101" s="35" customFormat="1" customHeight="1" spans="1:22">
      <c r="A101" s="47">
        <f t="shared" si="2"/>
        <v>100</v>
      </c>
      <c r="B101" s="48" t="s">
        <v>409</v>
      </c>
      <c r="C101" s="49">
        <f>IFERROR(VLOOKUP(B101,[1]工程研发事业部人员名单!B:D,2,0),"")</f>
        <v>26621</v>
      </c>
      <c r="D101" s="50" t="str">
        <f>IFERROR(VLOOKUP(B101,[1]工程研发事业部人员名单!B:D,3,0),"")</f>
        <v>联络工程室</v>
      </c>
      <c r="E101" s="51" t="s">
        <v>191</v>
      </c>
      <c r="F101" s="52">
        <f t="shared" si="3"/>
        <v>6</v>
      </c>
      <c r="G101" s="53"/>
      <c r="H101" s="53"/>
      <c r="I101" s="53">
        <v>6</v>
      </c>
      <c r="J101" s="53"/>
      <c r="K101" s="57"/>
      <c r="L101" s="57"/>
      <c r="M101" s="59" t="s">
        <v>684</v>
      </c>
      <c r="N101" s="58">
        <f>VLOOKUP(E101,订单号!B:C,2,0)</f>
        <v>10502</v>
      </c>
      <c r="O101" s="35">
        <f>VLOOKUP(C101,领导干部!B:B,1,0)</f>
        <v>26621</v>
      </c>
      <c r="Q101" t="s">
        <v>421</v>
      </c>
      <c r="R101">
        <v>343.7</v>
      </c>
      <c r="S101" t="e">
        <f t="array" ref="S101">VLOOKUP(Q101&amp;R101,IF({1,0},$B$2:$B$464&amp;$F$2:$F$464,$N$2:$N$464),2,)</f>
        <v>#N/A</v>
      </c>
      <c r="T101" s="35" t="str">
        <f t="array" ref="T101">VLOOKUP(Q101&amp;R101,IF({1,0},$B$2:$B$464&amp;$F$2:$F$464,$E$2:$E$464),2,)</f>
        <v>6号设计（2021年）</v>
      </c>
      <c r="U101" s="35">
        <f t="array" ref="U101">VLOOKUP(Q101&amp;R101,IF({1,0},$B$2:$B$464&amp;$F$2:$F$464,$C$2:$C$464),2,)</f>
        <v>26654</v>
      </c>
      <c r="V101" s="35" t="str">
        <f t="array" ref="V101">VLOOKUP(Q101&amp;R101,IF({1,0},$B$2:$B$464&amp;$F$2:$F$464,$D$2:$D$464),2,)</f>
        <v>联络工程室</v>
      </c>
    </row>
    <row r="102" s="35" customFormat="1" customHeight="1" spans="1:22">
      <c r="A102" s="47">
        <f t="shared" si="2"/>
        <v>101</v>
      </c>
      <c r="B102" s="48" t="s">
        <v>424</v>
      </c>
      <c r="C102" s="49">
        <f>IFERROR(VLOOKUP(B102,[1]工程研发事业部人员名单!B:D,2,0),"")</f>
        <v>50317</v>
      </c>
      <c r="D102" s="50" t="str">
        <f>IFERROR(VLOOKUP(B102,[1]工程研发事业部人员名单!B:D,3,0),"")</f>
        <v>联络工程室</v>
      </c>
      <c r="E102" s="51" t="s">
        <v>191</v>
      </c>
      <c r="F102" s="52">
        <f t="shared" si="3"/>
        <v>6</v>
      </c>
      <c r="G102" s="53"/>
      <c r="H102" s="53"/>
      <c r="I102" s="53">
        <v>6</v>
      </c>
      <c r="J102" s="53"/>
      <c r="K102" s="57"/>
      <c r="L102" s="57"/>
      <c r="M102" s="59" t="s">
        <v>684</v>
      </c>
      <c r="N102" s="58">
        <f>VLOOKUP(E102,订单号!B:C,2,0)</f>
        <v>10502</v>
      </c>
      <c r="O102" s="35" t="e">
        <f>VLOOKUP(C102,领导干部!B:B,1,0)</f>
        <v>#N/A</v>
      </c>
      <c r="Q102" t="s">
        <v>424</v>
      </c>
      <c r="R102">
        <v>331.564</v>
      </c>
      <c r="S102">
        <f t="array" ref="S102">VLOOKUP(Q102&amp;R102,IF({1,0},$B$2:$B$464&amp;$F$2:$F$464,$N$2:$N$464),2,)</f>
        <v>10502</v>
      </c>
      <c r="T102" s="35" t="str">
        <f t="array" ref="T102">VLOOKUP(Q102&amp;R102,IF({1,0},$B$2:$B$464&amp;$F$2:$F$464,$E$2:$E$464),2,)</f>
        <v>工程支持</v>
      </c>
      <c r="U102" s="35">
        <f t="array" ref="U102">VLOOKUP(Q102&amp;R102,IF({1,0},$B$2:$B$464&amp;$F$2:$F$464,$C$2:$C$464),2,)</f>
        <v>50317</v>
      </c>
      <c r="V102" s="35" t="str">
        <f t="array" ref="V102">VLOOKUP(Q102&amp;R102,IF({1,0},$B$2:$B$464&amp;$F$2:$F$464,$D$2:$D$464),2,)</f>
        <v>联络工程室</v>
      </c>
    </row>
    <row r="103" s="35" customFormat="1" customHeight="1" spans="1:22">
      <c r="A103" s="47">
        <f t="shared" si="2"/>
        <v>102</v>
      </c>
      <c r="B103" s="48" t="s">
        <v>222</v>
      </c>
      <c r="C103" s="49">
        <f>IFERROR(VLOOKUP(B103,[1]工程研发事业部人员名单!B:D,2,0),"")</f>
        <v>51576</v>
      </c>
      <c r="D103" s="50" t="str">
        <f>IFERROR(VLOOKUP(B103,[1]工程研发事业部人员名单!B:D,3,0),"")</f>
        <v>联络工程室</v>
      </c>
      <c r="E103" s="51" t="s">
        <v>191</v>
      </c>
      <c r="F103" s="52">
        <f t="shared" si="3"/>
        <v>5</v>
      </c>
      <c r="G103" s="53"/>
      <c r="H103" s="53"/>
      <c r="I103" s="53">
        <v>5</v>
      </c>
      <c r="J103" s="53"/>
      <c r="K103" s="57"/>
      <c r="L103" s="57"/>
      <c r="M103" s="59" t="s">
        <v>684</v>
      </c>
      <c r="N103" s="58">
        <f>VLOOKUP(E103,订单号!B:C,2,0)</f>
        <v>10502</v>
      </c>
      <c r="O103" s="35" t="e">
        <f>VLOOKUP(C103,领导干部!B:B,1,0)</f>
        <v>#N/A</v>
      </c>
      <c r="Q103" t="s">
        <v>426</v>
      </c>
      <c r="R103">
        <v>122.5</v>
      </c>
      <c r="S103" t="e">
        <f t="array" ref="S103">VLOOKUP(Q103&amp;R103,IF({1,0},$B$2:$B$464&amp;$F$2:$F$464,$N$2:$N$464),2,)</f>
        <v>#N/A</v>
      </c>
      <c r="T103" s="35" t="str">
        <f t="array" ref="T103">VLOOKUP(Q103&amp;R103,IF({1,0},$B$2:$B$464&amp;$F$2:$F$464,$E$2:$E$464),2,)</f>
        <v>CR929设计（2022年复材中心）</v>
      </c>
      <c r="U103" s="35">
        <f t="array" ref="U103">VLOOKUP(Q103&amp;R103,IF({1,0},$B$2:$B$464&amp;$F$2:$F$464,$C$2:$C$464),2,)</f>
        <v>51175</v>
      </c>
      <c r="V103" s="35" t="str">
        <f t="array" ref="V103">VLOOKUP(Q103&amp;R103,IF({1,0},$B$2:$B$464&amp;$F$2:$F$464,$D$2:$D$464),2,)</f>
        <v>强度室</v>
      </c>
    </row>
    <row r="104" s="35" customFormat="1" customHeight="1" spans="1:22">
      <c r="A104" s="47">
        <f t="shared" si="2"/>
        <v>103</v>
      </c>
      <c r="B104" s="48" t="s">
        <v>369</v>
      </c>
      <c r="C104" s="49">
        <f>IFERROR(VLOOKUP(B104,[1]工程研发事业部人员名单!B:D,2,0),"")</f>
        <v>51665</v>
      </c>
      <c r="D104" s="50" t="str">
        <f>IFERROR(VLOOKUP(B104,[1]工程研发事业部人员名单!B:D,3,0),"")</f>
        <v>联络工程室</v>
      </c>
      <c r="E104" s="51" t="s">
        <v>191</v>
      </c>
      <c r="F104" s="52">
        <f t="shared" si="3"/>
        <v>5</v>
      </c>
      <c r="G104" s="53"/>
      <c r="H104" s="53"/>
      <c r="I104" s="53">
        <v>5</v>
      </c>
      <c r="J104" s="53"/>
      <c r="K104" s="57"/>
      <c r="L104" s="57"/>
      <c r="M104" s="59" t="s">
        <v>684</v>
      </c>
      <c r="N104" s="58">
        <f>VLOOKUP(E104,订单号!B:C,2,0)</f>
        <v>10502</v>
      </c>
      <c r="O104" s="35" t="e">
        <f>VLOOKUP(C104,领导干部!B:B,1,0)</f>
        <v>#N/A</v>
      </c>
      <c r="Q104" t="s">
        <v>428</v>
      </c>
      <c r="R104">
        <v>261.6</v>
      </c>
      <c r="S104" t="e">
        <f t="array" ref="S104">VLOOKUP(Q104&amp;R104,IF({1,0},$B$2:$B$464&amp;$F$2:$F$464,$N$2:$N$464),2,)</f>
        <v>#N/A</v>
      </c>
      <c r="T104" s="35" t="str">
        <f t="array" ref="T104">VLOOKUP(Q104&amp;R104,IF({1,0},$B$2:$B$464&amp;$F$2:$F$464,$E$2:$E$464),2,)</f>
        <v>6号设计（2021年）</v>
      </c>
      <c r="U104" s="35">
        <f t="array" ref="U104">VLOOKUP(Q104&amp;R104,IF({1,0},$B$2:$B$464&amp;$F$2:$F$464,$C$2:$C$464),2,)</f>
        <v>25762</v>
      </c>
      <c r="V104" s="35" t="str">
        <f t="array" ref="V104">VLOOKUP(Q104&amp;R104,IF({1,0},$B$2:$B$464&amp;$F$2:$F$464,$D$2:$D$464),2,)</f>
        <v>结构二室</v>
      </c>
    </row>
    <row r="105" s="35" customFormat="1" customHeight="1" spans="1:22">
      <c r="A105" s="47">
        <f t="shared" si="2"/>
        <v>104</v>
      </c>
      <c r="B105" s="48" t="s">
        <v>417</v>
      </c>
      <c r="C105" s="49">
        <f>IFERROR(VLOOKUP(B105,[1]工程研发事业部人员名单!B:D,2,0),"")</f>
        <v>27106</v>
      </c>
      <c r="D105" s="50" t="str">
        <f>IFERROR(VLOOKUP(B105,[1]工程研发事业部人员名单!B:D,3,0),"")</f>
        <v>联络工程室</v>
      </c>
      <c r="E105" s="51" t="s">
        <v>191</v>
      </c>
      <c r="F105" s="52">
        <f t="shared" si="3"/>
        <v>5</v>
      </c>
      <c r="G105" s="53"/>
      <c r="H105" s="53"/>
      <c r="I105" s="53">
        <v>5</v>
      </c>
      <c r="J105" s="53"/>
      <c r="K105" s="57"/>
      <c r="L105" s="57"/>
      <c r="M105" s="59" t="s">
        <v>684</v>
      </c>
      <c r="N105" s="58">
        <f>VLOOKUP(E105,订单号!B:C,2,0)</f>
        <v>10502</v>
      </c>
      <c r="O105" s="35" t="e">
        <f>VLOOKUP(C105,领导干部!B:B,1,0)</f>
        <v>#N/A</v>
      </c>
      <c r="Q105" t="s">
        <v>429</v>
      </c>
      <c r="R105">
        <v>160</v>
      </c>
      <c r="S105" t="str">
        <f t="array" ref="S105">VLOOKUP(Q105&amp;R105,IF({1,0},$B$2:$B$464&amp;$F$2:$F$464,$N$2:$N$464),2,)</f>
        <v>YZ40000680</v>
      </c>
      <c r="T105" s="35" t="str">
        <f t="array" ref="T105">VLOOKUP(Q105&amp;R105,IF({1,0},$B$2:$B$464&amp;$F$2:$F$464,$E$2:$E$464),2,)</f>
        <v>C919设计（2022年上飞院）</v>
      </c>
      <c r="U105" s="35">
        <f t="array" ref="U105">VLOOKUP(Q105&amp;R105,IF({1,0},$B$2:$B$464&amp;$F$2:$F$464,$C$2:$C$464),2,)</f>
        <v>51226</v>
      </c>
      <c r="V105" s="35" t="str">
        <f t="array" ref="V105">VLOOKUP(Q105&amp;R105,IF({1,0},$B$2:$B$464&amp;$F$2:$F$464,$D$2:$D$464),2,)</f>
        <v>综合技术室</v>
      </c>
    </row>
    <row r="106" s="35" customFormat="1" customHeight="1" spans="1:22">
      <c r="A106" s="47">
        <f t="shared" si="2"/>
        <v>105</v>
      </c>
      <c r="B106" s="48" t="s">
        <v>432</v>
      </c>
      <c r="C106" s="49">
        <f>IFERROR(VLOOKUP(B106,[1]工程研发事业部人员名单!B:D,2,0),"")</f>
        <v>25599</v>
      </c>
      <c r="D106" s="50" t="str">
        <f>IFERROR(VLOOKUP(B106,[1]工程研发事业部人员名单!B:D,3,0),"")</f>
        <v>联络工程室</v>
      </c>
      <c r="E106" s="51" t="s">
        <v>191</v>
      </c>
      <c r="F106" s="52">
        <f t="shared" si="3"/>
        <v>5</v>
      </c>
      <c r="G106" s="53"/>
      <c r="H106" s="53"/>
      <c r="I106" s="53">
        <v>5</v>
      </c>
      <c r="J106" s="53"/>
      <c r="K106" s="57"/>
      <c r="L106" s="57"/>
      <c r="M106" s="59" t="s">
        <v>684</v>
      </c>
      <c r="N106" s="58">
        <f>VLOOKUP(E106,订单号!B:C,2,0)</f>
        <v>10502</v>
      </c>
      <c r="O106" s="35" t="e">
        <f>VLOOKUP(C106,领导干部!B:B,1,0)</f>
        <v>#N/A</v>
      </c>
      <c r="Q106" t="s">
        <v>430</v>
      </c>
      <c r="R106">
        <v>221.5</v>
      </c>
      <c r="S106" t="e">
        <f t="array" ref="S106">VLOOKUP(Q106&amp;R106,IF({1,0},$B$2:$B$464&amp;$F$2:$F$464,$N$2:$N$464),2,)</f>
        <v>#N/A</v>
      </c>
      <c r="T106" s="35" t="str">
        <f t="array" ref="T106">VLOOKUP(Q106&amp;R106,IF({1,0},$B$2:$B$464&amp;$F$2:$F$464,$E$2:$E$464),2,)</f>
        <v>6号设计（2021年）</v>
      </c>
      <c r="U106" s="35">
        <f t="array" ref="U106">VLOOKUP(Q106&amp;R106,IF({1,0},$B$2:$B$464&amp;$F$2:$F$464,$C$2:$C$464),2,)</f>
        <v>25071</v>
      </c>
      <c r="V106" s="35" t="str">
        <f t="array" ref="V106">VLOOKUP(Q106&amp;R106,IF({1,0},$B$2:$B$464&amp;$F$2:$F$464,$D$2:$D$464),2,)</f>
        <v>结构一室</v>
      </c>
    </row>
    <row r="107" s="35" customFormat="1" customHeight="1" spans="1:22">
      <c r="A107" s="47">
        <f t="shared" si="2"/>
        <v>106</v>
      </c>
      <c r="B107" s="48" t="s">
        <v>450</v>
      </c>
      <c r="C107" s="49">
        <f>IFERROR(VLOOKUP(B107,[1]工程研发事业部人员名单!B:D,2,0),"")</f>
        <v>51570</v>
      </c>
      <c r="D107" s="50" t="str">
        <f>IFERROR(VLOOKUP(B107,[1]工程研发事业部人员名单!B:D,3,0),"")</f>
        <v>联络工程室</v>
      </c>
      <c r="E107" s="51" t="s">
        <v>191</v>
      </c>
      <c r="F107" s="52">
        <f t="shared" si="3"/>
        <v>5</v>
      </c>
      <c r="G107" s="53"/>
      <c r="H107" s="53"/>
      <c r="I107" s="53">
        <v>5</v>
      </c>
      <c r="J107" s="53"/>
      <c r="K107" s="57"/>
      <c r="L107" s="57"/>
      <c r="M107" s="59" t="s">
        <v>684</v>
      </c>
      <c r="N107" s="58">
        <f>VLOOKUP(E107,订单号!B:C,2,0)</f>
        <v>10502</v>
      </c>
      <c r="O107" s="35" t="e">
        <f>VLOOKUP(C107,领导干部!B:B,1,0)</f>
        <v>#N/A</v>
      </c>
      <c r="Q107" t="s">
        <v>432</v>
      </c>
      <c r="R107">
        <v>376.21</v>
      </c>
      <c r="S107">
        <f t="array" ref="S107">VLOOKUP(Q107&amp;R107,IF({1,0},$B$2:$B$464&amp;$F$2:$F$464,$N$2:$N$464),2,)</f>
        <v>10502</v>
      </c>
      <c r="T107" s="35" t="str">
        <f t="array" ref="T107">VLOOKUP(Q107&amp;R107,IF({1,0},$B$2:$B$464&amp;$F$2:$F$464,$E$2:$E$464),2,)</f>
        <v>工程支持</v>
      </c>
      <c r="U107" s="35">
        <f t="array" ref="U107">VLOOKUP(Q107&amp;R107,IF({1,0},$B$2:$B$464&amp;$F$2:$F$464,$C$2:$C$464),2,)</f>
        <v>25599</v>
      </c>
      <c r="V107" s="35" t="str">
        <f t="array" ref="V107">VLOOKUP(Q107&amp;R107,IF({1,0},$B$2:$B$464&amp;$F$2:$F$464,$D$2:$D$464),2,)</f>
        <v>联络工程室</v>
      </c>
    </row>
    <row r="108" s="35" customFormat="1" customHeight="1" spans="1:22">
      <c r="A108" s="47">
        <f t="shared" si="2"/>
        <v>107</v>
      </c>
      <c r="B108" s="48" t="s">
        <v>690</v>
      </c>
      <c r="C108" s="49">
        <f>IFERROR(VLOOKUP(B108,[1]工程研发事业部人员名单!B:D,2,0),"")</f>
        <v>27680</v>
      </c>
      <c r="D108" s="50" t="str">
        <f>IFERROR(VLOOKUP(B108,[1]工程研发事业部人员名单!B:D,3,0),"")</f>
        <v>联络工程室</v>
      </c>
      <c r="E108" s="51" t="s">
        <v>191</v>
      </c>
      <c r="F108" s="52">
        <f t="shared" si="3"/>
        <v>5</v>
      </c>
      <c r="G108" s="53"/>
      <c r="H108" s="53"/>
      <c r="I108" s="53">
        <v>5</v>
      </c>
      <c r="J108" s="53"/>
      <c r="K108" s="57"/>
      <c r="L108" s="57"/>
      <c r="M108" s="59" t="s">
        <v>684</v>
      </c>
      <c r="N108" s="58">
        <f>VLOOKUP(E108,订单号!B:C,2,0)</f>
        <v>10502</v>
      </c>
      <c r="O108" s="35" t="e">
        <f>VLOOKUP(C108,领导干部!B:B,1,0)</f>
        <v>#N/A</v>
      </c>
      <c r="Q108" t="s">
        <v>305</v>
      </c>
      <c r="R108">
        <v>127</v>
      </c>
      <c r="S108" t="e">
        <f t="array" ref="S108">VLOOKUP(Q108&amp;R108,IF({1,0},$B$2:$B$464&amp;$F$2:$F$464,$N$2:$N$464),2,)</f>
        <v>#N/A</v>
      </c>
      <c r="T108" s="35" t="str">
        <f t="array" ref="T108">VLOOKUP(Q108&amp;R108,IF({1,0},$B$2:$B$464&amp;$F$2:$F$464,$E$2:$E$464),2,)</f>
        <v>6号设计（2021年）</v>
      </c>
      <c r="U108" s="35">
        <f t="array" ref="U108">VLOOKUP(Q108&amp;R108,IF({1,0},$B$2:$B$464&amp;$F$2:$F$464,$C$2:$C$464),2,)</f>
        <v>51389</v>
      </c>
      <c r="V108" s="35" t="str">
        <f t="array" ref="V108">VLOOKUP(Q108&amp;R108,IF({1,0},$B$2:$B$464&amp;$F$2:$F$464,$D$2:$D$464),2,)</f>
        <v>系统室</v>
      </c>
    </row>
    <row r="109" s="35" customFormat="1" customHeight="1" spans="1:22">
      <c r="A109" s="47">
        <f t="shared" si="2"/>
        <v>108</v>
      </c>
      <c r="B109" s="48" t="s">
        <v>482</v>
      </c>
      <c r="C109" s="49">
        <f>IFERROR(VLOOKUP(B109,[1]工程研发事业部人员名单!B:D,2,0),"")</f>
        <v>50832</v>
      </c>
      <c r="D109" s="50" t="str">
        <f>IFERROR(VLOOKUP(B109,[1]工程研发事业部人员名单!B:D,3,0),"")</f>
        <v>联络工程室</v>
      </c>
      <c r="E109" s="51" t="s">
        <v>191</v>
      </c>
      <c r="F109" s="52">
        <f t="shared" si="3"/>
        <v>3</v>
      </c>
      <c r="G109" s="53"/>
      <c r="H109" s="53"/>
      <c r="I109" s="53">
        <v>3</v>
      </c>
      <c r="J109" s="53"/>
      <c r="K109" s="57"/>
      <c r="L109" s="57"/>
      <c r="M109" s="59" t="s">
        <v>684</v>
      </c>
      <c r="N109" s="58">
        <f>VLOOKUP(E109,订单号!B:C,2,0)</f>
        <v>10502</v>
      </c>
      <c r="O109" s="35" t="e">
        <f>VLOOKUP(C109,领导干部!B:B,1,0)</f>
        <v>#N/A</v>
      </c>
      <c r="Q109" t="s">
        <v>262</v>
      </c>
      <c r="R109">
        <v>200</v>
      </c>
      <c r="S109" t="str">
        <f t="array" ref="S109">VLOOKUP(Q109&amp;R109,IF({1,0},$B$2:$B$464&amp;$F$2:$F$464,$N$2:$N$464),2,)</f>
        <v>YZ40000680</v>
      </c>
      <c r="T109" s="35" t="str">
        <f t="array" ref="T109">VLOOKUP(Q109&amp;R109,IF({1,0},$B$2:$B$464&amp;$F$2:$F$464,$E$2:$E$464),2,)</f>
        <v>C919设计（2022年上飞院）</v>
      </c>
      <c r="U109" s="35">
        <f t="array" ref="U109">VLOOKUP(Q109&amp;R109,IF({1,0},$B$2:$B$464&amp;$F$2:$F$464,$C$2:$C$464),2,)</f>
        <v>22294</v>
      </c>
      <c r="V109" s="35" t="str">
        <f t="array" ref="V109">VLOOKUP(Q109&amp;R109,IF({1,0},$B$2:$B$464&amp;$F$2:$F$464,$D$2:$D$464),2,)</f>
        <v>结构一室</v>
      </c>
    </row>
    <row r="110" s="35" customFormat="1" customHeight="1" spans="1:22">
      <c r="A110" s="47">
        <f t="shared" si="2"/>
        <v>109</v>
      </c>
      <c r="B110" s="63" t="s">
        <v>304</v>
      </c>
      <c r="C110" s="49">
        <f>IFERROR(VLOOKUP(B110,[1]工程研发事业部人员名单!B:D,2,0),"")</f>
        <v>25763</v>
      </c>
      <c r="D110" s="50" t="str">
        <f>IFERROR(VLOOKUP(B110,[1]工程研发事业部人员名单!B:D,3,0),"")</f>
        <v>结构一室</v>
      </c>
      <c r="E110" s="51" t="s">
        <v>184</v>
      </c>
      <c r="F110" s="52">
        <f t="shared" si="3"/>
        <v>300</v>
      </c>
      <c r="G110" s="53"/>
      <c r="H110" s="53"/>
      <c r="I110" s="53">
        <v>300</v>
      </c>
      <c r="J110" s="53"/>
      <c r="K110" s="57"/>
      <c r="L110" s="57"/>
      <c r="M110" s="61"/>
      <c r="N110" s="58" t="e">
        <f>VLOOKUP(E110,订单号!B:C,2,0)</f>
        <v>#N/A</v>
      </c>
      <c r="O110" s="35" t="e">
        <f>VLOOKUP(C110,领导干部!B:B,1,0)</f>
        <v>#N/A</v>
      </c>
      <c r="Q110" t="s">
        <v>376</v>
      </c>
      <c r="R110">
        <v>175</v>
      </c>
      <c r="S110" t="e">
        <f t="array" ref="S110">VLOOKUP(Q110&amp;R110,IF({1,0},$B$2:$B$464&amp;$F$2:$F$464,$N$2:$N$464),2,)</f>
        <v>#N/A</v>
      </c>
      <c r="T110" s="35" t="str">
        <f t="array" ref="T110">VLOOKUP(Q110&amp;R110,IF({1,0},$B$2:$B$464&amp;$F$2:$F$464,$E$2:$E$464),2,)</f>
        <v>1号设计（2022年KTB）</v>
      </c>
      <c r="U110" s="35">
        <f t="array" ref="U110">VLOOKUP(Q110&amp;R110,IF({1,0},$B$2:$B$464&amp;$F$2:$F$464,$C$2:$C$464),2,)</f>
        <v>50872</v>
      </c>
      <c r="V110" s="35" t="str">
        <f t="array" ref="V110">VLOOKUP(Q110&amp;R110,IF({1,0},$B$2:$B$464&amp;$F$2:$F$464,$D$2:$D$464),2,)</f>
        <v>系统室</v>
      </c>
    </row>
    <row r="111" s="35" customFormat="1" customHeight="1" spans="1:22">
      <c r="A111" s="47">
        <f t="shared" si="2"/>
        <v>110</v>
      </c>
      <c r="B111" s="63" t="s">
        <v>291</v>
      </c>
      <c r="C111" s="49">
        <f>IFERROR(VLOOKUP(B111,[1]工程研发事业部人员名单!B:D,2,0),"")</f>
        <v>25765</v>
      </c>
      <c r="D111" s="50" t="str">
        <f>IFERROR(VLOOKUP(B111,[1]工程研发事业部人员名单!B:D,3,0),"")</f>
        <v>结构一室</v>
      </c>
      <c r="E111" s="51" t="s">
        <v>184</v>
      </c>
      <c r="F111" s="52">
        <f t="shared" si="3"/>
        <v>240</v>
      </c>
      <c r="G111" s="53"/>
      <c r="H111" s="53"/>
      <c r="I111" s="53">
        <v>240</v>
      </c>
      <c r="J111" s="53"/>
      <c r="K111" s="57"/>
      <c r="L111" s="57"/>
      <c r="M111" s="61"/>
      <c r="N111" s="58" t="e">
        <f>VLOOKUP(E111,订单号!B:C,2,0)</f>
        <v>#N/A</v>
      </c>
      <c r="O111" s="35" t="e">
        <f>VLOOKUP(C111,领导干部!B:B,1,0)</f>
        <v>#N/A</v>
      </c>
      <c r="Q111" t="s">
        <v>226</v>
      </c>
      <c r="R111">
        <v>206</v>
      </c>
      <c r="S111" t="e">
        <f t="array" ref="S111">VLOOKUP(Q111&amp;R111,IF({1,0},$B$2:$B$464&amp;$F$2:$F$464,$N$2:$N$464),2,)</f>
        <v>#N/A</v>
      </c>
      <c r="T111" s="35" t="str">
        <f t="array" ref="T111">VLOOKUP(Q111&amp;R111,IF({1,0},$B$2:$B$464&amp;$F$2:$F$464,$E$2:$E$464),2,)</f>
        <v>CR929设计（2022年复材中心）</v>
      </c>
      <c r="U111" s="35">
        <f t="array" ref="U111">VLOOKUP(Q111&amp;R111,IF({1,0},$B$2:$B$464&amp;$F$2:$F$464,$C$2:$C$464),2,)</f>
        <v>50876</v>
      </c>
      <c r="V111" s="35" t="str">
        <f t="array" ref="V111">VLOOKUP(Q111&amp;R111,IF({1,0},$B$2:$B$464&amp;$F$2:$F$464,$D$2:$D$464),2,)</f>
        <v>工程项目室</v>
      </c>
    </row>
    <row r="112" s="35" customFormat="1" customHeight="1" spans="1:22">
      <c r="A112" s="47">
        <f t="shared" si="2"/>
        <v>111</v>
      </c>
      <c r="B112" s="63" t="s">
        <v>408</v>
      </c>
      <c r="C112" s="49">
        <f>IFERROR(VLOOKUP(B112,[1]工程研发事业部人员名单!B:D,2,0),"")</f>
        <v>25548</v>
      </c>
      <c r="D112" s="50" t="str">
        <f>IFERROR(VLOOKUP(B112,[1]工程研发事业部人员名单!B:D,3,0),"")</f>
        <v>结构一室</v>
      </c>
      <c r="E112" s="51" t="s">
        <v>184</v>
      </c>
      <c r="F112" s="52">
        <f t="shared" si="3"/>
        <v>255</v>
      </c>
      <c r="G112" s="53"/>
      <c r="H112" s="53"/>
      <c r="I112" s="53">
        <v>255</v>
      </c>
      <c r="J112" s="53"/>
      <c r="K112" s="57"/>
      <c r="L112" s="57"/>
      <c r="M112" s="65"/>
      <c r="N112" s="58" t="e">
        <f>VLOOKUP(E112,订单号!B:C,2,0)</f>
        <v>#N/A</v>
      </c>
      <c r="O112" s="35" t="e">
        <f>VLOOKUP(C112,领导干部!B:B,1,0)</f>
        <v>#N/A</v>
      </c>
      <c r="Q112" t="s">
        <v>314</v>
      </c>
      <c r="R112">
        <v>166</v>
      </c>
      <c r="S112" t="e">
        <f t="array" ref="S112">VLOOKUP(Q112&amp;R112,IF({1,0},$B$2:$B$464&amp;$F$2:$F$464,$N$2:$N$464),2,)</f>
        <v>#N/A</v>
      </c>
      <c r="T112" s="35" t="str">
        <f t="array" ref="T112">VLOOKUP(Q112&amp;R112,IF({1,0},$B$2:$B$464&amp;$F$2:$F$464,$E$2:$E$464),2,)</f>
        <v>CR929设计（2022年复材中心）</v>
      </c>
      <c r="U112" s="35">
        <f t="array" ref="U112">VLOOKUP(Q112&amp;R112,IF({1,0},$B$2:$B$464&amp;$F$2:$F$464,$C$2:$C$464),2,)</f>
        <v>51407</v>
      </c>
      <c r="V112" s="35" t="str">
        <f t="array" ref="V112">VLOOKUP(Q112&amp;R112,IF({1,0},$B$2:$B$464&amp;$F$2:$F$464,$D$2:$D$464),2,)</f>
        <v>结构二室</v>
      </c>
    </row>
    <row r="113" s="35" customFormat="1" customHeight="1" spans="1:22">
      <c r="A113" s="47">
        <f t="shared" si="2"/>
        <v>112</v>
      </c>
      <c r="B113" s="63" t="s">
        <v>267</v>
      </c>
      <c r="C113" s="49">
        <f>IFERROR(VLOOKUP(B113,[1]工程研发事业部人员名单!B:D,2,0),"")</f>
        <v>51624</v>
      </c>
      <c r="D113" s="50" t="str">
        <f>IFERROR(VLOOKUP(B113,[1]工程研发事业部人员名单!B:D,3,0),"")</f>
        <v>结构一室</v>
      </c>
      <c r="E113" s="51" t="s">
        <v>184</v>
      </c>
      <c r="F113" s="52">
        <f t="shared" si="3"/>
        <v>30</v>
      </c>
      <c r="G113" s="53"/>
      <c r="H113" s="53"/>
      <c r="I113" s="53">
        <v>30</v>
      </c>
      <c r="J113" s="53"/>
      <c r="K113" s="57"/>
      <c r="L113" s="57"/>
      <c r="M113" s="61"/>
      <c r="N113" s="58" t="e">
        <f>VLOOKUP(E113,订单号!B:C,2,0)</f>
        <v>#N/A</v>
      </c>
      <c r="O113" s="35" t="e">
        <f>VLOOKUP(C113,领导干部!B:B,1,0)</f>
        <v>#N/A</v>
      </c>
      <c r="Q113" t="s">
        <v>440</v>
      </c>
      <c r="R113">
        <v>260</v>
      </c>
      <c r="S113" t="str">
        <f t="array" ref="S113">VLOOKUP(Q113&amp;R113,IF({1,0},$B$2:$B$464&amp;$F$2:$F$464,$N$2:$N$464),2,)</f>
        <v>YZ40000680</v>
      </c>
      <c r="T113" s="35" t="str">
        <f t="array" ref="T113">VLOOKUP(Q113&amp;R113,IF({1,0},$B$2:$B$464&amp;$F$2:$F$464,$E$2:$E$464),2,)</f>
        <v>C919设计（2022年上飞院）</v>
      </c>
      <c r="U113" s="35">
        <f t="array" ref="U113">VLOOKUP(Q113&amp;R113,IF({1,0},$B$2:$B$464&amp;$F$2:$F$464,$C$2:$C$464),2,)</f>
        <v>50716</v>
      </c>
      <c r="V113" s="35" t="str">
        <f t="array" ref="V113">VLOOKUP(Q113&amp;R113,IF({1,0},$B$2:$B$464&amp;$F$2:$F$464,$D$2:$D$464),2,)</f>
        <v>强度室</v>
      </c>
    </row>
    <row r="114" s="35" customFormat="1" customHeight="1" spans="1:22">
      <c r="A114" s="47">
        <f t="shared" si="2"/>
        <v>113</v>
      </c>
      <c r="B114" s="63" t="s">
        <v>422</v>
      </c>
      <c r="C114" s="49">
        <f>IFERROR(VLOOKUP(B114,[1]工程研发事业部人员名单!B:D,2,0),"")</f>
        <v>50065</v>
      </c>
      <c r="D114" s="50" t="str">
        <f>IFERROR(VLOOKUP(B114,[1]工程研发事业部人员名单!B:D,3,0),"")</f>
        <v>结构二室</v>
      </c>
      <c r="E114" s="51" t="s">
        <v>184</v>
      </c>
      <c r="F114" s="52">
        <f t="shared" si="3"/>
        <v>225</v>
      </c>
      <c r="G114" s="53"/>
      <c r="H114" s="53"/>
      <c r="I114" s="53">
        <v>225</v>
      </c>
      <c r="J114" s="53"/>
      <c r="K114" s="57"/>
      <c r="L114" s="57"/>
      <c r="M114" s="61"/>
      <c r="N114" s="58" t="e">
        <f>VLOOKUP(E114,订单号!B:C,2,0)</f>
        <v>#N/A</v>
      </c>
      <c r="O114" s="35" t="e">
        <f>VLOOKUP(C114,领导干部!B:B,1,0)</f>
        <v>#N/A</v>
      </c>
      <c r="Q114" t="s">
        <v>125</v>
      </c>
      <c r="R114">
        <v>50</v>
      </c>
      <c r="S114" t="e">
        <f t="array" ref="S114">VLOOKUP(Q114&amp;R114,IF({1,0},$B$2:$B$464&amp;$F$2:$F$464,$N$2:$N$464),2,)</f>
        <v>#N/A</v>
      </c>
      <c r="T114" s="35" t="str">
        <f t="array" ref="T114">VLOOKUP(Q114&amp;R114,IF({1,0},$B$2:$B$464&amp;$F$2:$F$464,$E$2:$E$464),2,)</f>
        <v>C919设计（2020年上飞院）</v>
      </c>
      <c r="U114" s="35">
        <f t="array" ref="U114">VLOOKUP(Q114&amp;R114,IF({1,0},$B$2:$B$464&amp;$F$2:$F$464,$C$2:$C$464),2,)</f>
        <v>50079</v>
      </c>
      <c r="V114" s="35" t="str">
        <f t="array" ref="V114">VLOOKUP(Q114&amp;R114,IF({1,0},$B$2:$B$464&amp;$F$2:$F$464,$D$2:$D$464),2,)</f>
        <v>工程项目室</v>
      </c>
    </row>
    <row r="115" s="35" customFormat="1" customHeight="1" spans="1:22">
      <c r="A115" s="47">
        <f t="shared" si="2"/>
        <v>114</v>
      </c>
      <c r="B115" s="63" t="s">
        <v>302</v>
      </c>
      <c r="C115" s="49">
        <f>IFERROR(VLOOKUP(B115,[1]工程研发事业部人员名单!B:D,2,0),"")</f>
        <v>17238</v>
      </c>
      <c r="D115" s="50" t="str">
        <f>IFERROR(VLOOKUP(B115,[1]工程研发事业部人员名单!B:D,3,0),"")</f>
        <v>结构二室</v>
      </c>
      <c r="E115" s="51" t="s">
        <v>184</v>
      </c>
      <c r="F115" s="52">
        <f t="shared" si="3"/>
        <v>260</v>
      </c>
      <c r="G115" s="53"/>
      <c r="H115" s="53"/>
      <c r="I115" s="53">
        <v>260</v>
      </c>
      <c r="J115" s="53"/>
      <c r="K115" s="57"/>
      <c r="L115" s="57"/>
      <c r="M115" s="66"/>
      <c r="N115" s="58" t="e">
        <f>VLOOKUP(E115,订单号!B:C,2,0)</f>
        <v>#N/A</v>
      </c>
      <c r="O115" s="35" t="e">
        <f>VLOOKUP(C115,领导干部!B:B,1,0)</f>
        <v>#N/A</v>
      </c>
      <c r="Q115" t="s">
        <v>445</v>
      </c>
      <c r="R115">
        <v>120</v>
      </c>
      <c r="S115" t="e">
        <f t="array" ref="S115">VLOOKUP(Q115&amp;R115,IF({1,0},$B$2:$B$464&amp;$F$2:$F$464,$N$2:$N$464),2,)</f>
        <v>#N/A</v>
      </c>
      <c r="T115" s="35" t="str">
        <f t="array" ref="T115">VLOOKUP(Q115&amp;R115,IF({1,0},$B$2:$B$464&amp;$F$2:$F$464,$E$2:$E$464),2,)</f>
        <v>1号设计（2022年KTB）</v>
      </c>
      <c r="U115" s="35">
        <f t="array" ref="U115">VLOOKUP(Q115&amp;R115,IF({1,0},$B$2:$B$464&amp;$F$2:$F$464,$C$2:$C$464),2,)</f>
        <v>51194</v>
      </c>
      <c r="V115" s="35" t="str">
        <f t="array" ref="V115">VLOOKUP(Q115&amp;R115,IF({1,0},$B$2:$B$464&amp;$F$2:$F$464,$D$2:$D$464),2,)</f>
        <v>强度室</v>
      </c>
    </row>
    <row r="116" s="35" customFormat="1" customHeight="1" spans="1:22">
      <c r="A116" s="47">
        <f t="shared" si="2"/>
        <v>115</v>
      </c>
      <c r="B116" s="63" t="s">
        <v>335</v>
      </c>
      <c r="C116" s="49">
        <f>IFERROR(VLOOKUP(B116,[1]工程研发事业部人员名单!B:D,2,0),"")</f>
        <v>51641</v>
      </c>
      <c r="D116" s="50" t="str">
        <f>IFERROR(VLOOKUP(B116,[1]工程研发事业部人员名单!B:D,3,0),"")</f>
        <v>结构二室</v>
      </c>
      <c r="E116" s="51" t="s">
        <v>184</v>
      </c>
      <c r="F116" s="52">
        <f t="shared" si="3"/>
        <v>220</v>
      </c>
      <c r="G116" s="53"/>
      <c r="H116" s="53"/>
      <c r="I116" s="53">
        <v>220</v>
      </c>
      <c r="J116" s="53"/>
      <c r="K116" s="57"/>
      <c r="L116" s="57"/>
      <c r="M116" s="58"/>
      <c r="N116" s="58" t="e">
        <f>VLOOKUP(E116,订单号!B:C,2,0)</f>
        <v>#N/A</v>
      </c>
      <c r="O116" s="35" t="e">
        <f>VLOOKUP(C116,领导干部!B:B,1,0)</f>
        <v>#N/A</v>
      </c>
      <c r="Q116" t="s">
        <v>691</v>
      </c>
      <c r="R116">
        <v>146</v>
      </c>
      <c r="S116">
        <f t="array" ref="S116">VLOOKUP(Q116&amp;R116,IF({1,0},$B$2:$B$464&amp;$F$2:$F$464,$N$2:$N$464),2,)</f>
        <v>10502</v>
      </c>
      <c r="T116" s="35" t="str">
        <f t="array" ref="T116">VLOOKUP(Q116&amp;R116,IF({1,0},$B$2:$B$464&amp;$F$2:$F$464,$E$2:$E$464),2,)</f>
        <v>工程支持</v>
      </c>
      <c r="U116" s="35">
        <f t="array" ref="U116">VLOOKUP(Q116&amp;R116,IF({1,0},$B$2:$B$464&amp;$F$2:$F$464,$C$2:$C$464),2,)</f>
        <v>52027</v>
      </c>
      <c r="V116" s="35" t="str">
        <f t="array" ref="V116">VLOOKUP(Q116&amp;R116,IF({1,0},$B$2:$B$464&amp;$F$2:$F$464,$D$2:$D$464),2,)</f>
        <v>综合技术室</v>
      </c>
    </row>
    <row r="117" s="35" customFormat="1" customHeight="1" spans="1:22">
      <c r="A117" s="47">
        <f t="shared" si="2"/>
        <v>116</v>
      </c>
      <c r="B117" s="63" t="s">
        <v>692</v>
      </c>
      <c r="C117" s="49">
        <f>IFERROR(VLOOKUP(B117,[1]工程研发事业部人员名单!B:D,2,0),"")</f>
        <v>52029</v>
      </c>
      <c r="D117" s="50" t="str">
        <f>IFERROR(VLOOKUP(B117,[1]工程研发事业部人员名单!B:D,3,0),"")</f>
        <v>结构二室</v>
      </c>
      <c r="E117" s="51" t="s">
        <v>184</v>
      </c>
      <c r="F117" s="52">
        <f t="shared" si="3"/>
        <v>235</v>
      </c>
      <c r="G117" s="53"/>
      <c r="H117" s="53"/>
      <c r="I117" s="53">
        <v>235</v>
      </c>
      <c r="J117" s="53"/>
      <c r="K117" s="57"/>
      <c r="L117" s="57"/>
      <c r="M117" s="58"/>
      <c r="N117" s="58" t="e">
        <f>VLOOKUP(E117,订单号!B:C,2,0)</f>
        <v>#N/A</v>
      </c>
      <c r="O117" s="35" t="e">
        <f>VLOOKUP(C117,领导干部!B:B,1,0)</f>
        <v>#N/A</v>
      </c>
      <c r="Q117" t="s">
        <v>447</v>
      </c>
      <c r="R117">
        <v>120</v>
      </c>
      <c r="S117" t="e">
        <f t="array" ref="S117">VLOOKUP(Q117&amp;R117,IF({1,0},$B$2:$B$464&amp;$F$2:$F$464,$N$2:$N$464),2,)</f>
        <v>#N/A</v>
      </c>
      <c r="T117" s="35" t="str">
        <f t="array" ref="T117">VLOOKUP(Q117&amp;R117,IF({1,0},$B$2:$B$464&amp;$F$2:$F$464,$E$2:$E$464),2,)</f>
        <v>CR929设计（2022年复材中心）</v>
      </c>
      <c r="U117" s="35">
        <f t="array" ref="U117">VLOOKUP(Q117&amp;R117,IF({1,0},$B$2:$B$464&amp;$F$2:$F$464,$C$2:$C$464),2,)</f>
        <v>52347</v>
      </c>
      <c r="V117" s="35" t="str">
        <f t="array" ref="V117">VLOOKUP(Q117&amp;R117,IF({1,0},$B$2:$B$464&amp;$F$2:$F$464,$D$2:$D$464),2,)</f>
        <v>强度室</v>
      </c>
    </row>
    <row r="118" s="35" customFormat="1" customHeight="1" spans="1:22">
      <c r="A118" s="47">
        <f t="shared" si="2"/>
        <v>117</v>
      </c>
      <c r="B118" s="63" t="s">
        <v>351</v>
      </c>
      <c r="C118" s="49">
        <f>IFERROR(VLOOKUP(B118,[1]工程研发事业部人员名单!B:D,2,0),"")</f>
        <v>51190</v>
      </c>
      <c r="D118" s="50" t="str">
        <f>IFERROR(VLOOKUP(B118,[1]工程研发事业部人员名单!B:D,3,0),"")</f>
        <v>结构二室</v>
      </c>
      <c r="E118" s="51" t="s">
        <v>184</v>
      </c>
      <c r="F118" s="52">
        <f t="shared" si="3"/>
        <v>200</v>
      </c>
      <c r="G118" s="53"/>
      <c r="H118" s="53"/>
      <c r="I118" s="53">
        <v>200</v>
      </c>
      <c r="J118" s="53"/>
      <c r="K118" s="57"/>
      <c r="L118" s="57"/>
      <c r="M118" s="67"/>
      <c r="N118" s="58" t="e">
        <f>VLOOKUP(E118,订单号!B:C,2,0)</f>
        <v>#N/A</v>
      </c>
      <c r="O118" s="35" t="e">
        <f>VLOOKUP(C118,领导干部!B:B,1,0)</f>
        <v>#N/A</v>
      </c>
      <c r="Q118" t="s">
        <v>267</v>
      </c>
      <c r="R118">
        <v>84</v>
      </c>
      <c r="S118" t="str">
        <f t="array" ref="S118">VLOOKUP(Q118&amp;R118,IF({1,0},$B$2:$B$464&amp;$F$2:$F$464,$N$2:$N$464),2,)</f>
        <v>YZ40000680</v>
      </c>
      <c r="T118" s="35" t="str">
        <f t="array" ref="T118">VLOOKUP(Q118&amp;R118,IF({1,0},$B$2:$B$464&amp;$F$2:$F$464,$E$2:$E$464),2,)</f>
        <v>C919设计（2022年上飞院）</v>
      </c>
      <c r="U118" s="35">
        <f t="array" ref="U118">VLOOKUP(Q118&amp;R118,IF({1,0},$B$2:$B$464&amp;$F$2:$F$464,$C$2:$C$464),2,)</f>
        <v>51624</v>
      </c>
      <c r="V118" s="35" t="str">
        <f t="array" ref="V118">VLOOKUP(Q118&amp;R118,IF({1,0},$B$2:$B$464&amp;$F$2:$F$464,$D$2:$D$464),2,)</f>
        <v>结构一室</v>
      </c>
    </row>
    <row r="119" s="35" customFormat="1" customHeight="1" spans="1:22">
      <c r="A119" s="47">
        <f t="shared" si="2"/>
        <v>118</v>
      </c>
      <c r="B119" s="63" t="s">
        <v>464</v>
      </c>
      <c r="C119" s="49">
        <f>IFERROR(VLOOKUP(B119,[1]工程研发事业部人员名单!B:D,2,0),"")</f>
        <v>18548</v>
      </c>
      <c r="D119" s="50" t="str">
        <f>IFERROR(VLOOKUP(B119,[1]工程研发事业部人员名单!B:D,3,0),"")</f>
        <v>结构二室</v>
      </c>
      <c r="E119" s="51" t="s">
        <v>184</v>
      </c>
      <c r="F119" s="52">
        <f t="shared" si="3"/>
        <v>260</v>
      </c>
      <c r="G119" s="53"/>
      <c r="H119" s="53"/>
      <c r="I119" s="53">
        <v>260</v>
      </c>
      <c r="J119" s="53"/>
      <c r="K119" s="57"/>
      <c r="L119" s="57"/>
      <c r="M119" s="66"/>
      <c r="N119" s="58" t="e">
        <f>VLOOKUP(E119,订单号!B:C,2,0)</f>
        <v>#N/A</v>
      </c>
      <c r="O119" s="35" t="e">
        <f>VLOOKUP(C119,领导干部!B:B,1,0)</f>
        <v>#N/A</v>
      </c>
      <c r="Q119" t="s">
        <v>693</v>
      </c>
      <c r="R119">
        <v>245</v>
      </c>
      <c r="S119" t="e">
        <f t="array" ref="S119">VLOOKUP(Q119&amp;R119,IF({1,0},$B$2:$B$464&amp;$F$2:$F$464,$N$2:$N$464),2,)</f>
        <v>#N/A</v>
      </c>
      <c r="T119" s="35" t="str">
        <f t="array" ref="T119">VLOOKUP(Q119&amp;R119,IF({1,0},$B$2:$B$464&amp;$F$2:$F$464,$E$2:$E$464),2,)</f>
        <v>1号设计（2022年KTB）</v>
      </c>
      <c r="U119" s="35" t="str">
        <f t="array" ref="U119">VLOOKUP(Q119&amp;R119,IF({1,0},$B$2:$B$464&amp;$F$2:$F$464,$C$2:$C$464),2,)</f>
        <v>01728</v>
      </c>
      <c r="V119" s="35" t="str">
        <f t="array" ref="V119">VLOOKUP(Q119&amp;R119,IF({1,0},$B$2:$B$464&amp;$F$2:$F$464,$D$2:$D$464),2,)</f>
        <v>联络工程室</v>
      </c>
    </row>
    <row r="120" s="35" customFormat="1" customHeight="1" spans="1:22">
      <c r="A120" s="47">
        <f t="shared" si="2"/>
        <v>119</v>
      </c>
      <c r="B120" s="63" t="s">
        <v>693</v>
      </c>
      <c r="C120" s="49" t="str">
        <f>IFERROR(VLOOKUP(B120,[1]工程研发事业部人员名单!B:D,2,0),"")</f>
        <v>01728</v>
      </c>
      <c r="D120" s="50" t="str">
        <f>IFERROR(VLOOKUP(B120,[1]工程研发事业部人员名单!B:D,3,0),"")</f>
        <v>联络工程室</v>
      </c>
      <c r="E120" s="51" t="s">
        <v>184</v>
      </c>
      <c r="F120" s="52">
        <f t="shared" si="3"/>
        <v>245</v>
      </c>
      <c r="G120" s="53">
        <v>245</v>
      </c>
      <c r="H120" s="53"/>
      <c r="I120" s="53"/>
      <c r="J120" s="53"/>
      <c r="K120" s="57"/>
      <c r="L120" s="57"/>
      <c r="M120" s="61"/>
      <c r="N120" s="58" t="e">
        <f>VLOOKUP(E120,订单号!B:C,2,0)</f>
        <v>#N/A</v>
      </c>
      <c r="O120" s="35" t="e">
        <f>VLOOKUP(C120,领导干部!B:B,1,0)</f>
        <v>#N/A</v>
      </c>
      <c r="Q120" t="s">
        <v>450</v>
      </c>
      <c r="R120">
        <v>270.25</v>
      </c>
      <c r="S120">
        <f t="array" ref="S120">VLOOKUP(Q120&amp;R120,IF({1,0},$B$2:$B$464&amp;$F$2:$F$464,$N$2:$N$464),2,)</f>
        <v>10502</v>
      </c>
      <c r="T120" s="35" t="str">
        <f t="array" ref="T120">VLOOKUP(Q120&amp;R120,IF({1,0},$B$2:$B$464&amp;$F$2:$F$464,$E$2:$E$464),2,)</f>
        <v>工程支持</v>
      </c>
      <c r="U120" s="35">
        <f t="array" ref="U120">VLOOKUP(Q120&amp;R120,IF({1,0},$B$2:$B$464&amp;$F$2:$F$464,$C$2:$C$464),2,)</f>
        <v>51570</v>
      </c>
      <c r="V120" s="35" t="str">
        <f t="array" ref="V120">VLOOKUP(Q120&amp;R120,IF({1,0},$B$2:$B$464&amp;$F$2:$F$464,$D$2:$D$464),2,)</f>
        <v>联络工程室</v>
      </c>
    </row>
    <row r="121" s="35" customFormat="1" customHeight="1" spans="1:22">
      <c r="A121" s="47">
        <f t="shared" si="2"/>
        <v>120</v>
      </c>
      <c r="B121" s="63" t="s">
        <v>258</v>
      </c>
      <c r="C121" s="49">
        <f>IFERROR(VLOOKUP(B121,[1]工程研发事业部人员名单!B:D,2,0),"")</f>
        <v>25601</v>
      </c>
      <c r="D121" s="50" t="str">
        <f>IFERROR(VLOOKUP(B121,[1]工程研发事业部人员名单!B:D,3,0),"")</f>
        <v>联络工程室</v>
      </c>
      <c r="E121" s="51" t="s">
        <v>184</v>
      </c>
      <c r="F121" s="52">
        <f t="shared" si="3"/>
        <v>225</v>
      </c>
      <c r="G121" s="53">
        <v>225</v>
      </c>
      <c r="H121" s="53"/>
      <c r="I121" s="53"/>
      <c r="J121" s="53"/>
      <c r="K121" s="57"/>
      <c r="L121" s="57"/>
      <c r="M121" s="61"/>
      <c r="N121" s="58" t="e">
        <f>VLOOKUP(E121,订单号!B:C,2,0)</f>
        <v>#N/A</v>
      </c>
      <c r="O121" s="35" t="e">
        <f>VLOOKUP(C121,领导干部!B:B,1,0)</f>
        <v>#N/A</v>
      </c>
      <c r="Q121" t="s">
        <v>453</v>
      </c>
      <c r="R121">
        <v>174.5</v>
      </c>
      <c r="S121" t="e">
        <f t="array" ref="S121">VLOOKUP(Q121&amp;R121,IF({1,0},$B$2:$B$464&amp;$F$2:$F$464,$N$2:$N$464),2,)</f>
        <v>#N/A</v>
      </c>
      <c r="T121" s="35" t="str">
        <f t="array" ref="T121">VLOOKUP(Q121&amp;R121,IF({1,0},$B$2:$B$464&amp;$F$2:$F$464,$E$2:$E$464),2,)</f>
        <v>1号设计（2022年KTB）</v>
      </c>
      <c r="U121" s="35">
        <f t="array" ref="U121">VLOOKUP(Q121&amp;R121,IF({1,0},$B$2:$B$464&amp;$F$2:$F$464,$C$2:$C$464),2,)</f>
        <v>26828</v>
      </c>
      <c r="V121" s="35" t="str">
        <f t="array" ref="V121">VLOOKUP(Q121&amp;R121,IF({1,0},$B$2:$B$464&amp;$F$2:$F$464,$D$2:$D$464),2,)</f>
        <v>综合技术室</v>
      </c>
    </row>
    <row r="122" s="35" customFormat="1" customHeight="1" spans="1:22">
      <c r="A122" s="47">
        <f t="shared" si="2"/>
        <v>121</v>
      </c>
      <c r="B122" s="63" t="s">
        <v>342</v>
      </c>
      <c r="C122" s="49">
        <f>IFERROR(VLOOKUP(B122,[1]工程研发事业部人员名单!B:D,2,0),"")</f>
        <v>50702</v>
      </c>
      <c r="D122" s="50" t="str">
        <f>IFERROR(VLOOKUP(B122,[1]工程研发事业部人员名单!B:D,3,0),"")</f>
        <v>总体室</v>
      </c>
      <c r="E122" s="51" t="s">
        <v>184</v>
      </c>
      <c r="F122" s="52">
        <f t="shared" si="3"/>
        <v>225</v>
      </c>
      <c r="G122" s="53"/>
      <c r="H122" s="53"/>
      <c r="I122" s="53">
        <v>225</v>
      </c>
      <c r="J122" s="53"/>
      <c r="K122" s="57"/>
      <c r="L122" s="57"/>
      <c r="M122" s="68"/>
      <c r="N122" s="58" t="e">
        <f>VLOOKUP(E122,订单号!B:C,2,0)</f>
        <v>#N/A</v>
      </c>
      <c r="O122" s="35" t="e">
        <f>VLOOKUP(C122,领导干部!B:B,1,0)</f>
        <v>#N/A</v>
      </c>
      <c r="Q122" t="s">
        <v>455</v>
      </c>
      <c r="R122">
        <v>300</v>
      </c>
      <c r="S122" t="e">
        <f t="array" ref="S122">VLOOKUP(Q122&amp;R122,IF({1,0},$B$2:$B$464&amp;$F$2:$F$464,$N$2:$N$464),2,)</f>
        <v>#N/A</v>
      </c>
      <c r="T122" s="35" t="str">
        <f t="array" ref="T122">VLOOKUP(Q122&amp;R122,IF({1,0},$B$2:$B$464&amp;$F$2:$F$464,$E$2:$E$464),2,)</f>
        <v>1号设计（2022年KTB）</v>
      </c>
      <c r="U122" s="35">
        <f t="array" ref="U122">VLOOKUP(Q122&amp;R122,IF({1,0},$B$2:$B$464&amp;$F$2:$F$464,$C$2:$C$464),2,)</f>
        <v>51955</v>
      </c>
      <c r="V122" s="35" t="str">
        <f t="array" ref="V122">VLOOKUP(Q122&amp;R122,IF({1,0},$B$2:$B$464&amp;$F$2:$F$464,$D$2:$D$464),2,)</f>
        <v>结构一室</v>
      </c>
    </row>
    <row r="123" s="35" customFormat="1" customHeight="1" spans="1:22">
      <c r="A123" s="47">
        <f t="shared" si="2"/>
        <v>122</v>
      </c>
      <c r="B123" s="63" t="s">
        <v>453</v>
      </c>
      <c r="C123" s="49">
        <f>IFERROR(VLOOKUP(B123,[1]工程研发事业部人员名单!B:D,2,0),"")</f>
        <v>26828</v>
      </c>
      <c r="D123" s="50" t="str">
        <f>IFERROR(VLOOKUP(B123,[1]工程研发事业部人员名单!B:D,3,0),"")</f>
        <v>综合技术室</v>
      </c>
      <c r="E123" s="51" t="s">
        <v>184</v>
      </c>
      <c r="F123" s="52">
        <f t="shared" si="3"/>
        <v>174.5</v>
      </c>
      <c r="G123" s="53">
        <v>174.5</v>
      </c>
      <c r="H123" s="53"/>
      <c r="I123" s="53"/>
      <c r="J123" s="53"/>
      <c r="K123" s="57"/>
      <c r="L123" s="57"/>
      <c r="M123" s="68"/>
      <c r="N123" s="58" t="e">
        <f>VLOOKUP(E123,订单号!B:C,2,0)</f>
        <v>#N/A</v>
      </c>
      <c r="O123" s="35" t="e">
        <f>VLOOKUP(C123,领导干部!B:B,1,0)</f>
        <v>#N/A</v>
      </c>
      <c r="Q123" t="s">
        <v>427</v>
      </c>
      <c r="R123">
        <v>379.72</v>
      </c>
      <c r="S123">
        <f t="array" ref="S123">VLOOKUP(Q123&amp;R123,IF({1,0},$B$2:$B$464&amp;$F$2:$F$464,$N$2:$N$464),2,)</f>
        <v>10502</v>
      </c>
      <c r="T123" s="35" t="str">
        <f t="array" ref="T123">VLOOKUP(Q123&amp;R123,IF({1,0},$B$2:$B$464&amp;$F$2:$F$464,$E$2:$E$464),2,)</f>
        <v>工程支持</v>
      </c>
      <c r="U123" s="35">
        <f t="array" ref="U123">VLOOKUP(Q123&amp;R123,IF({1,0},$B$2:$B$464&amp;$F$2:$F$464,$C$2:$C$464),2,)</f>
        <v>18672</v>
      </c>
      <c r="V123" s="35" t="str">
        <f t="array" ref="V123">VLOOKUP(Q123&amp;R123,IF({1,0},$B$2:$B$464&amp;$F$2:$F$464,$D$2:$D$464),2,)</f>
        <v>联络工程室</v>
      </c>
    </row>
    <row r="124" s="35" customFormat="1" customHeight="1" spans="1:22">
      <c r="A124" s="47">
        <f t="shared" si="2"/>
        <v>123</v>
      </c>
      <c r="B124" s="63" t="s">
        <v>399</v>
      </c>
      <c r="C124" s="49">
        <f>IFERROR(VLOOKUP(B124,[1]工程研发事业部人员名单!B:D,2,0),"")</f>
        <v>27100</v>
      </c>
      <c r="D124" s="50" t="str">
        <f>IFERROR(VLOOKUP(B124,[1]工程研发事业部人员名单!B:D,3,0),"")</f>
        <v>综合技术室</v>
      </c>
      <c r="E124" s="51" t="s">
        <v>184</v>
      </c>
      <c r="F124" s="52">
        <f t="shared" si="3"/>
        <v>185</v>
      </c>
      <c r="G124" s="53">
        <v>185</v>
      </c>
      <c r="H124" s="53"/>
      <c r="I124" s="60"/>
      <c r="J124" s="60"/>
      <c r="K124" s="57"/>
      <c r="L124" s="57"/>
      <c r="M124" s="68"/>
      <c r="N124" s="58" t="e">
        <f>VLOOKUP(E124,订单号!B:C,2,0)</f>
        <v>#N/A</v>
      </c>
      <c r="O124" s="35" t="e">
        <f>VLOOKUP(C124,领导干部!B:B,1,0)</f>
        <v>#N/A</v>
      </c>
      <c r="Q124" t="s">
        <v>336</v>
      </c>
      <c r="R124">
        <v>218.3</v>
      </c>
      <c r="S124" t="e">
        <f t="array" ref="S124">VLOOKUP(Q124&amp;R124,IF({1,0},$B$2:$B$464&amp;$F$2:$F$464,$N$2:$N$464),2,)</f>
        <v>#N/A</v>
      </c>
      <c r="T124" s="35" t="str">
        <f t="array" ref="T124">VLOOKUP(Q124&amp;R124,IF({1,0},$B$2:$B$464&amp;$F$2:$F$464,$E$2:$E$464),2,)</f>
        <v>6号设计（2021年）</v>
      </c>
      <c r="U124" s="35">
        <f t="array" ref="U124">VLOOKUP(Q124&amp;R124,IF({1,0},$B$2:$B$464&amp;$F$2:$F$464,$C$2:$C$464),2,)</f>
        <v>18550</v>
      </c>
      <c r="V124" s="35" t="str">
        <f t="array" ref="V124">VLOOKUP(Q124&amp;R124,IF({1,0},$B$2:$B$464&amp;$F$2:$F$464,$D$2:$D$464),2,)</f>
        <v>总体室</v>
      </c>
    </row>
    <row r="125" s="35" customFormat="1" customHeight="1" spans="1:22">
      <c r="A125" s="47">
        <f t="shared" si="2"/>
        <v>124</v>
      </c>
      <c r="B125" s="63" t="s">
        <v>300</v>
      </c>
      <c r="C125" s="49">
        <f>IFERROR(VLOOKUP(B125,[1]工程研发事业部人员名单!B:D,2,0),"")</f>
        <v>51429</v>
      </c>
      <c r="D125" s="50" t="str">
        <f>IFERROR(VLOOKUP(B125,[1]工程研发事业部人员名单!B:D,3,0),"")</f>
        <v>综合技术室</v>
      </c>
      <c r="E125" s="51" t="s">
        <v>184</v>
      </c>
      <c r="F125" s="52">
        <f t="shared" si="3"/>
        <v>80</v>
      </c>
      <c r="G125" s="53">
        <v>80</v>
      </c>
      <c r="H125" s="53"/>
      <c r="I125" s="60"/>
      <c r="J125" s="60"/>
      <c r="K125" s="57"/>
      <c r="L125" s="57"/>
      <c r="M125" s="68"/>
      <c r="N125" s="58" t="e">
        <f>VLOOKUP(E125,订单号!B:C,2,0)</f>
        <v>#N/A</v>
      </c>
      <c r="O125" s="35" t="e">
        <f>VLOOKUP(C125,领导干部!B:B,1,0)</f>
        <v>#N/A</v>
      </c>
      <c r="Q125" t="s">
        <v>459</v>
      </c>
      <c r="R125">
        <v>245</v>
      </c>
      <c r="S125" t="e">
        <f t="array" ref="S125">VLOOKUP(Q125&amp;R125,IF({1,0},$B$2:$B$464&amp;$F$2:$F$464,$N$2:$N$464),2,)</f>
        <v>#N/A</v>
      </c>
      <c r="T125" s="35" t="str">
        <f t="array" ref="T125">VLOOKUP(Q125&amp;R125,IF({1,0},$B$2:$B$464&amp;$F$2:$F$464,$E$2:$E$464),2,)</f>
        <v>CR929设计（2022年上飞院）</v>
      </c>
      <c r="U125" s="35">
        <f t="array" ref="U125">VLOOKUP(Q125&amp;R125,IF({1,0},$B$2:$B$464&amp;$F$2:$F$464,$C$2:$C$464),2,)</f>
        <v>51400</v>
      </c>
      <c r="V125" s="35" t="str">
        <f t="array" ref="V125">VLOOKUP(Q125&amp;R125,IF({1,0},$B$2:$B$464&amp;$F$2:$F$464,$D$2:$D$464),2,)</f>
        <v>结构一室</v>
      </c>
    </row>
    <row r="126" s="35" customFormat="1" customHeight="1" spans="1:22">
      <c r="A126" s="47">
        <f t="shared" si="2"/>
        <v>125</v>
      </c>
      <c r="B126" s="63" t="s">
        <v>295</v>
      </c>
      <c r="C126" s="49">
        <f>IFERROR(VLOOKUP(B126,[1]工程研发事业部人员名单!B:D,2,0),"")</f>
        <v>51951</v>
      </c>
      <c r="D126" s="50" t="str">
        <f>IFERROR(VLOOKUP(B126,[1]工程研发事业部人员名单!B:D,3,0),"")</f>
        <v>系统室</v>
      </c>
      <c r="E126" s="51" t="s">
        <v>184</v>
      </c>
      <c r="F126" s="52">
        <f t="shared" si="3"/>
        <v>10</v>
      </c>
      <c r="G126" s="53">
        <v>10</v>
      </c>
      <c r="H126" s="53"/>
      <c r="I126" s="60"/>
      <c r="J126" s="60"/>
      <c r="K126" s="57"/>
      <c r="L126" s="57"/>
      <c r="M126" s="69"/>
      <c r="N126" s="58" t="e">
        <f>VLOOKUP(E126,订单号!B:C,2,0)</f>
        <v>#N/A</v>
      </c>
      <c r="O126" s="35" t="e">
        <f>VLOOKUP(C126,领导干部!B:B,1,0)</f>
        <v>#N/A</v>
      </c>
      <c r="Q126" t="s">
        <v>462</v>
      </c>
      <c r="R126">
        <v>278.585</v>
      </c>
      <c r="S126">
        <f t="array" ref="S126">VLOOKUP(Q126&amp;R126,IF({1,0},$B$2:$B$464&amp;$F$2:$F$464,$N$2:$N$464),2,)</f>
        <v>10502</v>
      </c>
      <c r="T126" s="35" t="str">
        <f t="array" ref="T126">VLOOKUP(Q126&amp;R126,IF({1,0},$B$2:$B$464&amp;$F$2:$F$464,$E$2:$E$464),2,)</f>
        <v>工程支持</v>
      </c>
      <c r="U126" s="35">
        <f t="array" ref="U126">VLOOKUP(Q126&amp;R126,IF({1,0},$B$2:$B$464&amp;$F$2:$F$464,$C$2:$C$464),2,)</f>
        <v>51428</v>
      </c>
      <c r="V126" s="35" t="str">
        <f t="array" ref="V126">VLOOKUP(Q126&amp;R126,IF({1,0},$B$2:$B$464&amp;$F$2:$F$464,$D$2:$D$464),2,)</f>
        <v>联络工程室</v>
      </c>
    </row>
    <row r="127" s="35" customFormat="1" customHeight="1" spans="1:22">
      <c r="A127" s="47">
        <f t="shared" si="2"/>
        <v>126</v>
      </c>
      <c r="B127" s="63" t="s">
        <v>455</v>
      </c>
      <c r="C127" s="49">
        <f>IFERROR(VLOOKUP(B127,[1]工程研发事业部人员名单!B:D,2,0),"")</f>
        <v>51955</v>
      </c>
      <c r="D127" s="50" t="str">
        <f>IFERROR(VLOOKUP(B127,[1]工程研发事业部人员名单!B:D,3,0),"")</f>
        <v>结构一室</v>
      </c>
      <c r="E127" s="51" t="s">
        <v>184</v>
      </c>
      <c r="F127" s="52">
        <f t="shared" si="3"/>
        <v>300</v>
      </c>
      <c r="G127" s="53"/>
      <c r="H127" s="53"/>
      <c r="I127" s="53">
        <v>300</v>
      </c>
      <c r="J127" s="60"/>
      <c r="K127" s="57"/>
      <c r="L127" s="57"/>
      <c r="M127" s="68"/>
      <c r="N127" s="58" t="e">
        <f>VLOOKUP(E127,订单号!B:C,2,0)</f>
        <v>#N/A</v>
      </c>
      <c r="O127" s="35" t="e">
        <f>VLOOKUP(C127,领导干部!B:B,1,0)</f>
        <v>#N/A</v>
      </c>
      <c r="Q127" t="s">
        <v>690</v>
      </c>
      <c r="R127">
        <v>384.4</v>
      </c>
      <c r="S127">
        <f t="array" ref="S127">VLOOKUP(Q127&amp;R127,IF({1,0},$B$2:$B$464&amp;$F$2:$F$464,$N$2:$N$464),2,)</f>
        <v>10502</v>
      </c>
      <c r="T127" s="35" t="str">
        <f t="array" ref="T127">VLOOKUP(Q127&amp;R127,IF({1,0},$B$2:$B$464&amp;$F$2:$F$464,$E$2:$E$464),2,)</f>
        <v>工程支持</v>
      </c>
      <c r="U127" s="35">
        <f t="array" ref="U127">VLOOKUP(Q127&amp;R127,IF({1,0},$B$2:$B$464&amp;$F$2:$F$464,$C$2:$C$464),2,)</f>
        <v>27680</v>
      </c>
      <c r="V127" s="35" t="str">
        <f t="array" ref="V127">VLOOKUP(Q127&amp;R127,IF({1,0},$B$2:$B$464&amp;$F$2:$F$464,$D$2:$D$464),2,)</f>
        <v>联络工程室</v>
      </c>
    </row>
    <row r="128" s="35" customFormat="1" customHeight="1" spans="1:22">
      <c r="A128" s="47">
        <f t="shared" si="2"/>
        <v>127</v>
      </c>
      <c r="B128" s="63" t="s">
        <v>371</v>
      </c>
      <c r="C128" s="49">
        <f>IFERROR(VLOOKUP(B128,[1]工程研发事业部人员名单!B:D,2,0),"")</f>
        <v>51640</v>
      </c>
      <c r="D128" s="50" t="str">
        <f>IFERROR(VLOOKUP(B128,[1]工程研发事业部人员名单!B:D,3,0),"")</f>
        <v>结构一室</v>
      </c>
      <c r="E128" s="51" t="s">
        <v>184</v>
      </c>
      <c r="F128" s="52">
        <f t="shared" si="3"/>
        <v>300</v>
      </c>
      <c r="G128" s="53"/>
      <c r="H128" s="53"/>
      <c r="I128" s="53">
        <v>300</v>
      </c>
      <c r="J128" s="60"/>
      <c r="K128" s="57"/>
      <c r="L128" s="57"/>
      <c r="M128" s="68"/>
      <c r="N128" s="58" t="e">
        <f>VLOOKUP(E128,订单号!B:C,2,0)</f>
        <v>#N/A</v>
      </c>
      <c r="O128" s="35" t="e">
        <f>VLOOKUP(C128,领导干部!B:B,1,0)</f>
        <v>#N/A</v>
      </c>
      <c r="Q128" t="s">
        <v>464</v>
      </c>
      <c r="R128">
        <v>260</v>
      </c>
      <c r="S128" t="e">
        <f t="array" ref="S128">VLOOKUP(Q128&amp;R128,IF({1,0},$B$2:$B$464&amp;$F$2:$F$464,$N$2:$N$464),2,)</f>
        <v>#N/A</v>
      </c>
      <c r="T128" s="35" t="str">
        <f t="array" ref="T128">VLOOKUP(Q128&amp;R128,IF({1,0},$B$2:$B$464&amp;$F$2:$F$464,$E$2:$E$464),2,)</f>
        <v>1号设计（2022年KTB）</v>
      </c>
      <c r="U128" s="35">
        <f t="array" ref="U128">VLOOKUP(Q128&amp;R128,IF({1,0},$B$2:$B$464&amp;$F$2:$F$464,$C$2:$C$464),2,)</f>
        <v>18548</v>
      </c>
      <c r="V128" s="35" t="str">
        <f t="array" ref="V128">VLOOKUP(Q128&amp;R128,IF({1,0},$B$2:$B$464&amp;$F$2:$F$464,$D$2:$D$464),2,)</f>
        <v>结构二室</v>
      </c>
    </row>
    <row r="129" s="35" customFormat="1" customHeight="1" spans="1:22">
      <c r="A129" s="47">
        <f t="shared" si="2"/>
        <v>128</v>
      </c>
      <c r="B129" s="63" t="s">
        <v>322</v>
      </c>
      <c r="C129" s="49">
        <f>IFERROR(VLOOKUP(B129,[1]工程研发事业部人员名单!B:D,2,0),"")</f>
        <v>51186</v>
      </c>
      <c r="D129" s="50" t="str">
        <f>IFERROR(VLOOKUP(B129,[1]工程研发事业部人员名单!B:D,3,0),"")</f>
        <v>结构二室</v>
      </c>
      <c r="E129" s="51" t="s">
        <v>184</v>
      </c>
      <c r="F129" s="52">
        <f t="shared" si="3"/>
        <v>300</v>
      </c>
      <c r="G129" s="53"/>
      <c r="H129" s="53"/>
      <c r="I129" s="53">
        <v>300</v>
      </c>
      <c r="J129" s="60"/>
      <c r="K129" s="57"/>
      <c r="L129" s="57"/>
      <c r="M129" s="68"/>
      <c r="N129" s="58" t="e">
        <f>VLOOKUP(E129,订单号!B:C,2,0)</f>
        <v>#N/A</v>
      </c>
      <c r="O129" s="35" t="e">
        <f>VLOOKUP(C129,领导干部!B:B,1,0)</f>
        <v>#N/A</v>
      </c>
      <c r="Q129" t="s">
        <v>395</v>
      </c>
      <c r="R129">
        <v>208</v>
      </c>
      <c r="S129" t="e">
        <f t="array" ref="S129">VLOOKUP(Q129&amp;R129,IF({1,0},$B$2:$B$464&amp;$F$2:$F$464,$N$2:$N$464),2,)</f>
        <v>#N/A</v>
      </c>
      <c r="T129" s="35" t="str">
        <f t="array" ref="T129">VLOOKUP(Q129&amp;R129,IF({1,0},$B$2:$B$464&amp;$F$2:$F$464,$E$2:$E$464),2,)</f>
        <v>CR929设计（2022年复材中心）</v>
      </c>
      <c r="U129" s="35">
        <f t="array" ref="U129">VLOOKUP(Q129&amp;R129,IF({1,0},$B$2:$B$464&amp;$F$2:$F$464,$C$2:$C$464),2,)</f>
        <v>50278</v>
      </c>
      <c r="V129" s="35" t="str">
        <f t="array" ref="V129">VLOOKUP(Q129&amp;R129,IF({1,0},$B$2:$B$464&amp;$F$2:$F$464,$D$2:$D$464),2,)</f>
        <v>结构二室</v>
      </c>
    </row>
    <row r="130" s="35" customFormat="1" customHeight="1" spans="1:22">
      <c r="A130" s="47">
        <f t="shared" ref="A130:A193" si="4">ROW()-1</f>
        <v>129</v>
      </c>
      <c r="B130" s="63" t="s">
        <v>360</v>
      </c>
      <c r="C130" s="49">
        <f>IFERROR(VLOOKUP(B130,[1]工程研发事业部人员名单!B:D,2,0),"")</f>
        <v>50713</v>
      </c>
      <c r="D130" s="50" t="str">
        <f>IFERROR(VLOOKUP(B130,[1]工程研发事业部人员名单!B:D,3,0),"")</f>
        <v>系统室</v>
      </c>
      <c r="E130" s="51" t="s">
        <v>184</v>
      </c>
      <c r="F130" s="52">
        <f t="shared" ref="F130:F193" si="5">G130+H130+I130+J130</f>
        <v>85</v>
      </c>
      <c r="G130" s="53">
        <v>85</v>
      </c>
      <c r="H130" s="53"/>
      <c r="I130" s="60"/>
      <c r="J130" s="60"/>
      <c r="K130" s="57"/>
      <c r="L130" s="57"/>
      <c r="M130" s="68"/>
      <c r="N130" s="58" t="e">
        <f>VLOOKUP(E130,订单号!B:C,2,0)</f>
        <v>#N/A</v>
      </c>
      <c r="O130" s="35" t="e">
        <f>VLOOKUP(C130,领导干部!B:B,1,0)</f>
        <v>#N/A</v>
      </c>
      <c r="Q130" t="s">
        <v>327</v>
      </c>
      <c r="R130">
        <v>205.3</v>
      </c>
      <c r="S130" t="e">
        <f t="array" ref="S130">VLOOKUP(Q130&amp;R130,IF({1,0},$B$2:$B$464&amp;$F$2:$F$464,$N$2:$N$464),2,)</f>
        <v>#N/A</v>
      </c>
      <c r="T130" s="35" t="str">
        <f t="array" ref="T130">VLOOKUP(Q130&amp;R130,IF({1,0},$B$2:$B$464&amp;$F$2:$F$464,$E$2:$E$464),2,)</f>
        <v>6号设计（2021年）</v>
      </c>
      <c r="U130" s="35">
        <f t="array" ref="U130">VLOOKUP(Q130&amp;R130,IF({1,0},$B$2:$B$464&amp;$F$2:$F$464,$C$2:$C$464),2,)</f>
        <v>17243</v>
      </c>
      <c r="V130" s="35" t="str">
        <f t="array" ref="V130">VLOOKUP(Q130&amp;R130,IF({1,0},$B$2:$B$464&amp;$F$2:$F$464,$D$2:$D$464),2,)</f>
        <v>总体室</v>
      </c>
    </row>
    <row r="131" s="35" customFormat="1" customHeight="1" spans="1:22">
      <c r="A131" s="47">
        <f t="shared" si="4"/>
        <v>130</v>
      </c>
      <c r="B131" s="63" t="s">
        <v>376</v>
      </c>
      <c r="C131" s="49">
        <f>IFERROR(VLOOKUP(B131,[1]工程研发事业部人员名单!B:D,2,0),"")</f>
        <v>50872</v>
      </c>
      <c r="D131" s="50" t="str">
        <f>IFERROR(VLOOKUP(B131,[1]工程研发事业部人员名单!B:D,3,0),"")</f>
        <v>系统室</v>
      </c>
      <c r="E131" s="51" t="s">
        <v>184</v>
      </c>
      <c r="F131" s="52">
        <f t="shared" si="5"/>
        <v>175</v>
      </c>
      <c r="G131" s="53">
        <v>175</v>
      </c>
      <c r="H131" s="53"/>
      <c r="I131" s="60"/>
      <c r="J131" s="60"/>
      <c r="K131" s="57"/>
      <c r="L131" s="57"/>
      <c r="M131" s="68"/>
      <c r="N131" s="58" t="e">
        <f>VLOOKUP(E131,订单号!B:C,2,0)</f>
        <v>#N/A</v>
      </c>
      <c r="O131" s="35" t="e">
        <f>VLOOKUP(C131,领导干部!B:B,1,0)</f>
        <v>#N/A</v>
      </c>
      <c r="Q131" t="s">
        <v>289</v>
      </c>
      <c r="R131">
        <v>100</v>
      </c>
      <c r="S131" t="e">
        <f t="array" ref="S131">VLOOKUP(Q131&amp;R131,IF({1,0},$B$2:$B$464&amp;$F$2:$F$464,$N$2:$N$464),2,)</f>
        <v>#N/A</v>
      </c>
      <c r="T131" s="35" t="str">
        <f t="array" ref="T131">VLOOKUP(Q131&amp;R131,IF({1,0},$B$2:$B$464&amp;$F$2:$F$464,$E$2:$E$464),2,)</f>
        <v>1号设计（2022年KTB）</v>
      </c>
      <c r="U131" s="35">
        <f t="array" ref="U131">VLOOKUP(Q131&amp;R131,IF({1,0},$B$2:$B$464&amp;$F$2:$F$464,$C$2:$C$464),2,)</f>
        <v>22259</v>
      </c>
      <c r="V131" s="35" t="str">
        <f t="array" ref="V131">VLOOKUP(Q131&amp;R131,IF({1,0},$B$2:$B$464&amp;$F$2:$F$464,$D$2:$D$464),2,)</f>
        <v>强度室</v>
      </c>
    </row>
    <row r="132" s="35" customFormat="1" customHeight="1" spans="1:22">
      <c r="A132" s="47">
        <f t="shared" si="4"/>
        <v>131</v>
      </c>
      <c r="B132" s="63" t="s">
        <v>364</v>
      </c>
      <c r="C132" s="49">
        <f>IFERROR(VLOOKUP(B132,[1]工程研发事业部人员名单!B:D,2,0),"")</f>
        <v>52236</v>
      </c>
      <c r="D132" s="50" t="str">
        <f>IFERROR(VLOOKUP(B132,[1]工程研发事业部人员名单!B:D,3,0),"")</f>
        <v>结构一室</v>
      </c>
      <c r="E132" s="51" t="s">
        <v>184</v>
      </c>
      <c r="F132" s="52">
        <f t="shared" si="5"/>
        <v>300</v>
      </c>
      <c r="G132" s="53"/>
      <c r="H132" s="53"/>
      <c r="I132" s="53">
        <v>300</v>
      </c>
      <c r="J132" s="60"/>
      <c r="K132" s="57"/>
      <c r="L132" s="57"/>
      <c r="M132" s="68"/>
      <c r="N132" s="58" t="e">
        <f>VLOOKUP(E132,订单号!B:C,2,0)</f>
        <v>#N/A</v>
      </c>
      <c r="O132" s="35" t="e">
        <f>VLOOKUP(C132,领导干部!B:B,1,0)</f>
        <v>#N/A</v>
      </c>
      <c r="Q132" t="s">
        <v>470</v>
      </c>
      <c r="R132">
        <v>170</v>
      </c>
      <c r="S132" t="e">
        <f t="array" ref="S132">VLOOKUP(Q132&amp;R132,IF({1,0},$B$2:$B$464&amp;$F$2:$F$464,$N$2:$N$464),2,)</f>
        <v>#N/A</v>
      </c>
      <c r="T132" s="35" t="str">
        <f t="array" ref="T132">VLOOKUP(Q132&amp;R132,IF({1,0},$B$2:$B$464&amp;$F$2:$F$464,$E$2:$E$464),2,)</f>
        <v>CR929设计（2022年复材中心）</v>
      </c>
      <c r="U132" s="35">
        <f t="array" ref="U132">VLOOKUP(Q132&amp;R132,IF({1,0},$B$2:$B$464&amp;$F$2:$F$464,$C$2:$C$464),2,)</f>
        <v>52017</v>
      </c>
      <c r="V132" s="35" t="str">
        <f t="array" ref="V132">VLOOKUP(Q132&amp;R132,IF({1,0},$B$2:$B$464&amp;$F$2:$F$464,$D$2:$D$464),2,)</f>
        <v>结构一室</v>
      </c>
    </row>
    <row r="133" s="35" customFormat="1" customHeight="1" spans="1:22">
      <c r="A133" s="47">
        <f t="shared" si="4"/>
        <v>132</v>
      </c>
      <c r="B133" s="63" t="s">
        <v>393</v>
      </c>
      <c r="C133" s="49">
        <f>IFERROR(VLOOKUP(B133,[1]工程研发事业部人员名单!B:D,2,0),"")</f>
        <v>52133</v>
      </c>
      <c r="D133" s="50" t="str">
        <f>IFERROR(VLOOKUP(B133,[1]工程研发事业部人员名单!B:D,3,0),"")</f>
        <v>结构一室</v>
      </c>
      <c r="E133" s="51" t="s">
        <v>184</v>
      </c>
      <c r="F133" s="52">
        <f t="shared" si="5"/>
        <v>190</v>
      </c>
      <c r="G133" s="53"/>
      <c r="H133" s="53"/>
      <c r="I133" s="53">
        <v>190</v>
      </c>
      <c r="J133" s="60"/>
      <c r="K133" s="57"/>
      <c r="L133" s="57"/>
      <c r="M133" s="68"/>
      <c r="N133" s="58" t="e">
        <f>VLOOKUP(E133,订单号!B:C,2,0)</f>
        <v>#N/A</v>
      </c>
      <c r="O133" s="35" t="e">
        <f>VLOOKUP(C133,领导干部!B:B,1,0)</f>
        <v>#N/A</v>
      </c>
      <c r="Q133" t="s">
        <v>472</v>
      </c>
      <c r="R133">
        <v>150</v>
      </c>
      <c r="S133" t="e">
        <f t="array" ref="S133">VLOOKUP(Q133&amp;R133,IF({1,0},$B$2:$B$464&amp;$F$2:$F$464,$N$2:$N$464),2,)</f>
        <v>#N/A</v>
      </c>
      <c r="T133" s="35" t="str">
        <f t="array" ref="T133">VLOOKUP(Q133&amp;R133,IF({1,0},$B$2:$B$464&amp;$F$2:$F$464,$E$2:$E$464),2,)</f>
        <v>CR929设计（2022年上飞院）</v>
      </c>
      <c r="U133" s="35">
        <f t="array" ref="U133">VLOOKUP(Q133&amp;R133,IF({1,0},$B$2:$B$464&amp;$F$2:$F$464,$C$2:$C$464),2,)</f>
        <v>51165</v>
      </c>
      <c r="V133" s="35" t="str">
        <f t="array" ref="V133">VLOOKUP(Q133&amp;R133,IF({1,0},$B$2:$B$464&amp;$F$2:$F$464,$D$2:$D$464),2,)</f>
        <v>结构一室</v>
      </c>
    </row>
    <row r="134" s="35" customFormat="1" customHeight="1" spans="1:22">
      <c r="A134" s="47">
        <f t="shared" si="4"/>
        <v>133</v>
      </c>
      <c r="B134" s="63" t="s">
        <v>491</v>
      </c>
      <c r="C134" s="49">
        <f>IFERROR(VLOOKUP(B134,[1]工程研发事业部人员名单!B:D,2,0),"")</f>
        <v>52124</v>
      </c>
      <c r="D134" s="50" t="str">
        <f>IFERROR(VLOOKUP(B134,[1]工程研发事业部人员名单!B:D,3,0),"")</f>
        <v>结构一室</v>
      </c>
      <c r="E134" s="51" t="s">
        <v>184</v>
      </c>
      <c r="F134" s="52">
        <f t="shared" si="5"/>
        <v>245</v>
      </c>
      <c r="G134" s="53"/>
      <c r="H134" s="53"/>
      <c r="I134" s="53">
        <v>245</v>
      </c>
      <c r="J134" s="60"/>
      <c r="K134" s="57"/>
      <c r="L134" s="57"/>
      <c r="M134" s="68"/>
      <c r="N134" s="58" t="e">
        <f>VLOOKUP(E134,订单号!B:C,2,0)</f>
        <v>#N/A</v>
      </c>
      <c r="O134" s="35" t="e">
        <f>VLOOKUP(C134,领导干部!B:B,1,0)</f>
        <v>#N/A</v>
      </c>
      <c r="Q134" t="s">
        <v>474</v>
      </c>
      <c r="R134">
        <v>470.58</v>
      </c>
      <c r="S134">
        <f t="array" ref="S134">VLOOKUP(Q134&amp;R134,IF({1,0},$B$2:$B$464&amp;$F$2:$F$464,$N$2:$N$464),2,)</f>
        <v>10502</v>
      </c>
      <c r="T134" s="35" t="str">
        <f t="array" ref="T134">VLOOKUP(Q134&amp;R134,IF({1,0},$B$2:$B$464&amp;$F$2:$F$464,$E$2:$E$464),2,)</f>
        <v>工程支持</v>
      </c>
      <c r="U134" s="35">
        <f t="array" ref="U134">VLOOKUP(Q134&amp;R134,IF({1,0},$B$2:$B$464&amp;$F$2:$F$464,$C$2:$C$464),2,)</f>
        <v>50853</v>
      </c>
      <c r="V134" s="35" t="str">
        <f t="array" ref="V134">VLOOKUP(Q134&amp;R134,IF({1,0},$B$2:$B$464&amp;$F$2:$F$464,$D$2:$D$464),2,)</f>
        <v>联络工程室</v>
      </c>
    </row>
    <row r="135" s="35" customFormat="1" customHeight="1" spans="1:22">
      <c r="A135" s="47">
        <f t="shared" si="4"/>
        <v>134</v>
      </c>
      <c r="B135" s="63" t="s">
        <v>225</v>
      </c>
      <c r="C135" s="49">
        <f>IFERROR(VLOOKUP(B135,[1]工程研发事业部人员名单!B:D,2,0),"")</f>
        <v>52180</v>
      </c>
      <c r="D135" s="50" t="str">
        <f>IFERROR(VLOOKUP(B135,[1]工程研发事业部人员名单!B:D,3,0),"")</f>
        <v>结构一室</v>
      </c>
      <c r="E135" s="51" t="s">
        <v>184</v>
      </c>
      <c r="F135" s="52">
        <f t="shared" si="5"/>
        <v>252</v>
      </c>
      <c r="G135" s="53"/>
      <c r="H135" s="53"/>
      <c r="I135" s="53">
        <v>252</v>
      </c>
      <c r="J135" s="60"/>
      <c r="K135" s="57"/>
      <c r="L135" s="57"/>
      <c r="M135" s="68"/>
      <c r="N135" s="58" t="e">
        <f>VLOOKUP(E135,订单号!B:C,2,0)</f>
        <v>#N/A</v>
      </c>
      <c r="O135" s="35" t="e">
        <f>VLOOKUP(C135,领导干部!B:B,1,0)</f>
        <v>#N/A</v>
      </c>
      <c r="Q135" t="s">
        <v>477</v>
      </c>
      <c r="R135">
        <v>320</v>
      </c>
      <c r="S135" t="e">
        <f t="array" ref="S135">VLOOKUP(Q135&amp;R135,IF({1,0},$B$2:$B$464&amp;$F$2:$F$464,$N$2:$N$464),2,)</f>
        <v>#N/A</v>
      </c>
      <c r="T135" s="35" t="str">
        <f t="array" ref="T135">VLOOKUP(Q135&amp;R135,IF({1,0},$B$2:$B$464&amp;$F$2:$F$464,$E$2:$E$464),2,)</f>
        <v>CR929设计（2022年上飞院）</v>
      </c>
      <c r="U135" s="35">
        <f t="array" ref="U135">VLOOKUP(Q135&amp;R135,IF({1,0},$B$2:$B$464&amp;$F$2:$F$464,$C$2:$C$464),2,)</f>
        <v>52063</v>
      </c>
      <c r="V135" s="35" t="str">
        <f t="array" ref="V135">VLOOKUP(Q135&amp;R135,IF({1,0},$B$2:$B$464&amp;$F$2:$F$464,$D$2:$D$464),2,)</f>
        <v>结构一室</v>
      </c>
    </row>
    <row r="136" s="35" customFormat="1" customHeight="1" spans="1:22">
      <c r="A136" s="47">
        <f t="shared" si="4"/>
        <v>135</v>
      </c>
      <c r="B136" s="63" t="s">
        <v>388</v>
      </c>
      <c r="C136" s="49">
        <f>IFERROR(VLOOKUP(B136,[1]工程研发事业部人员名单!B:D,2,0),"")</f>
        <v>50864</v>
      </c>
      <c r="D136" s="50" t="str">
        <f>IFERROR(VLOOKUP(B136,[1]工程研发事业部人员名单!B:D,3,0),"")</f>
        <v>综合技术室</v>
      </c>
      <c r="E136" s="51" t="s">
        <v>184</v>
      </c>
      <c r="F136" s="52">
        <f t="shared" si="5"/>
        <v>162</v>
      </c>
      <c r="G136" s="53">
        <v>162</v>
      </c>
      <c r="H136" s="53"/>
      <c r="I136" s="53"/>
      <c r="J136" s="60"/>
      <c r="K136" s="57"/>
      <c r="L136" s="57"/>
      <c r="M136" s="68"/>
      <c r="N136" s="58" t="e">
        <f>VLOOKUP(E136,订单号!B:C,2,0)</f>
        <v>#N/A</v>
      </c>
      <c r="O136" s="35" t="e">
        <f>VLOOKUP(C136,领导干部!B:B,1,0)</f>
        <v>#N/A</v>
      </c>
      <c r="Q136" t="s">
        <v>694</v>
      </c>
      <c r="R136">
        <v>150</v>
      </c>
      <c r="S136" t="str">
        <f t="array" ref="S136">VLOOKUP(Q136&amp;R136,IF({1,0},$B$2:$B$464&amp;$F$2:$F$464,$N$2:$N$464),2,)</f>
        <v>YZ40000741</v>
      </c>
      <c r="T136" s="35" t="str">
        <f t="array" ref="T136">VLOOKUP(Q136&amp;R136,IF({1,0},$B$2:$B$464&amp;$F$2:$F$464,$E$2:$E$464),2,)</f>
        <v>ARJ21货运型设计（2022年上飞院）</v>
      </c>
      <c r="U136" s="35">
        <f t="array" ref="U136">VLOOKUP(Q136&amp;R136,IF({1,0},$B$2:$B$464&amp;$F$2:$F$464,$C$2:$C$464),2,)</f>
        <v>51792</v>
      </c>
      <c r="V136" s="35" t="str">
        <f t="array" ref="V136">VLOOKUP(Q136&amp;R136,IF({1,0},$B$2:$B$464&amp;$F$2:$F$464,$D$2:$D$464),2,)</f>
        <v>工程项目室</v>
      </c>
    </row>
    <row r="137" s="35" customFormat="1" customHeight="1" spans="1:22">
      <c r="A137" s="47">
        <f t="shared" si="4"/>
        <v>136</v>
      </c>
      <c r="B137" s="63" t="s">
        <v>298</v>
      </c>
      <c r="C137" s="49">
        <f>IFERROR(VLOOKUP(B137,[1]工程研发事业部人员名单!B:D,2,0),"")</f>
        <v>51517</v>
      </c>
      <c r="D137" s="50" t="str">
        <f>IFERROR(VLOOKUP(B137,[1]工程研发事业部人员名单!B:D,3,0),"")</f>
        <v>系统室</v>
      </c>
      <c r="E137" s="51" t="s">
        <v>184</v>
      </c>
      <c r="F137" s="52">
        <f t="shared" si="5"/>
        <v>100</v>
      </c>
      <c r="G137" s="53">
        <v>100</v>
      </c>
      <c r="H137" s="53"/>
      <c r="I137" s="60"/>
      <c r="J137" s="60"/>
      <c r="K137" s="57"/>
      <c r="L137" s="57"/>
      <c r="M137" s="68"/>
      <c r="N137" s="58" t="e">
        <f>VLOOKUP(E137,订单号!B:C,2,0)</f>
        <v>#N/A</v>
      </c>
      <c r="O137" s="35" t="e">
        <f>VLOOKUP(C137,领导干部!B:B,1,0)</f>
        <v>#N/A</v>
      </c>
      <c r="Q137" t="s">
        <v>479</v>
      </c>
      <c r="R137">
        <v>170.7</v>
      </c>
      <c r="S137">
        <f t="array" ref="S137">VLOOKUP(Q137&amp;R137,IF({1,0},$B$2:$B$464&amp;$F$2:$F$464,$N$2:$N$464),2,)</f>
        <v>10502</v>
      </c>
      <c r="T137" s="35" t="str">
        <f t="array" ref="T137">VLOOKUP(Q137&amp;R137,IF({1,0},$B$2:$B$464&amp;$F$2:$F$464,$E$2:$E$464),2,)</f>
        <v>工程支持</v>
      </c>
      <c r="U137" s="35">
        <f t="array" ref="U137">VLOOKUP(Q137&amp;R137,IF({1,0},$B$2:$B$464&amp;$F$2:$F$464,$C$2:$C$464),2,)</f>
        <v>50323</v>
      </c>
      <c r="V137" s="35" t="str">
        <f t="array" ref="V137">VLOOKUP(Q137&amp;R137,IF({1,0},$B$2:$B$464&amp;$F$2:$F$464,$D$2:$D$464),2,)</f>
        <v>联络工程室</v>
      </c>
    </row>
    <row r="138" s="35" customFormat="1" customHeight="1" spans="1:22">
      <c r="A138" s="47">
        <f t="shared" si="4"/>
        <v>137</v>
      </c>
      <c r="B138" s="63" t="s">
        <v>360</v>
      </c>
      <c r="C138" s="49">
        <f>IFERROR(VLOOKUP(B138,[1]工程研发事业部人员名单!B:D,2,0),"")</f>
        <v>50713</v>
      </c>
      <c r="D138" s="50" t="str">
        <f>IFERROR(VLOOKUP(B138,[1]工程研发事业部人员名单!B:D,3,0),"")</f>
        <v>系统室</v>
      </c>
      <c r="E138" s="51" t="s">
        <v>184</v>
      </c>
      <c r="F138" s="52">
        <f t="shared" si="5"/>
        <v>40</v>
      </c>
      <c r="G138" s="53">
        <v>40</v>
      </c>
      <c r="H138" s="53"/>
      <c r="I138" s="60"/>
      <c r="J138" s="60"/>
      <c r="K138" s="57"/>
      <c r="L138" s="57"/>
      <c r="M138" s="68"/>
      <c r="N138" s="58" t="e">
        <f>VLOOKUP(E138,订单号!B:C,2,0)</f>
        <v>#N/A</v>
      </c>
      <c r="O138" s="35" t="e">
        <f>VLOOKUP(C138,领导干部!B:B,1,0)</f>
        <v>#N/A</v>
      </c>
      <c r="Q138" t="s">
        <v>695</v>
      </c>
      <c r="R138">
        <v>80</v>
      </c>
      <c r="S138">
        <f t="array" ref="S138">VLOOKUP(Q138&amp;R138,IF({1,0},$B$2:$B$464&amp;$F$2:$F$464,$N$2:$N$464),2,)</f>
        <v>0</v>
      </c>
      <c r="T138" s="35" t="str">
        <f t="array" ref="T138">VLOOKUP(Q138&amp;R138,IF({1,0},$B$2:$B$464&amp;$F$2:$F$464,$E$2:$E$464),2,)</f>
        <v>培训工作</v>
      </c>
      <c r="U138" s="35">
        <f t="array" ref="U138">VLOOKUP(Q138&amp;R138,IF({1,0},$B$2:$B$464&amp;$F$2:$F$464,$C$2:$C$464),2,)</f>
        <v>52561</v>
      </c>
      <c r="V138" s="35" t="str">
        <f t="array" ref="V138">VLOOKUP(Q138&amp;R138,IF({1,0},$B$2:$B$464&amp;$F$2:$F$464,$D$2:$D$464),2,)</f>
        <v>强度室</v>
      </c>
    </row>
    <row r="139" s="35" customFormat="1" customHeight="1" spans="1:22">
      <c r="A139" s="47">
        <f t="shared" si="4"/>
        <v>138</v>
      </c>
      <c r="B139" s="63" t="s">
        <v>321</v>
      </c>
      <c r="C139" s="49">
        <f>IFERROR(VLOOKUP(B139,[1]工程研发事业部人员名单!B:D,2,0),"")</f>
        <v>51430</v>
      </c>
      <c r="D139" s="50" t="str">
        <f>IFERROR(VLOOKUP(B139,[1]工程研发事业部人员名单!B:D,3,0),"")</f>
        <v>系统室</v>
      </c>
      <c r="E139" s="51" t="s">
        <v>184</v>
      </c>
      <c r="F139" s="52">
        <f t="shared" si="5"/>
        <v>90</v>
      </c>
      <c r="G139" s="53">
        <v>90</v>
      </c>
      <c r="H139" s="53"/>
      <c r="I139" s="60"/>
      <c r="J139" s="60"/>
      <c r="K139" s="57"/>
      <c r="L139" s="57"/>
      <c r="M139" s="68"/>
      <c r="N139" s="58" t="e">
        <f>VLOOKUP(E139,订单号!B:C,2,0)</f>
        <v>#N/A</v>
      </c>
      <c r="O139" s="35" t="e">
        <f>VLOOKUP(C139,领导干部!B:B,1,0)</f>
        <v>#N/A</v>
      </c>
      <c r="Q139" t="s">
        <v>422</v>
      </c>
      <c r="R139">
        <v>225</v>
      </c>
      <c r="S139" t="e">
        <f t="array" ref="S139">VLOOKUP(Q139&amp;R139,IF({1,0},$B$2:$B$464&amp;$F$2:$F$464,$N$2:$N$464),2,)</f>
        <v>#N/A</v>
      </c>
      <c r="T139" s="35" t="str">
        <f t="array" ref="T139">VLOOKUP(Q139&amp;R139,IF({1,0},$B$2:$B$464&amp;$F$2:$F$464,$E$2:$E$464),2,)</f>
        <v>1号设计（2022年KTB）</v>
      </c>
      <c r="U139" s="35">
        <f t="array" ref="U139">VLOOKUP(Q139&amp;R139,IF({1,0},$B$2:$B$464&amp;$F$2:$F$464,$C$2:$C$464),2,)</f>
        <v>50065</v>
      </c>
      <c r="V139" s="35" t="str">
        <f t="array" ref="V139">VLOOKUP(Q139&amp;R139,IF({1,0},$B$2:$B$464&amp;$F$2:$F$464,$D$2:$D$464),2,)</f>
        <v>结构二室</v>
      </c>
    </row>
    <row r="140" s="35" customFormat="1" customHeight="1" spans="1:22">
      <c r="A140" s="47">
        <f t="shared" si="4"/>
        <v>139</v>
      </c>
      <c r="B140" s="63" t="s">
        <v>685</v>
      </c>
      <c r="C140" s="49">
        <f>IFERROR(VLOOKUP(B140,[1]工程研发事业部人员名单!B:D,2,0),"")</f>
        <v>52166</v>
      </c>
      <c r="D140" s="50" t="str">
        <f>IFERROR(VLOOKUP(B140,[1]工程研发事业部人员名单!B:D,3,0),"")</f>
        <v>系统室</v>
      </c>
      <c r="E140" s="51" t="s">
        <v>184</v>
      </c>
      <c r="F140" s="52">
        <f t="shared" si="5"/>
        <v>50</v>
      </c>
      <c r="G140" s="53">
        <v>50</v>
      </c>
      <c r="H140" s="53"/>
      <c r="I140" s="53"/>
      <c r="J140" s="53"/>
      <c r="K140" s="57"/>
      <c r="L140" s="57"/>
      <c r="M140" s="68"/>
      <c r="N140" s="58" t="e">
        <f>VLOOKUP(E140,订单号!B:C,2,0)</f>
        <v>#N/A</v>
      </c>
      <c r="O140" s="35" t="e">
        <f>VLOOKUP(C140,领导干部!B:B,1,0)</f>
        <v>#N/A</v>
      </c>
      <c r="Q140" t="s">
        <v>482</v>
      </c>
      <c r="R140">
        <v>372.13</v>
      </c>
      <c r="S140">
        <f t="array" ref="S140">VLOOKUP(Q140&amp;R140,IF({1,0},$B$2:$B$464&amp;$F$2:$F$464,$N$2:$N$464),2,)</f>
        <v>10502</v>
      </c>
      <c r="T140" s="35" t="str">
        <f t="array" ref="T140">VLOOKUP(Q140&amp;R140,IF({1,0},$B$2:$B$464&amp;$F$2:$F$464,$E$2:$E$464),2,)</f>
        <v>工程支持</v>
      </c>
      <c r="U140" s="35">
        <f t="array" ref="U140">VLOOKUP(Q140&amp;R140,IF({1,0},$B$2:$B$464&amp;$F$2:$F$464,$C$2:$C$464),2,)</f>
        <v>50832</v>
      </c>
      <c r="V140" s="35" t="str">
        <f t="array" ref="V140">VLOOKUP(Q140&amp;R140,IF({1,0},$B$2:$B$464&amp;$F$2:$F$464,$D$2:$D$464),2,)</f>
        <v>联络工程室</v>
      </c>
    </row>
    <row r="141" s="35" customFormat="1" customHeight="1" spans="1:22">
      <c r="A141" s="47">
        <f t="shared" si="4"/>
        <v>140</v>
      </c>
      <c r="B141" s="63" t="s">
        <v>305</v>
      </c>
      <c r="C141" s="49">
        <f>IFERROR(VLOOKUP(B141,[1]工程研发事业部人员名单!B:D,2,0),"")</f>
        <v>51389</v>
      </c>
      <c r="D141" s="50" t="str">
        <f>IFERROR(VLOOKUP(B141,[1]工程研发事业部人员名单!B:D,3,0),"")</f>
        <v>系统室</v>
      </c>
      <c r="E141" s="51" t="s">
        <v>184</v>
      </c>
      <c r="F141" s="52">
        <f t="shared" si="5"/>
        <v>7.5</v>
      </c>
      <c r="G141" s="53">
        <v>7.5</v>
      </c>
      <c r="H141" s="53"/>
      <c r="I141" s="53"/>
      <c r="J141" s="53"/>
      <c r="K141" s="57"/>
      <c r="L141" s="57"/>
      <c r="M141" s="68"/>
      <c r="N141" s="58" t="e">
        <f>VLOOKUP(E141,订单号!B:C,2,0)</f>
        <v>#N/A</v>
      </c>
      <c r="O141" s="35" t="e">
        <f>VLOOKUP(C141,领导干部!B:B,1,0)</f>
        <v>#N/A</v>
      </c>
      <c r="Q141" t="s">
        <v>342</v>
      </c>
      <c r="R141">
        <v>225</v>
      </c>
      <c r="S141" t="e">
        <f t="array" ref="S141">VLOOKUP(Q141&amp;R141,IF({1,0},$B$2:$B$464&amp;$F$2:$F$464,$N$2:$N$464),2,)</f>
        <v>#N/A</v>
      </c>
      <c r="T141" s="35" t="str">
        <f t="array" ref="T141">VLOOKUP(Q141&amp;R141,IF({1,0},$B$2:$B$464&amp;$F$2:$F$464,$E$2:$E$464),2,)</f>
        <v>1号设计（2022年KTB）</v>
      </c>
      <c r="U141" s="35">
        <f t="array" ref="U141">VLOOKUP(Q141&amp;R141,IF({1,0},$B$2:$B$464&amp;$F$2:$F$464,$C$2:$C$464),2,)</f>
        <v>50702</v>
      </c>
      <c r="V141" s="35" t="str">
        <f t="array" ref="V141">VLOOKUP(Q141&amp;R141,IF({1,0},$B$2:$B$464&amp;$F$2:$F$464,$D$2:$D$464),2,)</f>
        <v>总体室</v>
      </c>
    </row>
    <row r="142" s="35" customFormat="1" customHeight="1" spans="1:22">
      <c r="A142" s="47">
        <f t="shared" si="4"/>
        <v>141</v>
      </c>
      <c r="B142" s="63" t="s">
        <v>338</v>
      </c>
      <c r="C142" s="49">
        <f>IFERROR(VLOOKUP(B142,[1]工程研发事业部人员名单!B:D,2,0),"")</f>
        <v>52156</v>
      </c>
      <c r="D142" s="50" t="str">
        <f>IFERROR(VLOOKUP(B142,[1]工程研发事业部人员名单!B:D,3,0),"")</f>
        <v>系统室</v>
      </c>
      <c r="E142" s="51" t="s">
        <v>184</v>
      </c>
      <c r="F142" s="52">
        <f t="shared" si="5"/>
        <v>20</v>
      </c>
      <c r="G142" s="53">
        <v>20</v>
      </c>
      <c r="H142" s="53"/>
      <c r="I142" s="53"/>
      <c r="J142" s="53"/>
      <c r="K142" s="57"/>
      <c r="L142" s="57"/>
      <c r="M142" s="68"/>
      <c r="N142" s="58" t="e">
        <f>VLOOKUP(E142,订单号!B:C,2,0)</f>
        <v>#N/A</v>
      </c>
      <c r="O142" s="35" t="e">
        <f>VLOOKUP(C142,领导干部!B:B,1,0)</f>
        <v>#N/A</v>
      </c>
      <c r="Q142" t="s">
        <v>308</v>
      </c>
      <c r="R142">
        <v>180</v>
      </c>
      <c r="S142" t="e">
        <f t="array" ref="S142">VLOOKUP(Q142&amp;R142,IF({1,0},$B$2:$B$464&amp;$F$2:$F$464,$N$2:$N$464),2,)</f>
        <v>#N/A</v>
      </c>
      <c r="T142" s="35" t="str">
        <f t="array" ref="T142">VLOOKUP(Q142&amp;R142,IF({1,0},$B$2:$B$464&amp;$F$2:$F$464,$E$2:$E$464),2,)</f>
        <v>CR929设计（2022年复材中心）</v>
      </c>
      <c r="U142" s="35">
        <f t="array" ref="U142">VLOOKUP(Q142&amp;R142,IF({1,0},$B$2:$B$464&amp;$F$2:$F$464,$C$2:$C$464),2,)</f>
        <v>50022</v>
      </c>
      <c r="V142" s="35" t="str">
        <f t="array" ref="V142">VLOOKUP(Q142&amp;R142,IF({1,0},$B$2:$B$464&amp;$F$2:$F$464,$D$2:$D$464),2,)</f>
        <v>结构二室</v>
      </c>
    </row>
    <row r="143" s="35" customFormat="1" customHeight="1" spans="1:22">
      <c r="A143" s="47">
        <f t="shared" si="4"/>
        <v>142</v>
      </c>
      <c r="B143" s="63" t="s">
        <v>295</v>
      </c>
      <c r="C143" s="49">
        <f>IFERROR(VLOOKUP(B143,[1]工程研发事业部人员名单!B:D,2,0),"")</f>
        <v>51951</v>
      </c>
      <c r="D143" s="50" t="str">
        <f>IFERROR(VLOOKUP(B143,[1]工程研发事业部人员名单!B:D,3,0),"")</f>
        <v>系统室</v>
      </c>
      <c r="E143" s="51" t="s">
        <v>184</v>
      </c>
      <c r="F143" s="52">
        <f t="shared" si="5"/>
        <v>7.5</v>
      </c>
      <c r="G143" s="53">
        <v>7.5</v>
      </c>
      <c r="H143" s="53"/>
      <c r="I143" s="53"/>
      <c r="J143" s="53"/>
      <c r="K143" s="57"/>
      <c r="L143" s="57"/>
      <c r="M143" s="68"/>
      <c r="N143" s="58" t="e">
        <f>VLOOKUP(E143,订单号!B:C,2,0)</f>
        <v>#N/A</v>
      </c>
      <c r="O143" s="35" t="e">
        <f>VLOOKUP(C143,领导干部!B:B,1,0)</f>
        <v>#N/A</v>
      </c>
      <c r="Q143" t="s">
        <v>486</v>
      </c>
      <c r="R143">
        <v>140</v>
      </c>
      <c r="S143" t="e">
        <f t="array" ref="S143">VLOOKUP(Q143&amp;R143,IF({1,0},$B$2:$B$464&amp;$F$2:$F$464,$N$2:$N$464),2,)</f>
        <v>#N/A</v>
      </c>
      <c r="T143" s="35" t="str">
        <f t="array" ref="T143">VLOOKUP(Q143&amp;R143,IF({1,0},$B$2:$B$464&amp;$F$2:$F$464,$E$2:$E$464),2,)</f>
        <v>CR929设计（2022年复材中心）</v>
      </c>
      <c r="U143" s="35">
        <f t="array" ref="U143">VLOOKUP(Q143&amp;R143,IF({1,0},$B$2:$B$464&amp;$F$2:$F$464,$C$2:$C$464),2,)</f>
        <v>28161</v>
      </c>
      <c r="V143" s="35" t="str">
        <f t="array" ref="V143">VLOOKUP(Q143&amp;R143,IF({1,0},$B$2:$B$464&amp;$F$2:$F$464,$D$2:$D$464),2,)</f>
        <v>强度室</v>
      </c>
    </row>
    <row r="144" s="35" customFormat="1" customHeight="1" spans="1:22">
      <c r="A144" s="47">
        <f t="shared" si="4"/>
        <v>143</v>
      </c>
      <c r="B144" s="63" t="s">
        <v>376</v>
      </c>
      <c r="C144" s="49">
        <f>IFERROR(VLOOKUP(B144,[1]工程研发事业部人员名单!B:D,2,0),"")</f>
        <v>50872</v>
      </c>
      <c r="D144" s="50" t="str">
        <f>IFERROR(VLOOKUP(B144,[1]工程研发事业部人员名单!B:D,3,0),"")</f>
        <v>系统室</v>
      </c>
      <c r="E144" s="51" t="s">
        <v>184</v>
      </c>
      <c r="F144" s="52">
        <f t="shared" si="5"/>
        <v>20</v>
      </c>
      <c r="G144" s="53">
        <v>20</v>
      </c>
      <c r="H144" s="53"/>
      <c r="I144" s="53"/>
      <c r="J144" s="53"/>
      <c r="K144" s="57"/>
      <c r="L144" s="57"/>
      <c r="M144" s="68"/>
      <c r="N144" s="58" t="e">
        <f>VLOOKUP(E144,订单号!B:C,2,0)</f>
        <v>#N/A</v>
      </c>
      <c r="O144" s="35" t="e">
        <f>VLOOKUP(C144,领导干部!B:B,1,0)</f>
        <v>#N/A</v>
      </c>
      <c r="Q144" t="s">
        <v>400</v>
      </c>
      <c r="R144">
        <v>160</v>
      </c>
      <c r="S144">
        <f t="array" ref="S144">VLOOKUP(Q144&amp;R144,IF({1,0},$B$2:$B$464&amp;$F$2:$F$464,$N$2:$N$464),2,)</f>
        <v>0</v>
      </c>
      <c r="T144" s="35" t="str">
        <f t="array" ref="T144">VLOOKUP(Q144&amp;R144,IF({1,0},$B$2:$B$464&amp;$F$2:$F$464,$E$2:$E$464),2,)</f>
        <v>临时工程支持</v>
      </c>
      <c r="U144" s="35">
        <f t="array" ref="U144">VLOOKUP(Q144&amp;R144,IF({1,0},$B$2:$B$464&amp;$F$2:$F$464,$C$2:$C$464),2,)</f>
        <v>17725</v>
      </c>
      <c r="V144" s="35" t="str">
        <f t="array" ref="V144">VLOOKUP(Q144&amp;R144,IF({1,0},$B$2:$B$464&amp;$F$2:$F$464,$D$2:$D$464),2,)</f>
        <v>总体室</v>
      </c>
    </row>
    <row r="145" s="35" customFormat="1" customHeight="1" spans="1:22">
      <c r="A145" s="47">
        <f t="shared" si="4"/>
        <v>144</v>
      </c>
      <c r="B145" s="63" t="s">
        <v>358</v>
      </c>
      <c r="C145" s="49">
        <f>IFERROR(VLOOKUP(B145,[1]工程研发事业部人员名单!B:D,2,0),"")</f>
        <v>51387</v>
      </c>
      <c r="D145" s="50" t="str">
        <f>IFERROR(VLOOKUP(B145,[1]工程研发事业部人员名单!B:D,3,0),"")</f>
        <v>系统室</v>
      </c>
      <c r="E145" s="51" t="s">
        <v>184</v>
      </c>
      <c r="F145" s="52">
        <f t="shared" si="5"/>
        <v>20</v>
      </c>
      <c r="G145" s="53">
        <v>20</v>
      </c>
      <c r="H145" s="53"/>
      <c r="I145" s="53"/>
      <c r="J145" s="53"/>
      <c r="K145" s="57"/>
      <c r="L145" s="57"/>
      <c r="M145" s="68"/>
      <c r="N145" s="58" t="e">
        <f>VLOOKUP(E145,订单号!B:C,2,0)</f>
        <v>#N/A</v>
      </c>
      <c r="O145" s="35" t="e">
        <f>VLOOKUP(C145,领导干部!B:B,1,0)</f>
        <v>#N/A</v>
      </c>
      <c r="Q145" t="s">
        <v>692</v>
      </c>
      <c r="R145">
        <v>235</v>
      </c>
      <c r="S145" t="e">
        <f t="array" ref="S145">VLOOKUP(Q145&amp;R145,IF({1,0},$B$2:$B$464&amp;$F$2:$F$464,$N$2:$N$464),2,)</f>
        <v>#N/A</v>
      </c>
      <c r="T145" s="35" t="str">
        <f t="array" ref="T145">VLOOKUP(Q145&amp;R145,IF({1,0},$B$2:$B$464&amp;$F$2:$F$464,$E$2:$E$464),2,)</f>
        <v>1号设计（2022年KTB）</v>
      </c>
      <c r="U145" s="35">
        <f t="array" ref="U145">VLOOKUP(Q145&amp;R145,IF({1,0},$B$2:$B$464&amp;$F$2:$F$464,$C$2:$C$464),2,)</f>
        <v>52029</v>
      </c>
      <c r="V145" s="35" t="str">
        <f t="array" ref="V145">VLOOKUP(Q145&amp;R145,IF({1,0},$B$2:$B$464&amp;$F$2:$F$464,$D$2:$D$464),2,)</f>
        <v>结构二室</v>
      </c>
    </row>
    <row r="146" s="35" customFormat="1" customHeight="1" spans="1:22">
      <c r="A146" s="47">
        <f t="shared" si="4"/>
        <v>145</v>
      </c>
      <c r="B146" s="63" t="s">
        <v>380</v>
      </c>
      <c r="C146" s="49">
        <f>IFERROR(VLOOKUP(B146,[1]工程研发事业部人员名单!B:D,2,0),"")</f>
        <v>50722</v>
      </c>
      <c r="D146" s="50" t="str">
        <f>IFERROR(VLOOKUP(B146,[1]工程研发事业部人员名单!B:D,3,0),"")</f>
        <v>强度室</v>
      </c>
      <c r="E146" s="51" t="s">
        <v>184</v>
      </c>
      <c r="F146" s="52">
        <f t="shared" si="5"/>
        <v>160</v>
      </c>
      <c r="G146" s="53"/>
      <c r="H146" s="53"/>
      <c r="I146" s="53">
        <v>160</v>
      </c>
      <c r="J146" s="53"/>
      <c r="K146" s="57"/>
      <c r="L146" s="57"/>
      <c r="M146" s="68"/>
      <c r="N146" s="58" t="e">
        <f>VLOOKUP(E146,订单号!B:C,2,0)</f>
        <v>#N/A</v>
      </c>
      <c r="O146" s="35" t="e">
        <f>VLOOKUP(C146,领导干部!B:B,1,0)</f>
        <v>#N/A</v>
      </c>
      <c r="Q146" t="s">
        <v>275</v>
      </c>
      <c r="R146">
        <v>300</v>
      </c>
      <c r="S146" t="e">
        <f t="array" ref="S146">VLOOKUP(Q146&amp;R146,IF({1,0},$B$2:$B$464&amp;$F$2:$F$464,$N$2:$N$464),2,)</f>
        <v>#N/A</v>
      </c>
      <c r="T146" s="35" t="str">
        <f t="array" ref="T146">VLOOKUP(Q146&amp;R146,IF({1,0},$B$2:$B$464&amp;$F$2:$F$464,$E$2:$E$464),2,)</f>
        <v>CR929设计（2022年复材中心）</v>
      </c>
      <c r="U146" s="35">
        <f t="array" ref="U146">VLOOKUP(Q146&amp;R146,IF({1,0},$B$2:$B$464&amp;$F$2:$F$464,$C$2:$C$464),2,)</f>
        <v>26766</v>
      </c>
      <c r="V146" s="35" t="str">
        <f t="array" ref="V146">VLOOKUP(Q146&amp;R146,IF({1,0},$B$2:$B$464&amp;$F$2:$F$464,$D$2:$D$464),2,)</f>
        <v>强度室</v>
      </c>
    </row>
    <row r="147" s="35" customFormat="1" customHeight="1" spans="1:22">
      <c r="A147" s="47">
        <f t="shared" si="4"/>
        <v>146</v>
      </c>
      <c r="B147" s="63" t="s">
        <v>346</v>
      </c>
      <c r="C147" s="49">
        <f>IFERROR(VLOOKUP(B147,[1]工程研发事业部人员名单!B:D,2,0),"")</f>
        <v>52130</v>
      </c>
      <c r="D147" s="50" t="str">
        <f>IFERROR(VLOOKUP(B147,[1]工程研发事业部人员名单!B:D,3,0),"")</f>
        <v>强度室</v>
      </c>
      <c r="E147" s="51" t="s">
        <v>184</v>
      </c>
      <c r="F147" s="52">
        <f t="shared" si="5"/>
        <v>80</v>
      </c>
      <c r="G147" s="53"/>
      <c r="H147" s="53"/>
      <c r="I147" s="53">
        <v>80</v>
      </c>
      <c r="J147" s="53"/>
      <c r="K147" s="57"/>
      <c r="L147" s="57"/>
      <c r="M147" s="68"/>
      <c r="N147" s="58" t="e">
        <f>VLOOKUP(E147,订单号!B:C,2,0)</f>
        <v>#N/A</v>
      </c>
      <c r="O147" s="35" t="e">
        <f>VLOOKUP(C147,领导干部!B:B,1,0)</f>
        <v>#N/A</v>
      </c>
      <c r="Q147" t="s">
        <v>347</v>
      </c>
      <c r="R147">
        <v>260</v>
      </c>
      <c r="S147" t="str">
        <f t="array" ref="S147">VLOOKUP(Q147&amp;R147,IF({1,0},$B$2:$B$464&amp;$F$2:$F$464,$N$2:$N$464),2,)</f>
        <v>YZ40000680</v>
      </c>
      <c r="T147" s="35" t="str">
        <f t="array" ref="T147">VLOOKUP(Q147&amp;R147,IF({1,0},$B$2:$B$464&amp;$F$2:$F$464,$E$2:$E$464),2,)</f>
        <v>C919设计（2022年上飞院）</v>
      </c>
      <c r="U147" s="35">
        <f t="array" ref="U147">VLOOKUP(Q147&amp;R147,IF({1,0},$B$2:$B$464&amp;$F$2:$F$464,$C$2:$C$464),2,)</f>
        <v>51589</v>
      </c>
      <c r="V147" s="35" t="str">
        <f t="array" ref="V147">VLOOKUP(Q147&amp;R147,IF({1,0},$B$2:$B$464&amp;$F$2:$F$464,$D$2:$D$464),2,)</f>
        <v>强度室</v>
      </c>
    </row>
    <row r="148" s="35" customFormat="1" customHeight="1" spans="1:22">
      <c r="A148" s="47">
        <f t="shared" si="4"/>
        <v>147</v>
      </c>
      <c r="B148" s="63" t="s">
        <v>445</v>
      </c>
      <c r="C148" s="49">
        <f>IFERROR(VLOOKUP(B148,[1]工程研发事业部人员名单!B:D,2,0),"")</f>
        <v>51194</v>
      </c>
      <c r="D148" s="50" t="str">
        <f>IFERROR(VLOOKUP(B148,[1]工程研发事业部人员名单!B:D,3,0),"")</f>
        <v>强度室</v>
      </c>
      <c r="E148" s="51" t="s">
        <v>184</v>
      </c>
      <c r="F148" s="52">
        <f t="shared" si="5"/>
        <v>120</v>
      </c>
      <c r="G148" s="53"/>
      <c r="H148" s="53"/>
      <c r="I148" s="53">
        <v>120</v>
      </c>
      <c r="J148" s="53"/>
      <c r="K148" s="57"/>
      <c r="L148" s="57"/>
      <c r="M148" s="59"/>
      <c r="N148" s="58" t="e">
        <f>VLOOKUP(E148,订单号!B:C,2,0)</f>
        <v>#N/A</v>
      </c>
      <c r="O148" s="35" t="e">
        <f>VLOOKUP(C148,领导干部!B:B,1,0)</f>
        <v>#N/A</v>
      </c>
      <c r="Q148" t="s">
        <v>491</v>
      </c>
      <c r="R148">
        <v>245</v>
      </c>
      <c r="S148" t="e">
        <f t="array" ref="S148">VLOOKUP(Q148&amp;R148,IF({1,0},$B$2:$B$464&amp;$F$2:$F$464,$N$2:$N$464),2,)</f>
        <v>#N/A</v>
      </c>
      <c r="T148" s="35" t="str">
        <f t="array" ref="T148">VLOOKUP(Q148&amp;R148,IF({1,0},$B$2:$B$464&amp;$F$2:$F$464,$E$2:$E$464),2,)</f>
        <v>1号设计（2022年KTB）</v>
      </c>
      <c r="U148" s="35">
        <f t="array" ref="U148">VLOOKUP(Q148&amp;R148,IF({1,0},$B$2:$B$464&amp;$F$2:$F$464,$C$2:$C$464),2,)</f>
        <v>52124</v>
      </c>
      <c r="V148" s="35" t="str">
        <f t="array" ref="V148">VLOOKUP(Q148&amp;R148,IF({1,0},$B$2:$B$464&amp;$F$2:$F$464,$D$2:$D$464),2,)</f>
        <v>结构一室</v>
      </c>
    </row>
    <row r="149" s="35" customFormat="1" customHeight="1" spans="1:22">
      <c r="A149" s="47">
        <f t="shared" si="4"/>
        <v>148</v>
      </c>
      <c r="B149" s="63" t="s">
        <v>670</v>
      </c>
      <c r="C149" s="49">
        <f>IFERROR(VLOOKUP(B149,[1]工程研发事业部人员名单!B:D,2,0),"")</f>
        <v>51200</v>
      </c>
      <c r="D149" s="50" t="str">
        <f>IFERROR(VLOOKUP(B149,[1]工程研发事业部人员名单!B:D,3,0),"")</f>
        <v>强度室</v>
      </c>
      <c r="E149" s="51" t="s">
        <v>184</v>
      </c>
      <c r="F149" s="52">
        <f t="shared" si="5"/>
        <v>120</v>
      </c>
      <c r="G149" s="53"/>
      <c r="H149" s="53"/>
      <c r="I149" s="53">
        <v>120</v>
      </c>
      <c r="J149" s="53"/>
      <c r="K149" s="57"/>
      <c r="L149" s="57"/>
      <c r="M149" s="59"/>
      <c r="N149" s="58" t="e">
        <f>VLOOKUP(E149,订单号!B:C,2,0)</f>
        <v>#N/A</v>
      </c>
      <c r="O149" s="35" t="e">
        <f>VLOOKUP(C149,领导干部!B:B,1,0)</f>
        <v>#N/A</v>
      </c>
      <c r="Q149" t="s">
        <v>493</v>
      </c>
      <c r="R149">
        <v>168</v>
      </c>
      <c r="S149" t="e">
        <f t="array" ref="S149">VLOOKUP(Q149&amp;R149,IF({1,0},$B$2:$B$464&amp;$F$2:$F$464,$N$2:$N$464),2,)</f>
        <v>#N/A</v>
      </c>
      <c r="T149" s="35" t="str">
        <f t="array" ref="T149">VLOOKUP(Q149&amp;R149,IF({1,0},$B$2:$B$464&amp;$F$2:$F$464,$E$2:$E$464),2,)</f>
        <v>CR929设计（2022年复材中心）</v>
      </c>
      <c r="U149" s="35">
        <f t="array" ref="U149">VLOOKUP(Q149&amp;R149,IF({1,0},$B$2:$B$464&amp;$F$2:$F$464,$C$2:$C$464),2,)</f>
        <v>51397</v>
      </c>
      <c r="V149" s="35" t="str">
        <f t="array" ref="V149">VLOOKUP(Q149&amp;R149,IF({1,0},$B$2:$B$464&amp;$F$2:$F$464,$D$2:$D$464),2,)</f>
        <v>结构二室</v>
      </c>
    </row>
    <row r="150" s="35" customFormat="1" customHeight="1" spans="1:22">
      <c r="A150" s="47">
        <f t="shared" si="4"/>
        <v>149</v>
      </c>
      <c r="B150" s="63" t="s">
        <v>447</v>
      </c>
      <c r="C150" s="49">
        <f>IFERROR(VLOOKUP(B150,[1]工程研发事业部人员名单!B:D,2,0),"")</f>
        <v>52347</v>
      </c>
      <c r="D150" s="50" t="str">
        <f>IFERROR(VLOOKUP(B150,[1]工程研发事业部人员名单!B:D,3,0),"")</f>
        <v>强度室</v>
      </c>
      <c r="E150" s="51" t="s">
        <v>184</v>
      </c>
      <c r="F150" s="52">
        <f t="shared" si="5"/>
        <v>120</v>
      </c>
      <c r="G150" s="53"/>
      <c r="H150" s="53"/>
      <c r="I150" s="53">
        <v>120</v>
      </c>
      <c r="J150" s="53"/>
      <c r="K150" s="57"/>
      <c r="L150" s="57"/>
      <c r="M150" s="59"/>
      <c r="N150" s="58" t="e">
        <f>VLOOKUP(E150,订单号!B:C,2,0)</f>
        <v>#N/A</v>
      </c>
      <c r="O150" s="35" t="e">
        <f>VLOOKUP(C150,领导干部!B:B,1,0)</f>
        <v>#N/A</v>
      </c>
      <c r="Q150" t="s">
        <v>495</v>
      </c>
      <c r="R150">
        <v>96</v>
      </c>
      <c r="S150">
        <f t="array" ref="S150">VLOOKUP(Q150&amp;R150,IF({1,0},$B$2:$B$464&amp;$F$2:$F$464,$N$2:$N$464),2,)</f>
        <v>0</v>
      </c>
      <c r="T150" s="35" t="str">
        <f t="array" ref="T150">VLOOKUP(Q150&amp;R150,IF({1,0},$B$2:$B$464&amp;$F$2:$F$464,$E$2:$E$464),2,)</f>
        <v>培训工作</v>
      </c>
      <c r="U150" s="35">
        <f t="array" ref="U150">VLOOKUP(Q150&amp;R150,IF({1,0},$B$2:$B$464&amp;$F$2:$F$464,$C$2:$C$464),2,)</f>
        <v>52345</v>
      </c>
      <c r="V150" s="35" t="str">
        <f t="array" ref="V150">VLOOKUP(Q150&amp;R150,IF({1,0},$B$2:$B$464&amp;$F$2:$F$464,$D$2:$D$464),2,)</f>
        <v>结构一室</v>
      </c>
    </row>
    <row r="151" s="35" customFormat="1" customHeight="1" spans="1:22">
      <c r="A151" s="47">
        <f t="shared" si="4"/>
        <v>150</v>
      </c>
      <c r="B151" s="63" t="s">
        <v>289</v>
      </c>
      <c r="C151" s="49">
        <f>IFERROR(VLOOKUP(B151,[1]工程研发事业部人员名单!B:D,2,0),"")</f>
        <v>22259</v>
      </c>
      <c r="D151" s="50" t="str">
        <f>IFERROR(VLOOKUP(B151,[1]工程研发事业部人员名单!B:D,3,0),"")</f>
        <v>强度室</v>
      </c>
      <c r="E151" s="51" t="s">
        <v>184</v>
      </c>
      <c r="F151" s="52">
        <f t="shared" si="5"/>
        <v>100</v>
      </c>
      <c r="G151" s="53"/>
      <c r="H151" s="53"/>
      <c r="I151" s="53">
        <v>100</v>
      </c>
      <c r="J151" s="53"/>
      <c r="K151" s="57"/>
      <c r="L151" s="57"/>
      <c r="M151" s="59"/>
      <c r="N151" s="58" t="e">
        <f>VLOOKUP(E151,订单号!B:C,2,0)</f>
        <v>#N/A</v>
      </c>
      <c r="O151" s="35" t="e">
        <f>VLOOKUP(C151,领导干部!B:B,1,0)</f>
        <v>#N/A</v>
      </c>
      <c r="Q151" t="s">
        <v>254</v>
      </c>
      <c r="R151">
        <v>152</v>
      </c>
      <c r="S151" t="e">
        <f t="array" ref="S151">VLOOKUP(Q151&amp;R151,IF({1,0},$B$2:$B$464&amp;$F$2:$F$464,$N$2:$N$464),2,)</f>
        <v>#N/A</v>
      </c>
      <c r="T151" s="35" t="str">
        <f t="array" ref="T151">VLOOKUP(Q151&amp;R151,IF({1,0},$B$2:$B$464&amp;$F$2:$F$464,$E$2:$E$464),2,)</f>
        <v>CR929设计（2022年复材中心）</v>
      </c>
      <c r="U151" s="35">
        <f t="array" ref="U151">VLOOKUP(Q151&amp;R151,IF({1,0},$B$2:$B$464&amp;$F$2:$F$464,$C$2:$C$464),2,)</f>
        <v>52232</v>
      </c>
      <c r="V151" s="35" t="str">
        <f t="array" ref="V151">VLOOKUP(Q151&amp;R151,IF({1,0},$B$2:$B$464&amp;$F$2:$F$464,$D$2:$D$464),2,)</f>
        <v>结构二室</v>
      </c>
    </row>
    <row r="152" s="35" customFormat="1" customHeight="1" spans="1:22">
      <c r="A152" s="47">
        <f t="shared" si="4"/>
        <v>151</v>
      </c>
      <c r="B152" s="63" t="s">
        <v>286</v>
      </c>
      <c r="C152" s="49">
        <f>IFERROR(VLOOKUP(B152,[1]工程研发事业部人员名单!B:D,2,0),"")</f>
        <v>51158</v>
      </c>
      <c r="D152" s="50" t="str">
        <f>IFERROR(VLOOKUP(B152,[1]工程研发事业部人员名单!B:D,3,0),"")</f>
        <v>强度室</v>
      </c>
      <c r="E152" s="51" t="s">
        <v>184</v>
      </c>
      <c r="F152" s="52">
        <f t="shared" si="5"/>
        <v>120</v>
      </c>
      <c r="G152" s="53"/>
      <c r="H152" s="53"/>
      <c r="I152" s="53">
        <v>120</v>
      </c>
      <c r="J152" s="53"/>
      <c r="K152" s="57"/>
      <c r="L152" s="57"/>
      <c r="M152" s="59"/>
      <c r="N152" s="58" t="e">
        <f>VLOOKUP(E152,订单号!B:C,2,0)</f>
        <v>#N/A</v>
      </c>
      <c r="O152" s="35" t="e">
        <f>VLOOKUP(C152,领导干部!B:B,1,0)</f>
        <v>#N/A</v>
      </c>
      <c r="Q152" t="s">
        <v>490</v>
      </c>
      <c r="R152">
        <v>120</v>
      </c>
      <c r="S152" t="e">
        <f t="array" ref="S152">VLOOKUP(Q152&amp;R152,IF({1,0},$B$2:$B$464&amp;$F$2:$F$464,$N$2:$N$464),2,)</f>
        <v>#N/A</v>
      </c>
      <c r="T152" s="35" t="str">
        <f t="array" ref="T152">VLOOKUP(Q152&amp;R152,IF({1,0},$B$2:$B$464&amp;$F$2:$F$464,$E$2:$E$464),2,)</f>
        <v>CR929设计（2022年复材中心）</v>
      </c>
      <c r="U152" s="35">
        <f t="array" ref="U152">VLOOKUP(Q152&amp;R152,IF({1,0},$B$2:$B$464&amp;$F$2:$F$464,$C$2:$C$464),2,)</f>
        <v>51763</v>
      </c>
      <c r="V152" s="35" t="str">
        <f t="array" ref="V152">VLOOKUP(Q152&amp;R152,IF({1,0},$B$2:$B$464&amp;$F$2:$F$464,$D$2:$D$464),2,)</f>
        <v>强度室</v>
      </c>
    </row>
    <row r="153" s="35" customFormat="1" customHeight="1" spans="1:22">
      <c r="A153" s="47">
        <f t="shared" si="4"/>
        <v>152</v>
      </c>
      <c r="B153" s="63" t="s">
        <v>410</v>
      </c>
      <c r="C153" s="49">
        <f>IFERROR(VLOOKUP(B153,[1]工程研发事业部人员名单!B:D,2,0),"")</f>
        <v>51196</v>
      </c>
      <c r="D153" s="50" t="str">
        <f>IFERROR(VLOOKUP(B153,[1]工程研发事业部人员名单!B:D,3,0),"")</f>
        <v>强度室</v>
      </c>
      <c r="E153" s="51" t="s">
        <v>184</v>
      </c>
      <c r="F153" s="52">
        <f t="shared" si="5"/>
        <v>100</v>
      </c>
      <c r="G153" s="53"/>
      <c r="H153" s="53"/>
      <c r="I153" s="53">
        <v>100</v>
      </c>
      <c r="J153" s="53"/>
      <c r="K153" s="57"/>
      <c r="L153" s="57"/>
      <c r="M153" s="59"/>
      <c r="N153" s="58" t="e">
        <f>VLOOKUP(E153,订单号!B:C,2,0)</f>
        <v>#N/A</v>
      </c>
      <c r="O153" s="35" t="e">
        <f>VLOOKUP(C153,领导干部!B:B,1,0)</f>
        <v>#N/A</v>
      </c>
      <c r="Q153" t="s">
        <v>523</v>
      </c>
      <c r="R153">
        <v>470.58</v>
      </c>
      <c r="S153"/>
      <c r="V153" s="35" t="e">
        <f t="array" ref="V153">VLOOKUP(Q153&amp;R153,IF({1,0},$B$2:$B$464&amp;$F$2:$F$464,$D$2:$D$464),2,)</f>
        <v>#N/A</v>
      </c>
    </row>
    <row r="154" s="35" customFormat="1" customHeight="1" spans="1:15">
      <c r="A154" s="47">
        <f t="shared" si="4"/>
        <v>153</v>
      </c>
      <c r="B154" s="63" t="s">
        <v>490</v>
      </c>
      <c r="C154" s="49">
        <f>IFERROR(VLOOKUP(B154,[1]工程研发事业部人员名单!B:D,2,0),"")</f>
        <v>51763</v>
      </c>
      <c r="D154" s="50" t="str">
        <f>IFERROR(VLOOKUP(B154,[1]工程研发事业部人员名单!B:D,3,0),"")</f>
        <v>强度室</v>
      </c>
      <c r="E154" s="51" t="s">
        <v>184</v>
      </c>
      <c r="F154" s="52">
        <f t="shared" si="5"/>
        <v>100</v>
      </c>
      <c r="G154" s="53"/>
      <c r="H154" s="53"/>
      <c r="I154" s="53">
        <v>100</v>
      </c>
      <c r="J154" s="53"/>
      <c r="K154" s="57"/>
      <c r="L154" s="57"/>
      <c r="M154" s="61"/>
      <c r="N154" s="58" t="e">
        <f>VLOOKUP(E154,订单号!B:C,2,0)</f>
        <v>#N/A</v>
      </c>
      <c r="O154" s="35" t="e">
        <f>VLOOKUP(C154,领导干部!B:B,1,0)</f>
        <v>#N/A</v>
      </c>
    </row>
    <row r="155" s="35" customFormat="1" customHeight="1" spans="1:15">
      <c r="A155" s="47">
        <f t="shared" si="4"/>
        <v>154</v>
      </c>
      <c r="B155" s="70" t="s">
        <v>269</v>
      </c>
      <c r="C155" s="49">
        <f>IFERROR(VLOOKUP(B155,[1]工程研发事业部人员名单!B:D,2,0),"")</f>
        <v>50871</v>
      </c>
      <c r="D155" s="50" t="str">
        <f>IFERROR(VLOOKUP(B155,[1]工程研发事业部人员名单!B:D,3,0),"")</f>
        <v>强度室</v>
      </c>
      <c r="E155" s="51" t="s">
        <v>184</v>
      </c>
      <c r="F155" s="52">
        <f t="shared" si="5"/>
        <v>20</v>
      </c>
      <c r="G155" s="53"/>
      <c r="H155" s="53"/>
      <c r="I155" s="53">
        <v>20</v>
      </c>
      <c r="J155" s="53"/>
      <c r="K155" s="57"/>
      <c r="L155" s="57"/>
      <c r="M155" s="61"/>
      <c r="N155" s="58" t="e">
        <f>VLOOKUP(E155,订单号!B:C,2,0)</f>
        <v>#N/A</v>
      </c>
      <c r="O155" s="35" t="e">
        <f>VLOOKUP(C155,领导干部!B:B,1,0)</f>
        <v>#N/A</v>
      </c>
    </row>
    <row r="156" s="35" customFormat="1" customHeight="1" spans="1:15">
      <c r="A156" s="47">
        <f t="shared" si="4"/>
        <v>155</v>
      </c>
      <c r="B156" s="48" t="s">
        <v>294</v>
      </c>
      <c r="C156" s="49">
        <f>IFERROR(VLOOKUP(B156,[1]工程研发事业部人员名单!B:D,2,0),"")</f>
        <v>50726</v>
      </c>
      <c r="D156" s="50" t="str">
        <f>IFERROR(VLOOKUP(B156,[1]工程研发事业部人员名单!B:D,3,0),"")</f>
        <v>强度室</v>
      </c>
      <c r="E156" s="51" t="s">
        <v>184</v>
      </c>
      <c r="F156" s="52">
        <f t="shared" si="5"/>
        <v>80</v>
      </c>
      <c r="G156" s="53"/>
      <c r="H156" s="53"/>
      <c r="I156" s="53">
        <v>80</v>
      </c>
      <c r="J156" s="53"/>
      <c r="K156" s="57"/>
      <c r="L156" s="57"/>
      <c r="M156" s="61"/>
      <c r="N156" s="58" t="e">
        <f>VLOOKUP(E156,订单号!B:C,2,0)</f>
        <v>#N/A</v>
      </c>
      <c r="O156" s="35" t="e">
        <f>VLOOKUP(C156,领导干部!B:B,1,0)</f>
        <v>#N/A</v>
      </c>
    </row>
    <row r="157" s="35" customFormat="1" customHeight="1" spans="1:15">
      <c r="A157" s="47">
        <f t="shared" si="4"/>
        <v>156</v>
      </c>
      <c r="B157" s="48" t="s">
        <v>694</v>
      </c>
      <c r="C157" s="49">
        <f>IFERROR(VLOOKUP(B157,[1]工程研发事业部人员名单!B:D,2,0),"")</f>
        <v>51792</v>
      </c>
      <c r="D157" s="50" t="str">
        <f>IFERROR(VLOOKUP(B157,[1]工程研发事业部人员名单!B:D,3,0),"")</f>
        <v>工程项目室</v>
      </c>
      <c r="E157" s="51" t="s">
        <v>184</v>
      </c>
      <c r="F157" s="52">
        <f t="shared" si="5"/>
        <v>20</v>
      </c>
      <c r="G157" s="53"/>
      <c r="H157" s="53"/>
      <c r="I157" s="53">
        <v>20</v>
      </c>
      <c r="J157" s="53"/>
      <c r="K157" s="57"/>
      <c r="L157" s="57"/>
      <c r="M157" s="61"/>
      <c r="N157" s="58" t="e">
        <f>VLOOKUP(E157,订单号!B:C,2,0)</f>
        <v>#N/A</v>
      </c>
      <c r="O157" s="35" t="e">
        <f>VLOOKUP(C157,领导干部!B:B,1,0)</f>
        <v>#N/A</v>
      </c>
    </row>
    <row r="158" s="35" customFormat="1" customHeight="1" spans="1:15">
      <c r="A158" s="47">
        <f t="shared" si="4"/>
        <v>157</v>
      </c>
      <c r="B158" s="48" t="s">
        <v>324</v>
      </c>
      <c r="C158" s="49">
        <f>IFERROR(VLOOKUP(B158,[1]工程研发事业部人员名单!B:D,2,0),"")</f>
        <v>51860</v>
      </c>
      <c r="D158" s="50" t="str">
        <f>IFERROR(VLOOKUP(B158,[1]工程研发事业部人员名单!B:D,3,0),"")</f>
        <v>总体室</v>
      </c>
      <c r="E158" s="51" t="s">
        <v>184</v>
      </c>
      <c r="F158" s="52">
        <f t="shared" si="5"/>
        <v>30</v>
      </c>
      <c r="G158" s="53">
        <v>30</v>
      </c>
      <c r="H158" s="53"/>
      <c r="I158" s="53"/>
      <c r="J158" s="53"/>
      <c r="K158" s="57"/>
      <c r="L158" s="57"/>
      <c r="M158" s="61"/>
      <c r="N158" s="58" t="e">
        <f>VLOOKUP(E158,订单号!B:C,2,0)</f>
        <v>#N/A</v>
      </c>
      <c r="O158" s="35" t="e">
        <f>VLOOKUP(C158,领导干部!B:B,1,0)</f>
        <v>#N/A</v>
      </c>
    </row>
    <row r="159" s="35" customFormat="1" customHeight="1" spans="1:15">
      <c r="A159" s="47">
        <f t="shared" si="4"/>
        <v>158</v>
      </c>
      <c r="B159" s="48" t="s">
        <v>297</v>
      </c>
      <c r="C159" s="49">
        <f>IFERROR(VLOOKUP(B159,[1]工程研发事业部人员名单!B:D,2,0),"")</f>
        <v>51227</v>
      </c>
      <c r="D159" s="50" t="str">
        <f>IFERROR(VLOOKUP(B159,[1]工程研发事业部人员名单!B:D,3,0),"")</f>
        <v>结构一室</v>
      </c>
      <c r="E159" s="51" t="s">
        <v>696</v>
      </c>
      <c r="F159" s="52">
        <f t="shared" si="5"/>
        <v>15</v>
      </c>
      <c r="G159" s="53">
        <v>15</v>
      </c>
      <c r="H159" s="53"/>
      <c r="I159" s="53"/>
      <c r="J159" s="53"/>
      <c r="K159" s="57" t="s">
        <v>255</v>
      </c>
      <c r="L159" s="57"/>
      <c r="M159" s="58" t="s">
        <v>697</v>
      </c>
      <c r="N159" s="58" t="str">
        <f>VLOOKUP(E159,订单号!B:C,2,0)</f>
        <v>YZ40000741</v>
      </c>
      <c r="O159" s="35" t="e">
        <f>VLOOKUP(C159,领导干部!B:B,1,0)</f>
        <v>#N/A</v>
      </c>
    </row>
    <row r="160" s="35" customFormat="1" customHeight="1" spans="1:15">
      <c r="A160" s="47">
        <f t="shared" si="4"/>
        <v>159</v>
      </c>
      <c r="B160" s="48" t="s">
        <v>686</v>
      </c>
      <c r="C160" s="49">
        <f>IFERROR(VLOOKUP(B160,[1]工程研发事业部人员名单!B:D,2,0),"")</f>
        <v>52016</v>
      </c>
      <c r="D160" s="50" t="str">
        <f>IFERROR(VLOOKUP(B160,[1]工程研发事业部人员名单!B:D,3,0),"")</f>
        <v>结构一室</v>
      </c>
      <c r="E160" s="51" t="s">
        <v>696</v>
      </c>
      <c r="F160" s="52">
        <f t="shared" si="5"/>
        <v>60</v>
      </c>
      <c r="G160" s="53"/>
      <c r="H160" s="53"/>
      <c r="I160" s="53">
        <v>60</v>
      </c>
      <c r="J160" s="53"/>
      <c r="K160" s="57" t="s">
        <v>255</v>
      </c>
      <c r="L160" s="57"/>
      <c r="M160" s="58" t="s">
        <v>698</v>
      </c>
      <c r="N160" s="58" t="str">
        <f>VLOOKUP(E160,订单号!B:C,2,0)</f>
        <v>YZ40000741</v>
      </c>
      <c r="O160" s="35" t="e">
        <f>VLOOKUP(C160,领导干部!B:B,1,0)</f>
        <v>#N/A</v>
      </c>
    </row>
    <row r="161" s="35" customFormat="1" customHeight="1" spans="1:15">
      <c r="A161" s="47">
        <f t="shared" si="4"/>
        <v>160</v>
      </c>
      <c r="B161" s="48" t="s">
        <v>339</v>
      </c>
      <c r="C161" s="49">
        <f>IFERROR(VLOOKUP(B161,[1]工程研发事业部人员名单!B:D,2,0),"")</f>
        <v>50874</v>
      </c>
      <c r="D161" s="50" t="str">
        <f>IFERROR(VLOOKUP(B161,[1]工程研发事业部人员名单!B:D,3,0),"")</f>
        <v>总体室</v>
      </c>
      <c r="E161" s="51" t="s">
        <v>696</v>
      </c>
      <c r="F161" s="52">
        <f t="shared" si="5"/>
        <v>104</v>
      </c>
      <c r="G161" s="53"/>
      <c r="H161" s="53"/>
      <c r="I161" s="53">
        <v>104</v>
      </c>
      <c r="J161" s="53"/>
      <c r="K161" s="57" t="s">
        <v>699</v>
      </c>
      <c r="L161" s="57"/>
      <c r="M161" s="59" t="s">
        <v>700</v>
      </c>
      <c r="N161" s="58" t="str">
        <f>VLOOKUP(E161,订单号!B:C,2,0)</f>
        <v>YZ40000741</v>
      </c>
      <c r="O161" s="35" t="e">
        <f>VLOOKUP(C161,领导干部!B:B,1,0)</f>
        <v>#N/A</v>
      </c>
    </row>
    <row r="162" s="35" customFormat="1" customHeight="1" spans="1:15">
      <c r="A162" s="47">
        <f t="shared" si="4"/>
        <v>161</v>
      </c>
      <c r="B162" s="48" t="s">
        <v>267</v>
      </c>
      <c r="C162" s="49">
        <f>IFERROR(VLOOKUP(B162,[1]工程研发事业部人员名单!B:D,2,0),"")</f>
        <v>51624</v>
      </c>
      <c r="D162" s="50" t="str">
        <f>IFERROR(VLOOKUP(B162,[1]工程研发事业部人员名单!B:D,3,0),"")</f>
        <v>结构一室</v>
      </c>
      <c r="E162" s="51" t="s">
        <v>696</v>
      </c>
      <c r="F162" s="52">
        <f t="shared" si="5"/>
        <v>15</v>
      </c>
      <c r="G162" s="53">
        <v>15</v>
      </c>
      <c r="H162" s="53"/>
      <c r="I162" s="53"/>
      <c r="J162" s="53"/>
      <c r="K162" s="57"/>
      <c r="L162" s="57"/>
      <c r="M162" s="59" t="s">
        <v>700</v>
      </c>
      <c r="N162" s="58" t="str">
        <f>VLOOKUP(E162,订单号!B:C,2,0)</f>
        <v>YZ40000741</v>
      </c>
      <c r="O162" s="35" t="e">
        <f>VLOOKUP(C162,领导干部!B:B,1,0)</f>
        <v>#N/A</v>
      </c>
    </row>
    <row r="163" s="35" customFormat="1" customHeight="1" spans="1:15">
      <c r="A163" s="47">
        <f t="shared" si="4"/>
        <v>162</v>
      </c>
      <c r="B163" s="48" t="s">
        <v>495</v>
      </c>
      <c r="C163" s="49">
        <f>IFERROR(VLOOKUP(B163,[1]工程研发事业部人员名单!B:D,2,0),"")</f>
        <v>52345</v>
      </c>
      <c r="D163" s="50" t="str">
        <f>IFERROR(VLOOKUP(B163,[1]工程研发事业部人员名单!B:D,3,0),"")</f>
        <v>结构一室</v>
      </c>
      <c r="E163" s="51" t="s">
        <v>696</v>
      </c>
      <c r="F163" s="52">
        <f t="shared" si="5"/>
        <v>15</v>
      </c>
      <c r="G163" s="53">
        <v>15</v>
      </c>
      <c r="H163" s="53"/>
      <c r="I163" s="53"/>
      <c r="J163" s="53"/>
      <c r="K163" s="57"/>
      <c r="L163" s="57"/>
      <c r="M163" s="59" t="s">
        <v>700</v>
      </c>
      <c r="N163" s="58" t="str">
        <f>VLOOKUP(E163,订单号!B:C,2,0)</f>
        <v>YZ40000741</v>
      </c>
      <c r="O163" s="35" t="e">
        <f>VLOOKUP(C163,领导干部!B:B,1,0)</f>
        <v>#N/A</v>
      </c>
    </row>
    <row r="164" s="35" customFormat="1" customHeight="1" spans="1:15">
      <c r="A164" s="47">
        <f t="shared" si="4"/>
        <v>163</v>
      </c>
      <c r="B164" s="48" t="s">
        <v>270</v>
      </c>
      <c r="C164" s="49">
        <f>IFERROR(VLOOKUP(B164,[1]工程研发事业部人员名单!B:D,2,0),"")</f>
        <v>51615</v>
      </c>
      <c r="D164" s="50" t="str">
        <f>IFERROR(VLOOKUP(B164,[1]工程研发事业部人员名单!B:D,3,0),"")</f>
        <v>结构一室</v>
      </c>
      <c r="E164" s="51" t="s">
        <v>696</v>
      </c>
      <c r="F164" s="52">
        <f t="shared" si="5"/>
        <v>15</v>
      </c>
      <c r="G164" s="53">
        <v>15</v>
      </c>
      <c r="H164" s="53"/>
      <c r="I164" s="53"/>
      <c r="J164" s="53"/>
      <c r="K164" s="57"/>
      <c r="L164" s="57"/>
      <c r="M164" s="59" t="s">
        <v>700</v>
      </c>
      <c r="N164" s="58" t="str">
        <f>VLOOKUP(E164,订单号!B:C,2,0)</f>
        <v>YZ40000741</v>
      </c>
      <c r="O164" s="35" t="e">
        <f>VLOOKUP(C164,领导干部!B:B,1,0)</f>
        <v>#N/A</v>
      </c>
    </row>
    <row r="165" s="35" customFormat="1" customHeight="1" spans="1:15">
      <c r="A165" s="47">
        <f t="shared" si="4"/>
        <v>164</v>
      </c>
      <c r="B165" s="48" t="s">
        <v>470</v>
      </c>
      <c r="C165" s="49">
        <f>IFERROR(VLOOKUP(B165,[1]工程研发事业部人员名单!B:D,2,0),"")</f>
        <v>52017</v>
      </c>
      <c r="D165" s="50" t="str">
        <f>IFERROR(VLOOKUP(B165,[1]工程研发事业部人员名单!B:D,3,0),"")</f>
        <v>结构一室</v>
      </c>
      <c r="E165" s="51" t="s">
        <v>696</v>
      </c>
      <c r="F165" s="52">
        <f t="shared" si="5"/>
        <v>15</v>
      </c>
      <c r="G165" s="53">
        <v>15</v>
      </c>
      <c r="H165" s="53"/>
      <c r="I165" s="53"/>
      <c r="J165" s="53"/>
      <c r="K165" s="57"/>
      <c r="L165" s="57"/>
      <c r="M165" s="59" t="s">
        <v>700</v>
      </c>
      <c r="N165" s="58" t="str">
        <f>VLOOKUP(E165,订单号!B:C,2,0)</f>
        <v>YZ40000741</v>
      </c>
      <c r="O165" s="35" t="e">
        <f>VLOOKUP(C165,领导干部!B:B,1,0)</f>
        <v>#N/A</v>
      </c>
    </row>
    <row r="166" s="35" customFormat="1" customHeight="1" spans="1:15">
      <c r="A166" s="47">
        <f t="shared" si="4"/>
        <v>165</v>
      </c>
      <c r="B166" s="48" t="s">
        <v>333</v>
      </c>
      <c r="C166" s="49">
        <f>IFERROR(VLOOKUP(B166,[1]工程研发事业部人员名单!B:D,2,0),"")</f>
        <v>50032</v>
      </c>
      <c r="D166" s="50" t="str">
        <f>IFERROR(VLOOKUP(B166,[1]工程研发事业部人员名单!B:D,3,0),"")</f>
        <v>总体室</v>
      </c>
      <c r="E166" s="51" t="s">
        <v>696</v>
      </c>
      <c r="F166" s="52">
        <f t="shared" si="5"/>
        <v>149</v>
      </c>
      <c r="G166" s="53"/>
      <c r="H166" s="53"/>
      <c r="I166" s="53">
        <v>149</v>
      </c>
      <c r="J166" s="53"/>
      <c r="K166" s="57"/>
      <c r="L166" s="57"/>
      <c r="M166" s="65" t="s">
        <v>701</v>
      </c>
      <c r="N166" s="58" t="str">
        <f>VLOOKUP(E166,订单号!B:C,2,0)</f>
        <v>YZ40000741</v>
      </c>
      <c r="O166" s="35" t="e">
        <f>VLOOKUP(C166,领导干部!B:B,1,0)</f>
        <v>#N/A</v>
      </c>
    </row>
    <row r="167" s="35" customFormat="1" customHeight="1" spans="1:15">
      <c r="A167" s="47">
        <f t="shared" si="4"/>
        <v>166</v>
      </c>
      <c r="B167" s="48" t="s">
        <v>226</v>
      </c>
      <c r="C167" s="49">
        <f>IFERROR(VLOOKUP(B167,[1]工程研发事业部人员名单!B:D,2,0),"")</f>
        <v>50876</v>
      </c>
      <c r="D167" s="50" t="str">
        <f>IFERROR(VLOOKUP(B167,[1]工程研发事业部人员名单!B:D,3,0),"")</f>
        <v>工程项目室</v>
      </c>
      <c r="E167" s="51" t="s">
        <v>696</v>
      </c>
      <c r="F167" s="52">
        <f t="shared" si="5"/>
        <v>42</v>
      </c>
      <c r="G167" s="53"/>
      <c r="H167" s="53"/>
      <c r="I167" s="53">
        <v>42</v>
      </c>
      <c r="J167" s="53"/>
      <c r="K167" s="57" t="s">
        <v>699</v>
      </c>
      <c r="L167" s="57" t="s">
        <v>702</v>
      </c>
      <c r="M167" s="65" t="s">
        <v>703</v>
      </c>
      <c r="N167" s="58" t="str">
        <f>VLOOKUP(E167,订单号!B:C,2,0)</f>
        <v>YZ40000741</v>
      </c>
      <c r="O167" s="35" t="e">
        <f>VLOOKUP(C167,领导干部!B:B,1,0)</f>
        <v>#N/A</v>
      </c>
    </row>
    <row r="168" s="35" customFormat="1" customHeight="1" spans="1:15">
      <c r="A168" s="47">
        <f t="shared" si="4"/>
        <v>167</v>
      </c>
      <c r="B168" s="48" t="s">
        <v>694</v>
      </c>
      <c r="C168" s="49">
        <f>IFERROR(VLOOKUP(B168,[1]工程研发事业部人员名单!B:D,2,0),"")</f>
        <v>51792</v>
      </c>
      <c r="D168" s="50" t="str">
        <f>IFERROR(VLOOKUP(B168,[1]工程研发事业部人员名单!B:D,3,0),"")</f>
        <v>工程项目室</v>
      </c>
      <c r="E168" s="51" t="s">
        <v>696</v>
      </c>
      <c r="F168" s="52">
        <f t="shared" si="5"/>
        <v>35</v>
      </c>
      <c r="G168" s="53"/>
      <c r="H168" s="53"/>
      <c r="I168" s="53">
        <v>35</v>
      </c>
      <c r="J168" s="53"/>
      <c r="K168" s="57" t="s">
        <v>214</v>
      </c>
      <c r="L168" s="57"/>
      <c r="M168" s="59" t="s">
        <v>704</v>
      </c>
      <c r="N168" s="58" t="str">
        <f>VLOOKUP(E168,订单号!B:C,2,0)</f>
        <v>YZ40000741</v>
      </c>
      <c r="O168" s="35" t="e">
        <f>VLOOKUP(C168,领导干部!B:B,1,0)</f>
        <v>#N/A</v>
      </c>
    </row>
    <row r="169" s="35" customFormat="1" customHeight="1" spans="1:15">
      <c r="A169" s="47">
        <f t="shared" si="4"/>
        <v>168</v>
      </c>
      <c r="B169" s="48" t="s">
        <v>694</v>
      </c>
      <c r="C169" s="49">
        <f>IFERROR(VLOOKUP(B169,[1]工程研发事业部人员名单!B:D,2,0),"")</f>
        <v>51792</v>
      </c>
      <c r="D169" s="50" t="str">
        <f>IFERROR(VLOOKUP(B169,[1]工程研发事业部人员名单!B:D,3,0),"")</f>
        <v>工程项目室</v>
      </c>
      <c r="E169" s="51" t="s">
        <v>696</v>
      </c>
      <c r="F169" s="52">
        <f t="shared" si="5"/>
        <v>150</v>
      </c>
      <c r="G169" s="53"/>
      <c r="H169" s="53"/>
      <c r="I169" s="53">
        <v>150</v>
      </c>
      <c r="J169" s="53"/>
      <c r="K169" s="57" t="s">
        <v>699</v>
      </c>
      <c r="L169" s="57"/>
      <c r="M169" s="59" t="s">
        <v>705</v>
      </c>
      <c r="N169" s="58" t="str">
        <f>VLOOKUP(E169,订单号!B:C,2,0)</f>
        <v>YZ40000741</v>
      </c>
      <c r="O169" s="35" t="e">
        <f>VLOOKUP(C169,领导干部!B:B,1,0)</f>
        <v>#N/A</v>
      </c>
    </row>
    <row r="170" s="35" customFormat="1" customHeight="1" spans="1:15">
      <c r="A170" s="47">
        <f t="shared" si="4"/>
        <v>169</v>
      </c>
      <c r="B170" s="48" t="s">
        <v>355</v>
      </c>
      <c r="C170" s="49">
        <f>IFERROR(VLOOKUP(B170,[1]工程研发事业部人员名单!B:D,2,0),"")</f>
        <v>51844</v>
      </c>
      <c r="D170" s="50" t="str">
        <f>IFERROR(VLOOKUP(B170,[1]工程研发事业部人员名单!B:D,3,0),"")</f>
        <v>结构一室</v>
      </c>
      <c r="E170" s="51" t="s">
        <v>177</v>
      </c>
      <c r="F170" s="52">
        <f t="shared" si="5"/>
        <v>70</v>
      </c>
      <c r="G170" s="62"/>
      <c r="H170" s="62"/>
      <c r="I170" s="53">
        <v>70</v>
      </c>
      <c r="J170" s="53"/>
      <c r="K170" s="57"/>
      <c r="L170" s="57"/>
      <c r="M170" s="58" t="s">
        <v>706</v>
      </c>
      <c r="N170" s="58" t="str">
        <f>VLOOKUP(E170,订单号!B:C,2,0)</f>
        <v>YZ40000680</v>
      </c>
      <c r="O170" s="35" t="e">
        <f>VLOOKUP(C170,领导干部!B:B,1,0)</f>
        <v>#N/A</v>
      </c>
    </row>
    <row r="171" s="35" customFormat="1" customHeight="1" spans="1:15">
      <c r="A171" s="47">
        <f t="shared" si="4"/>
        <v>170</v>
      </c>
      <c r="B171" s="48" t="s">
        <v>495</v>
      </c>
      <c r="C171" s="49">
        <f>IFERROR(VLOOKUP(B171,[1]工程研发事业部人员名单!B:D,2,0),"")</f>
        <v>52345</v>
      </c>
      <c r="D171" s="50" t="str">
        <f>IFERROR(VLOOKUP(B171,[1]工程研发事业部人员名单!B:D,3,0),"")</f>
        <v>结构一室</v>
      </c>
      <c r="E171" s="51" t="s">
        <v>177</v>
      </c>
      <c r="F171" s="52">
        <f t="shared" si="5"/>
        <v>84</v>
      </c>
      <c r="G171" s="62"/>
      <c r="H171" s="62"/>
      <c r="I171" s="53">
        <v>84</v>
      </c>
      <c r="J171" s="53"/>
      <c r="K171" s="57"/>
      <c r="L171" s="57"/>
      <c r="M171" s="58" t="s">
        <v>706</v>
      </c>
      <c r="N171" s="58" t="str">
        <f>VLOOKUP(E171,订单号!B:C,2,0)</f>
        <v>YZ40000680</v>
      </c>
      <c r="O171" s="35" t="e">
        <f>VLOOKUP(C171,领导干部!B:B,1,0)</f>
        <v>#N/A</v>
      </c>
    </row>
    <row r="172" s="35" customFormat="1" customHeight="1" spans="1:15">
      <c r="A172" s="47">
        <f t="shared" si="4"/>
        <v>171</v>
      </c>
      <c r="B172" s="48" t="s">
        <v>470</v>
      </c>
      <c r="C172" s="49">
        <f>IFERROR(VLOOKUP(B172,[1]工程研发事业部人员名单!B:D,2,0),"")</f>
        <v>52017</v>
      </c>
      <c r="D172" s="50" t="str">
        <f>IFERROR(VLOOKUP(B172,[1]工程研发事业部人员名单!B:D,3,0),"")</f>
        <v>结构一室</v>
      </c>
      <c r="E172" s="51" t="s">
        <v>177</v>
      </c>
      <c r="F172" s="52">
        <f t="shared" si="5"/>
        <v>84</v>
      </c>
      <c r="G172" s="62"/>
      <c r="H172" s="62"/>
      <c r="I172" s="53">
        <v>84</v>
      </c>
      <c r="J172" s="53"/>
      <c r="K172" s="57"/>
      <c r="L172" s="57"/>
      <c r="M172" s="58" t="s">
        <v>706</v>
      </c>
      <c r="N172" s="58" t="str">
        <f>VLOOKUP(E172,订单号!B:C,2,0)</f>
        <v>YZ40000680</v>
      </c>
      <c r="O172" s="35" t="e">
        <f>VLOOKUP(C172,领导干部!B:B,1,0)</f>
        <v>#N/A</v>
      </c>
    </row>
    <row r="173" s="35" customFormat="1" customHeight="1" spans="1:15">
      <c r="A173" s="47">
        <f t="shared" si="4"/>
        <v>172</v>
      </c>
      <c r="B173" s="48" t="s">
        <v>267</v>
      </c>
      <c r="C173" s="49">
        <f>IFERROR(VLOOKUP(B173,[1]工程研发事业部人员名单!B:D,2,0),"")</f>
        <v>51624</v>
      </c>
      <c r="D173" s="50" t="str">
        <f>IFERROR(VLOOKUP(B173,[1]工程研发事业部人员名单!B:D,3,0),"")</f>
        <v>结构一室</v>
      </c>
      <c r="E173" s="51" t="s">
        <v>177</v>
      </c>
      <c r="F173" s="52">
        <f t="shared" si="5"/>
        <v>84</v>
      </c>
      <c r="G173" s="62"/>
      <c r="H173" s="62"/>
      <c r="I173" s="53">
        <v>84</v>
      </c>
      <c r="J173" s="53"/>
      <c r="K173" s="57"/>
      <c r="L173" s="57"/>
      <c r="M173" s="58" t="s">
        <v>706</v>
      </c>
      <c r="N173" s="58" t="str">
        <f>VLOOKUP(E173,订单号!B:C,2,0)</f>
        <v>YZ40000680</v>
      </c>
      <c r="O173" s="35" t="e">
        <f>VLOOKUP(C173,领导干部!B:B,1,0)</f>
        <v>#N/A</v>
      </c>
    </row>
    <row r="174" s="35" customFormat="1" customHeight="1" spans="1:15">
      <c r="A174" s="47">
        <f t="shared" si="4"/>
        <v>173</v>
      </c>
      <c r="B174" s="48" t="s">
        <v>270</v>
      </c>
      <c r="C174" s="49">
        <f>IFERROR(VLOOKUP(B174,[1]工程研发事业部人员名单!B:D,2,0),"")</f>
        <v>51615</v>
      </c>
      <c r="D174" s="50" t="str">
        <f>IFERROR(VLOOKUP(B174,[1]工程研发事业部人员名单!B:D,3,0),"")</f>
        <v>结构一室</v>
      </c>
      <c r="E174" s="51" t="s">
        <v>177</v>
      </c>
      <c r="F174" s="52">
        <f t="shared" si="5"/>
        <v>84</v>
      </c>
      <c r="G174" s="62"/>
      <c r="H174" s="62"/>
      <c r="I174" s="53">
        <v>84</v>
      </c>
      <c r="J174" s="53"/>
      <c r="K174" s="57"/>
      <c r="L174" s="57"/>
      <c r="M174" s="58" t="s">
        <v>706</v>
      </c>
      <c r="N174" s="58" t="str">
        <f>VLOOKUP(E174,订单号!B:C,2,0)</f>
        <v>YZ40000680</v>
      </c>
      <c r="O174" s="35" t="e">
        <f>VLOOKUP(C174,领导干部!B:B,1,0)</f>
        <v>#N/A</v>
      </c>
    </row>
    <row r="175" s="35" customFormat="1" customHeight="1" spans="1:15">
      <c r="A175" s="47">
        <f t="shared" si="4"/>
        <v>174</v>
      </c>
      <c r="B175" s="48" t="s">
        <v>236</v>
      </c>
      <c r="C175" s="49">
        <f>IFERROR(VLOOKUP(B175,[1]工程研发事业部人员名单!B:D,2,0),"")</f>
        <v>51211</v>
      </c>
      <c r="D175" s="50" t="str">
        <f>IFERROR(VLOOKUP(B175,[1]工程研发事业部人员名单!B:D,3,0),"")</f>
        <v>结构一室</v>
      </c>
      <c r="E175" s="51" t="s">
        <v>177</v>
      </c>
      <c r="F175" s="52">
        <f t="shared" si="5"/>
        <v>69</v>
      </c>
      <c r="G175" s="62"/>
      <c r="H175" s="62"/>
      <c r="I175" s="53">
        <v>69</v>
      </c>
      <c r="J175" s="53"/>
      <c r="K175" s="57"/>
      <c r="L175" s="57"/>
      <c r="M175" s="58" t="s">
        <v>706</v>
      </c>
      <c r="N175" s="58" t="str">
        <f>VLOOKUP(E175,订单号!B:C,2,0)</f>
        <v>YZ40000680</v>
      </c>
      <c r="O175" s="35" t="e">
        <f>VLOOKUP(C175,领导干部!B:B,1,0)</f>
        <v>#N/A</v>
      </c>
    </row>
    <row r="176" s="35" customFormat="1" customHeight="1" spans="1:15">
      <c r="A176" s="47">
        <f t="shared" si="4"/>
        <v>175</v>
      </c>
      <c r="B176" s="48" t="s">
        <v>262</v>
      </c>
      <c r="C176" s="49">
        <f>IFERROR(VLOOKUP(B176,[1]工程研发事业部人员名单!B:D,2,0),"")</f>
        <v>22294</v>
      </c>
      <c r="D176" s="50" t="str">
        <f>IFERROR(VLOOKUP(B176,[1]工程研发事业部人员名单!B:D,3,0),"")</f>
        <v>结构一室</v>
      </c>
      <c r="E176" s="51" t="s">
        <v>177</v>
      </c>
      <c r="F176" s="52">
        <f t="shared" si="5"/>
        <v>25</v>
      </c>
      <c r="G176" s="62"/>
      <c r="H176" s="62"/>
      <c r="I176" s="53">
        <v>25</v>
      </c>
      <c r="J176" s="53"/>
      <c r="K176" s="57"/>
      <c r="L176" s="57"/>
      <c r="M176" s="58" t="s">
        <v>706</v>
      </c>
      <c r="N176" s="58" t="str">
        <f>VLOOKUP(E176,订单号!B:C,2,0)</f>
        <v>YZ40000680</v>
      </c>
      <c r="O176" s="35" t="e">
        <f>VLOOKUP(C176,领导干部!B:B,1,0)</f>
        <v>#N/A</v>
      </c>
    </row>
    <row r="177" s="35" customFormat="1" customHeight="1" spans="1:15">
      <c r="A177" s="47">
        <f t="shared" si="4"/>
        <v>176</v>
      </c>
      <c r="B177" s="48" t="s">
        <v>674</v>
      </c>
      <c r="C177" s="49">
        <f>IFERROR(VLOOKUP(B177,[1]工程研发事业部人员名单!B:D,2,0),"")</f>
        <v>51202</v>
      </c>
      <c r="D177" s="50" t="str">
        <f>IFERROR(VLOOKUP(B177,[1]工程研发事业部人员名单!B:D,3,0),"")</f>
        <v>综合技术室</v>
      </c>
      <c r="E177" s="51" t="s">
        <v>177</v>
      </c>
      <c r="F177" s="52">
        <f t="shared" si="5"/>
        <v>60</v>
      </c>
      <c r="G177" s="62"/>
      <c r="H177" s="71"/>
      <c r="I177" s="53">
        <v>60</v>
      </c>
      <c r="J177" s="53"/>
      <c r="K177" s="57"/>
      <c r="L177" s="57"/>
      <c r="M177" s="59"/>
      <c r="N177" s="58" t="str">
        <f>VLOOKUP(E177,订单号!B:C,2,0)</f>
        <v>YZ40000680</v>
      </c>
      <c r="O177" s="35">
        <f>VLOOKUP(C177,领导干部!B:B,1,0)</f>
        <v>51202</v>
      </c>
    </row>
    <row r="178" s="35" customFormat="1" customHeight="1" spans="1:15">
      <c r="A178" s="47">
        <f t="shared" si="4"/>
        <v>177</v>
      </c>
      <c r="B178" s="48" t="s">
        <v>333</v>
      </c>
      <c r="C178" s="49">
        <f>IFERROR(VLOOKUP(B178,[1]工程研发事业部人员名单!B:D,2,0),"")</f>
        <v>50032</v>
      </c>
      <c r="D178" s="50" t="str">
        <f>IFERROR(VLOOKUP(B178,[1]工程研发事业部人员名单!B:D,3,0),"")</f>
        <v>总体室</v>
      </c>
      <c r="E178" s="51" t="s">
        <v>177</v>
      </c>
      <c r="F178" s="52">
        <f t="shared" si="5"/>
        <v>100</v>
      </c>
      <c r="G178" s="71"/>
      <c r="H178" s="62"/>
      <c r="I178" s="53">
        <v>100</v>
      </c>
      <c r="J178" s="53"/>
      <c r="K178" s="57"/>
      <c r="L178" s="57"/>
      <c r="M178" s="59" t="s">
        <v>707</v>
      </c>
      <c r="N178" s="58" t="str">
        <f>VLOOKUP(E178,订单号!B:C,2,0)</f>
        <v>YZ40000680</v>
      </c>
      <c r="O178" s="35" t="e">
        <f>VLOOKUP(C178,领导干部!B:B,1,0)</f>
        <v>#N/A</v>
      </c>
    </row>
    <row r="179" s="35" customFormat="1" customHeight="1" spans="1:15">
      <c r="A179" s="47">
        <f t="shared" si="4"/>
        <v>178</v>
      </c>
      <c r="B179" s="48" t="s">
        <v>694</v>
      </c>
      <c r="C179" s="49">
        <f>IFERROR(VLOOKUP(B179,[1]工程研发事业部人员名单!B:D,2,0),"")</f>
        <v>51792</v>
      </c>
      <c r="D179" s="50" t="str">
        <f>IFERROR(VLOOKUP(B179,[1]工程研发事业部人员名单!B:D,3,0),"")</f>
        <v>工程项目室</v>
      </c>
      <c r="E179" s="51" t="s">
        <v>177</v>
      </c>
      <c r="F179" s="52">
        <f t="shared" si="5"/>
        <v>20</v>
      </c>
      <c r="G179" s="71"/>
      <c r="H179" s="62"/>
      <c r="I179" s="53">
        <v>20</v>
      </c>
      <c r="J179" s="53"/>
      <c r="K179" s="57" t="s">
        <v>214</v>
      </c>
      <c r="L179" s="57"/>
      <c r="M179" s="59" t="s">
        <v>215</v>
      </c>
      <c r="N179" s="58" t="str">
        <f>VLOOKUP(E179,订单号!B:C,2,0)</f>
        <v>YZ40000680</v>
      </c>
      <c r="O179" s="35" t="e">
        <f>VLOOKUP(C179,领导干部!B:B,1,0)</f>
        <v>#N/A</v>
      </c>
    </row>
    <row r="180" s="35" customFormat="1" customHeight="1" spans="1:15">
      <c r="A180" s="47">
        <f t="shared" si="4"/>
        <v>179</v>
      </c>
      <c r="B180" s="48" t="s">
        <v>694</v>
      </c>
      <c r="C180" s="49">
        <f>IFERROR(VLOOKUP(B180,[1]工程研发事业部人员名单!B:D,2,0),"")</f>
        <v>51792</v>
      </c>
      <c r="D180" s="50" t="str">
        <f>IFERROR(VLOOKUP(B180,[1]工程研发事业部人员名单!B:D,3,0),"")</f>
        <v>工程项目室</v>
      </c>
      <c r="E180" s="51" t="s">
        <v>177</v>
      </c>
      <c r="F180" s="52">
        <f t="shared" si="5"/>
        <v>120</v>
      </c>
      <c r="G180" s="71"/>
      <c r="H180" s="62"/>
      <c r="I180" s="53">
        <v>120</v>
      </c>
      <c r="J180" s="53"/>
      <c r="K180" s="57"/>
      <c r="L180" s="57"/>
      <c r="M180" s="59" t="s">
        <v>708</v>
      </c>
      <c r="N180" s="58" t="str">
        <f>VLOOKUP(E180,订单号!B:C,2,0)</f>
        <v>YZ40000680</v>
      </c>
      <c r="O180" s="35" t="e">
        <f>VLOOKUP(C180,领导干部!B:B,1,0)</f>
        <v>#N/A</v>
      </c>
    </row>
    <row r="181" s="35" customFormat="1" customHeight="1" spans="1:15">
      <c r="A181" s="47">
        <f t="shared" si="4"/>
        <v>180</v>
      </c>
      <c r="B181" s="48" t="s">
        <v>294</v>
      </c>
      <c r="C181" s="49">
        <f>IFERROR(VLOOKUP(B181,[1]工程研发事业部人员名单!B:D,2,0),"")</f>
        <v>50726</v>
      </c>
      <c r="D181" s="50" t="str">
        <f>IFERROR(VLOOKUP(B181,[1]工程研发事业部人员名单!B:D,3,0),"")</f>
        <v>强度室</v>
      </c>
      <c r="E181" s="51" t="s">
        <v>177</v>
      </c>
      <c r="F181" s="52">
        <f t="shared" si="5"/>
        <v>140</v>
      </c>
      <c r="G181" s="53"/>
      <c r="H181" s="53"/>
      <c r="I181" s="72">
        <v>140</v>
      </c>
      <c r="J181" s="53"/>
      <c r="K181" s="57" t="s">
        <v>277</v>
      </c>
      <c r="L181" s="48" t="s">
        <v>709</v>
      </c>
      <c r="M181" s="58" t="s">
        <v>710</v>
      </c>
      <c r="N181" s="58" t="str">
        <f>VLOOKUP(E181,订单号!B:C,2,0)</f>
        <v>YZ40000680</v>
      </c>
      <c r="O181" s="35" t="e">
        <f>VLOOKUP(C181,领导干部!B:B,1,0)</f>
        <v>#N/A</v>
      </c>
    </row>
    <row r="182" s="35" customFormat="1" customHeight="1" spans="1:15">
      <c r="A182" s="47">
        <f t="shared" si="4"/>
        <v>181</v>
      </c>
      <c r="B182" s="48" t="s">
        <v>217</v>
      </c>
      <c r="C182" s="49">
        <f>IFERROR(VLOOKUP(B182,[1]工程研发事业部人员名单!B:D,2,0),"")</f>
        <v>51944</v>
      </c>
      <c r="D182" s="50" t="str">
        <f>IFERROR(VLOOKUP(B182,[1]工程研发事业部人员名单!B:D,3,0),"")</f>
        <v>强度室</v>
      </c>
      <c r="E182" s="51" t="s">
        <v>177</v>
      </c>
      <c r="F182" s="52">
        <f t="shared" si="5"/>
        <v>91</v>
      </c>
      <c r="G182" s="53"/>
      <c r="H182" s="53"/>
      <c r="I182" s="72">
        <v>91</v>
      </c>
      <c r="J182" s="53"/>
      <c r="K182" s="57" t="s">
        <v>277</v>
      </c>
      <c r="L182" s="48" t="s">
        <v>709</v>
      </c>
      <c r="M182" s="58" t="s">
        <v>710</v>
      </c>
      <c r="N182" s="58" t="str">
        <f>VLOOKUP(E182,订单号!B:C,2,0)</f>
        <v>YZ40000680</v>
      </c>
      <c r="O182" s="35" t="e">
        <f>VLOOKUP(C182,领导干部!B:B,1,0)</f>
        <v>#N/A</v>
      </c>
    </row>
    <row r="183" s="35" customFormat="1" customHeight="1" spans="1:15">
      <c r="A183" s="47">
        <f t="shared" si="4"/>
        <v>182</v>
      </c>
      <c r="B183" s="48" t="s">
        <v>275</v>
      </c>
      <c r="C183" s="49">
        <f>IFERROR(VLOOKUP(B183,[1]工程研发事业部人员名单!B:D,2,0),"")</f>
        <v>26766</v>
      </c>
      <c r="D183" s="50" t="str">
        <f>IFERROR(VLOOKUP(B183,[1]工程研发事业部人员名单!B:D,3,0),"")</f>
        <v>强度室</v>
      </c>
      <c r="E183" s="51" t="s">
        <v>177</v>
      </c>
      <c r="F183" s="52">
        <f t="shared" si="5"/>
        <v>125</v>
      </c>
      <c r="G183" s="53"/>
      <c r="H183" s="53"/>
      <c r="I183" s="72">
        <v>125</v>
      </c>
      <c r="J183" s="53"/>
      <c r="K183" s="57" t="s">
        <v>277</v>
      </c>
      <c r="L183" s="48" t="s">
        <v>709</v>
      </c>
      <c r="M183" s="58" t="s">
        <v>710</v>
      </c>
      <c r="N183" s="58" t="str">
        <f>VLOOKUP(E183,订单号!B:C,2,0)</f>
        <v>YZ40000680</v>
      </c>
      <c r="O183" s="35" t="e">
        <f>VLOOKUP(C183,领导干部!B:B,1,0)</f>
        <v>#N/A</v>
      </c>
    </row>
    <row r="184" s="35" customFormat="1" customHeight="1" spans="1:15">
      <c r="A184" s="47">
        <f t="shared" si="4"/>
        <v>183</v>
      </c>
      <c r="B184" s="48" t="s">
        <v>313</v>
      </c>
      <c r="C184" s="49">
        <f>IFERROR(VLOOKUP(B184,[1]工程研发事业部人员名单!B:D,2,0),"")</f>
        <v>23524</v>
      </c>
      <c r="D184" s="50" t="str">
        <f>IFERROR(VLOOKUP(B184,[1]工程研发事业部人员名单!B:D,3,0),"")</f>
        <v>强度室</v>
      </c>
      <c r="E184" s="51" t="s">
        <v>177</v>
      </c>
      <c r="F184" s="52">
        <f t="shared" si="5"/>
        <v>35</v>
      </c>
      <c r="G184" s="53"/>
      <c r="H184" s="53"/>
      <c r="I184" s="72">
        <v>35</v>
      </c>
      <c r="J184" s="53"/>
      <c r="K184" s="57" t="s">
        <v>277</v>
      </c>
      <c r="L184" s="48" t="s">
        <v>709</v>
      </c>
      <c r="M184" s="58" t="s">
        <v>710</v>
      </c>
      <c r="N184" s="58" t="str">
        <f>VLOOKUP(E184,订单号!B:C,2,0)</f>
        <v>YZ40000680</v>
      </c>
      <c r="O184" s="35" t="e">
        <f>VLOOKUP(C184,领导干部!B:B,1,0)</f>
        <v>#N/A</v>
      </c>
    </row>
    <row r="185" s="35" customFormat="1" customHeight="1" spans="1:15">
      <c r="A185" s="47">
        <f t="shared" si="4"/>
        <v>184</v>
      </c>
      <c r="B185" s="48" t="s">
        <v>426</v>
      </c>
      <c r="C185" s="49">
        <f>IFERROR(VLOOKUP(B185,[1]工程研发事业部人员名单!B:D,2,0),"")</f>
        <v>51175</v>
      </c>
      <c r="D185" s="50" t="str">
        <f>IFERROR(VLOOKUP(B185,[1]工程研发事业部人员名单!B:D,3,0),"")</f>
        <v>强度室</v>
      </c>
      <c r="E185" s="51" t="s">
        <v>177</v>
      </c>
      <c r="F185" s="52">
        <f t="shared" si="5"/>
        <v>70</v>
      </c>
      <c r="G185" s="53"/>
      <c r="H185" s="53"/>
      <c r="I185" s="72">
        <v>70</v>
      </c>
      <c r="J185" s="53"/>
      <c r="K185" s="57" t="s">
        <v>277</v>
      </c>
      <c r="L185" s="48" t="s">
        <v>709</v>
      </c>
      <c r="M185" s="58" t="s">
        <v>710</v>
      </c>
      <c r="N185" s="58" t="str">
        <f>VLOOKUP(E185,订单号!B:C,2,0)</f>
        <v>YZ40000680</v>
      </c>
      <c r="O185" s="35" t="e">
        <f>VLOOKUP(C185,领导干部!B:B,1,0)</f>
        <v>#N/A</v>
      </c>
    </row>
    <row r="186" s="35" customFormat="1" customHeight="1" spans="1:15">
      <c r="A186" s="47">
        <f t="shared" si="4"/>
        <v>185</v>
      </c>
      <c r="B186" s="48" t="s">
        <v>282</v>
      </c>
      <c r="C186" s="49">
        <f>IFERROR(VLOOKUP(B186,[1]工程研发事业部人员名单!B:D,2,0),"")</f>
        <v>52342</v>
      </c>
      <c r="D186" s="50" t="str">
        <f>IFERROR(VLOOKUP(B186,[1]工程研发事业部人员名单!B:D,3,0),"")</f>
        <v>强度室</v>
      </c>
      <c r="E186" s="51" t="s">
        <v>177</v>
      </c>
      <c r="F186" s="52">
        <f t="shared" si="5"/>
        <v>140</v>
      </c>
      <c r="G186" s="53"/>
      <c r="H186" s="53"/>
      <c r="I186" s="72">
        <v>140</v>
      </c>
      <c r="J186" s="53"/>
      <c r="K186" s="57" t="s">
        <v>277</v>
      </c>
      <c r="L186" s="48" t="s">
        <v>709</v>
      </c>
      <c r="M186" s="58" t="s">
        <v>710</v>
      </c>
      <c r="N186" s="58" t="str">
        <f>VLOOKUP(E186,订单号!B:C,2,0)</f>
        <v>YZ40000680</v>
      </c>
      <c r="O186" s="35" t="e">
        <f>VLOOKUP(C186,领导干部!B:B,1,0)</f>
        <v>#N/A</v>
      </c>
    </row>
    <row r="187" s="35" customFormat="1" customHeight="1" spans="1:15">
      <c r="A187" s="47">
        <f t="shared" si="4"/>
        <v>186</v>
      </c>
      <c r="B187" s="48" t="s">
        <v>447</v>
      </c>
      <c r="C187" s="49">
        <f>IFERROR(VLOOKUP(B187,[1]工程研发事业部人员名单!B:D,2,0),"")</f>
        <v>52347</v>
      </c>
      <c r="D187" s="50" t="str">
        <f>IFERROR(VLOOKUP(B187,[1]工程研发事业部人员名单!B:D,3,0),"")</f>
        <v>强度室</v>
      </c>
      <c r="E187" s="51" t="s">
        <v>177</v>
      </c>
      <c r="F187" s="52">
        <f t="shared" si="5"/>
        <v>70</v>
      </c>
      <c r="G187" s="53"/>
      <c r="H187" s="53"/>
      <c r="I187" s="72">
        <v>70</v>
      </c>
      <c r="J187" s="53"/>
      <c r="K187" s="57" t="s">
        <v>277</v>
      </c>
      <c r="L187" s="48" t="s">
        <v>709</v>
      </c>
      <c r="M187" s="58" t="s">
        <v>710</v>
      </c>
      <c r="N187" s="58" t="str">
        <f>VLOOKUP(E187,订单号!B:C,2,0)</f>
        <v>YZ40000680</v>
      </c>
      <c r="O187" s="35" t="e">
        <f>VLOOKUP(C187,领导干部!B:B,1,0)</f>
        <v>#N/A</v>
      </c>
    </row>
    <row r="188" s="35" customFormat="1" customHeight="1" spans="1:15">
      <c r="A188" s="47">
        <f t="shared" si="4"/>
        <v>187</v>
      </c>
      <c r="B188" s="48" t="s">
        <v>300</v>
      </c>
      <c r="C188" s="49">
        <f>IFERROR(VLOOKUP(B188,[1]工程研发事业部人员名单!B:D,2,0),"")</f>
        <v>51429</v>
      </c>
      <c r="D188" s="50" t="str">
        <f>IFERROR(VLOOKUP(B188,[1]工程研发事业部人员名单!B:D,3,0),"")</f>
        <v>综合技术室</v>
      </c>
      <c r="E188" s="51" t="s">
        <v>177</v>
      </c>
      <c r="F188" s="52">
        <f t="shared" si="5"/>
        <v>15</v>
      </c>
      <c r="G188" s="53"/>
      <c r="H188" s="53"/>
      <c r="I188" s="72">
        <v>15</v>
      </c>
      <c r="J188" s="53"/>
      <c r="K188" s="57" t="s">
        <v>277</v>
      </c>
      <c r="L188" s="48" t="s">
        <v>709</v>
      </c>
      <c r="M188" s="58" t="s">
        <v>710</v>
      </c>
      <c r="N188" s="58" t="str">
        <f>VLOOKUP(E188,订单号!B:C,2,0)</f>
        <v>YZ40000680</v>
      </c>
      <c r="O188" s="35" t="e">
        <f>VLOOKUP(C188,领导干部!B:B,1,0)</f>
        <v>#N/A</v>
      </c>
    </row>
    <row r="189" s="35" customFormat="1" customHeight="1" spans="1:15">
      <c r="A189" s="47">
        <f t="shared" si="4"/>
        <v>188</v>
      </c>
      <c r="B189" s="48" t="s">
        <v>495</v>
      </c>
      <c r="C189" s="49">
        <f>IFERROR(VLOOKUP(B189,[1]工程研发事业部人员名单!B:D,2,0),"")</f>
        <v>52345</v>
      </c>
      <c r="D189" s="50" t="str">
        <f>IFERROR(VLOOKUP(B189,[1]工程研发事业部人员名单!B:D,3,0),"")</f>
        <v>结构一室</v>
      </c>
      <c r="E189" s="51" t="s">
        <v>177</v>
      </c>
      <c r="F189" s="52">
        <f t="shared" si="5"/>
        <v>15</v>
      </c>
      <c r="G189" s="53"/>
      <c r="H189" s="53"/>
      <c r="I189" s="72">
        <v>15</v>
      </c>
      <c r="J189" s="53"/>
      <c r="K189" s="57" t="s">
        <v>277</v>
      </c>
      <c r="L189" s="48" t="s">
        <v>709</v>
      </c>
      <c r="M189" s="58" t="s">
        <v>710</v>
      </c>
      <c r="N189" s="58" t="str">
        <f>VLOOKUP(E189,订单号!B:C,2,0)</f>
        <v>YZ40000680</v>
      </c>
      <c r="O189" s="35" t="e">
        <f>VLOOKUP(C189,领导干部!B:B,1,0)</f>
        <v>#N/A</v>
      </c>
    </row>
    <row r="190" s="35" customFormat="1" customHeight="1" spans="1:15">
      <c r="A190" s="47">
        <f t="shared" si="4"/>
        <v>189</v>
      </c>
      <c r="B190" s="48" t="s">
        <v>288</v>
      </c>
      <c r="C190" s="49">
        <f>IFERROR(VLOOKUP(B190,[1]工程研发事业部人员名单!B:D,2,0),"")</f>
        <v>52132</v>
      </c>
      <c r="D190" s="50" t="str">
        <f>IFERROR(VLOOKUP(B190,[1]工程研发事业部人员名单!B:D,3,0),"")</f>
        <v>结构二室</v>
      </c>
      <c r="E190" s="51" t="s">
        <v>177</v>
      </c>
      <c r="F190" s="52">
        <f t="shared" si="5"/>
        <v>90</v>
      </c>
      <c r="G190" s="53"/>
      <c r="H190" s="53"/>
      <c r="I190" s="72">
        <v>90</v>
      </c>
      <c r="J190" s="53"/>
      <c r="K190" s="57" t="s">
        <v>277</v>
      </c>
      <c r="L190" s="48" t="s">
        <v>709</v>
      </c>
      <c r="M190" s="58" t="s">
        <v>710</v>
      </c>
      <c r="N190" s="58" t="str">
        <f>VLOOKUP(E190,订单号!B:C,2,0)</f>
        <v>YZ40000680</v>
      </c>
      <c r="O190" s="35" t="e">
        <f>VLOOKUP(C190,领导干部!B:B,1,0)</f>
        <v>#N/A</v>
      </c>
    </row>
    <row r="191" s="35" customFormat="1" customHeight="1" spans="1:15">
      <c r="A191" s="47">
        <f t="shared" si="4"/>
        <v>190</v>
      </c>
      <c r="B191" s="48" t="s">
        <v>230</v>
      </c>
      <c r="C191" s="49">
        <f>IFERROR(VLOOKUP(B191,[1]工程研发事业部人员名单!B:D,2,0),"")</f>
        <v>50030</v>
      </c>
      <c r="D191" s="50" t="str">
        <f>IFERROR(VLOOKUP(B191,[1]工程研发事业部人员名单!B:D,3,0),"")</f>
        <v>总体室</v>
      </c>
      <c r="E191" s="51" t="s">
        <v>177</v>
      </c>
      <c r="F191" s="52">
        <f t="shared" si="5"/>
        <v>130</v>
      </c>
      <c r="G191" s="53"/>
      <c r="H191" s="53"/>
      <c r="I191" s="72">
        <v>130</v>
      </c>
      <c r="J191" s="53"/>
      <c r="K191" s="57" t="s">
        <v>277</v>
      </c>
      <c r="L191" s="48" t="s">
        <v>709</v>
      </c>
      <c r="M191" s="58" t="s">
        <v>710</v>
      </c>
      <c r="N191" s="58" t="str">
        <f>VLOOKUP(E191,订单号!B:C,2,0)</f>
        <v>YZ40000680</v>
      </c>
      <c r="O191" s="35" t="e">
        <f>VLOOKUP(C191,领导干部!B:B,1,0)</f>
        <v>#N/A</v>
      </c>
    </row>
    <row r="192" s="35" customFormat="1" customHeight="1" spans="1:15">
      <c r="A192" s="47">
        <f t="shared" si="4"/>
        <v>191</v>
      </c>
      <c r="B192" s="48" t="s">
        <v>311</v>
      </c>
      <c r="C192" s="49">
        <f>IFERROR(VLOOKUP(B192,[1]工程研发事业部人员名单!B:D,2,0),"")</f>
        <v>51435</v>
      </c>
      <c r="D192" s="50" t="str">
        <f>IFERROR(VLOOKUP(B192,[1]工程研发事业部人员名单!B:D,3,0),"")</f>
        <v>系统室</v>
      </c>
      <c r="E192" s="51" t="s">
        <v>177</v>
      </c>
      <c r="F192" s="52">
        <f t="shared" si="5"/>
        <v>40</v>
      </c>
      <c r="G192" s="53"/>
      <c r="H192" s="53"/>
      <c r="I192" s="72">
        <v>40</v>
      </c>
      <c r="J192" s="53"/>
      <c r="K192" s="57" t="s">
        <v>277</v>
      </c>
      <c r="L192" s="48" t="s">
        <v>709</v>
      </c>
      <c r="M192" s="58" t="s">
        <v>710</v>
      </c>
      <c r="N192" s="58" t="str">
        <f>VLOOKUP(E192,订单号!B:C,2,0)</f>
        <v>YZ40000680</v>
      </c>
      <c r="O192" s="35" t="e">
        <f>VLOOKUP(C192,领导干部!B:B,1,0)</f>
        <v>#N/A</v>
      </c>
    </row>
    <row r="193" s="35" customFormat="1" customHeight="1" spans="1:15">
      <c r="A193" s="47">
        <f t="shared" si="4"/>
        <v>192</v>
      </c>
      <c r="B193" s="48" t="s">
        <v>338</v>
      </c>
      <c r="C193" s="49">
        <f>IFERROR(VLOOKUP(B193,[1]工程研发事业部人员名单!B:D,2,0),"")</f>
        <v>52156</v>
      </c>
      <c r="D193" s="50" t="str">
        <f>IFERROR(VLOOKUP(B193,[1]工程研发事业部人员名单!B:D,3,0),"")</f>
        <v>系统室</v>
      </c>
      <c r="E193" s="73" t="s">
        <v>177</v>
      </c>
      <c r="F193" s="52">
        <f t="shared" si="5"/>
        <v>25</v>
      </c>
      <c r="G193" s="72"/>
      <c r="H193" s="72"/>
      <c r="I193" s="72">
        <v>25</v>
      </c>
      <c r="J193" s="72"/>
      <c r="K193" s="57" t="s">
        <v>277</v>
      </c>
      <c r="L193" s="48" t="s">
        <v>709</v>
      </c>
      <c r="M193" s="58" t="s">
        <v>710</v>
      </c>
      <c r="N193" s="58" t="str">
        <f>VLOOKUP(E193,订单号!B:C,2,0)</f>
        <v>YZ40000680</v>
      </c>
      <c r="O193" s="35" t="e">
        <f>VLOOKUP(C193,领导干部!B:B,1,0)</f>
        <v>#N/A</v>
      </c>
    </row>
    <row r="194" s="35" customFormat="1" customHeight="1" spans="1:15">
      <c r="A194" s="47">
        <f t="shared" ref="A194:A257" si="6">ROW()-1</f>
        <v>193</v>
      </c>
      <c r="B194" s="48" t="s">
        <v>274</v>
      </c>
      <c r="C194" s="49">
        <f>IFERROR(VLOOKUP(B194,[1]工程研发事业部人员名单!B:D,2,0),"")</f>
        <v>26689</v>
      </c>
      <c r="D194" s="50" t="str">
        <f>IFERROR(VLOOKUP(B194,[1]工程研发事业部人员名单!B:D,3,0),"")</f>
        <v>强度室</v>
      </c>
      <c r="E194" s="73" t="s">
        <v>177</v>
      </c>
      <c r="F194" s="52">
        <f t="shared" ref="F194:F257" si="7">G194+H194+I194+J194</f>
        <v>130</v>
      </c>
      <c r="G194" s="72"/>
      <c r="H194" s="72"/>
      <c r="I194" s="72">
        <v>130</v>
      </c>
      <c r="J194" s="72"/>
      <c r="K194" s="48" t="s">
        <v>277</v>
      </c>
      <c r="L194" s="48" t="s">
        <v>711</v>
      </c>
      <c r="M194" s="81" t="s">
        <v>712</v>
      </c>
      <c r="N194" s="58" t="str">
        <f>VLOOKUP(E194,订单号!B:C,2,0)</f>
        <v>YZ40000680</v>
      </c>
      <c r="O194" s="35" t="e">
        <f>VLOOKUP(C194,领导干部!B:B,1,0)</f>
        <v>#N/A</v>
      </c>
    </row>
    <row r="195" s="35" customFormat="1" customHeight="1" spans="1:15">
      <c r="A195" s="47">
        <f t="shared" si="6"/>
        <v>194</v>
      </c>
      <c r="B195" s="48" t="s">
        <v>445</v>
      </c>
      <c r="C195" s="49">
        <f>IFERROR(VLOOKUP(B195,[1]工程研发事业部人员名单!B:D,2,0),"")</f>
        <v>51194</v>
      </c>
      <c r="D195" s="50" t="str">
        <f>IFERROR(VLOOKUP(B195,[1]工程研发事业部人员名单!B:D,3,0),"")</f>
        <v>强度室</v>
      </c>
      <c r="E195" s="51" t="s">
        <v>178</v>
      </c>
      <c r="F195" s="52">
        <f t="shared" si="7"/>
        <v>40</v>
      </c>
      <c r="G195" s="53"/>
      <c r="H195" s="53"/>
      <c r="I195" s="53">
        <v>40</v>
      </c>
      <c r="J195" s="53"/>
      <c r="K195" s="57" t="s">
        <v>277</v>
      </c>
      <c r="L195" s="57" t="s">
        <v>284</v>
      </c>
      <c r="M195" s="65" t="s">
        <v>713</v>
      </c>
      <c r="N195" s="58" t="e">
        <f>VLOOKUP(E195,订单号!B:C,2,0)</f>
        <v>#N/A</v>
      </c>
      <c r="O195" s="35" t="e">
        <f>VLOOKUP(C195,领导干部!B:B,1,0)</f>
        <v>#N/A</v>
      </c>
    </row>
    <row r="196" s="35" customFormat="1" customHeight="1" spans="1:15">
      <c r="A196" s="47">
        <f t="shared" si="6"/>
        <v>195</v>
      </c>
      <c r="B196" s="48" t="s">
        <v>426</v>
      </c>
      <c r="C196" s="49">
        <f>IFERROR(VLOOKUP(B196,[1]工程研发事业部人员名单!B:D,2,0),"")</f>
        <v>51175</v>
      </c>
      <c r="D196" s="50" t="str">
        <f>IFERROR(VLOOKUP(B196,[1]工程研发事业部人员名单!B:D,3,0),"")</f>
        <v>强度室</v>
      </c>
      <c r="E196" s="51" t="s">
        <v>178</v>
      </c>
      <c r="F196" s="52">
        <f t="shared" si="7"/>
        <v>37.5</v>
      </c>
      <c r="G196" s="53"/>
      <c r="H196" s="53"/>
      <c r="I196" s="53">
        <v>37.5</v>
      </c>
      <c r="J196" s="53"/>
      <c r="K196" s="57" t="s">
        <v>277</v>
      </c>
      <c r="L196" s="57" t="s">
        <v>284</v>
      </c>
      <c r="M196" s="59" t="s">
        <v>714</v>
      </c>
      <c r="N196" s="58" t="e">
        <f>VLOOKUP(E196,订单号!B:C,2,0)</f>
        <v>#N/A</v>
      </c>
      <c r="O196" s="35" t="e">
        <f>VLOOKUP(C196,领导干部!B:B,1,0)</f>
        <v>#N/A</v>
      </c>
    </row>
    <row r="197" s="35" customFormat="1" customHeight="1" spans="1:15">
      <c r="A197" s="47">
        <f t="shared" si="6"/>
        <v>196</v>
      </c>
      <c r="B197" s="48" t="s">
        <v>341</v>
      </c>
      <c r="C197" s="49">
        <f>IFERROR(VLOOKUP(B197,[1]工程研发事业部人员名单!B:D,2,0),"")</f>
        <v>51793</v>
      </c>
      <c r="D197" s="50" t="str">
        <f>IFERROR(VLOOKUP(B197,[1]工程研发事业部人员名单!B:D,3,0),"")</f>
        <v>强度室</v>
      </c>
      <c r="E197" s="51" t="s">
        <v>178</v>
      </c>
      <c r="F197" s="52">
        <f t="shared" si="7"/>
        <v>27.5</v>
      </c>
      <c r="G197" s="53"/>
      <c r="H197" s="53"/>
      <c r="I197" s="53">
        <v>27.5</v>
      </c>
      <c r="J197" s="53"/>
      <c r="K197" s="57" t="s">
        <v>277</v>
      </c>
      <c r="L197" s="57" t="s">
        <v>284</v>
      </c>
      <c r="M197" s="81" t="s">
        <v>715</v>
      </c>
      <c r="N197" s="58" t="e">
        <f>VLOOKUP(E197,订单号!B:C,2,0)</f>
        <v>#N/A</v>
      </c>
      <c r="O197" s="35" t="e">
        <f>VLOOKUP(C197,领导干部!B:B,1,0)</f>
        <v>#N/A</v>
      </c>
    </row>
    <row r="198" s="35" customFormat="1" customHeight="1" spans="1:15">
      <c r="A198" s="47">
        <f t="shared" si="6"/>
        <v>197</v>
      </c>
      <c r="B198" s="48" t="s">
        <v>244</v>
      </c>
      <c r="C198" s="49">
        <f>IFERROR(VLOOKUP(B198,[1]工程研发事业部人员名单!B:D,2,0),"")</f>
        <v>51555</v>
      </c>
      <c r="D198" s="50" t="str">
        <f>IFERROR(VLOOKUP(B198,[1]工程研发事业部人员名单!B:D,3,0),"")</f>
        <v>联络工程室</v>
      </c>
      <c r="E198" s="51" t="s">
        <v>178</v>
      </c>
      <c r="F198" s="52">
        <f t="shared" si="7"/>
        <v>100</v>
      </c>
      <c r="G198" s="53">
        <v>100</v>
      </c>
      <c r="H198" s="53"/>
      <c r="I198" s="53"/>
      <c r="J198" s="53"/>
      <c r="K198" s="57" t="s">
        <v>277</v>
      </c>
      <c r="L198" s="57" t="s">
        <v>284</v>
      </c>
      <c r="M198" s="81" t="s">
        <v>716</v>
      </c>
      <c r="N198" s="58" t="e">
        <f>VLOOKUP(E198,订单号!B:C,2,0)</f>
        <v>#N/A</v>
      </c>
      <c r="O198" s="35" t="e">
        <f>VLOOKUP(C198,领导干部!B:B,1,0)</f>
        <v>#N/A</v>
      </c>
    </row>
    <row r="199" s="35" customFormat="1" customHeight="1" spans="1:15">
      <c r="A199" s="47">
        <f t="shared" si="6"/>
        <v>198</v>
      </c>
      <c r="B199" s="48" t="s">
        <v>56</v>
      </c>
      <c r="C199" s="49">
        <f>IFERROR(VLOOKUP(B199,[1]工程研发事业部人员名单!B:D,2,0),"")</f>
        <v>52560</v>
      </c>
      <c r="D199" s="50" t="str">
        <f>IFERROR(VLOOKUP(B199,[1]工程研发事业部人员名单!B:D,3,0),"")</f>
        <v>强度室</v>
      </c>
      <c r="E199" s="51" t="s">
        <v>178</v>
      </c>
      <c r="F199" s="52">
        <f t="shared" si="7"/>
        <v>40</v>
      </c>
      <c r="G199" s="53"/>
      <c r="H199" s="53"/>
      <c r="I199" s="53">
        <v>40</v>
      </c>
      <c r="J199" s="53"/>
      <c r="K199" s="57" t="s">
        <v>277</v>
      </c>
      <c r="L199" s="57" t="s">
        <v>284</v>
      </c>
      <c r="M199" s="81" t="s">
        <v>717</v>
      </c>
      <c r="N199" s="58" t="e">
        <f>VLOOKUP(E199,订单号!B:C,2,0)</f>
        <v>#N/A</v>
      </c>
      <c r="O199" s="35" t="e">
        <f>VLOOKUP(C199,领导干部!B:B,1,0)</f>
        <v>#N/A</v>
      </c>
    </row>
    <row r="200" s="35" customFormat="1" customHeight="1" spans="1:15">
      <c r="A200" s="47">
        <f t="shared" si="6"/>
        <v>199</v>
      </c>
      <c r="B200" s="48" t="s">
        <v>670</v>
      </c>
      <c r="C200" s="49">
        <f>IFERROR(VLOOKUP(B200,[1]工程研发事业部人员名单!B:D,2,0),"")</f>
        <v>51200</v>
      </c>
      <c r="D200" s="50" t="str">
        <f>IFERROR(VLOOKUP(B200,[1]工程研发事业部人员名单!B:D,3,0),"")</f>
        <v>强度室</v>
      </c>
      <c r="E200" s="51" t="s">
        <v>178</v>
      </c>
      <c r="F200" s="52">
        <f t="shared" si="7"/>
        <v>20</v>
      </c>
      <c r="G200" s="53"/>
      <c r="H200" s="53"/>
      <c r="I200" s="53">
        <v>20</v>
      </c>
      <c r="J200" s="53"/>
      <c r="K200" s="57" t="s">
        <v>277</v>
      </c>
      <c r="L200" s="57" t="s">
        <v>284</v>
      </c>
      <c r="M200" s="81" t="s">
        <v>718</v>
      </c>
      <c r="N200" s="58" t="e">
        <f>VLOOKUP(E200,订单号!B:C,2,0)</f>
        <v>#N/A</v>
      </c>
      <c r="O200" s="35" t="e">
        <f>VLOOKUP(C200,领导干部!B:B,1,0)</f>
        <v>#N/A</v>
      </c>
    </row>
    <row r="201" s="35" customFormat="1" customHeight="1" spans="1:15">
      <c r="A201" s="47">
        <f t="shared" si="6"/>
        <v>200</v>
      </c>
      <c r="B201" s="48" t="s">
        <v>410</v>
      </c>
      <c r="C201" s="49">
        <f>IFERROR(VLOOKUP(B201,[1]工程研发事业部人员名单!B:D,2,0),"")</f>
        <v>51196</v>
      </c>
      <c r="D201" s="50" t="str">
        <f>IFERROR(VLOOKUP(B201,[1]工程研发事业部人员名单!B:D,3,0),"")</f>
        <v>强度室</v>
      </c>
      <c r="E201" s="51" t="s">
        <v>178</v>
      </c>
      <c r="F201" s="52">
        <f t="shared" si="7"/>
        <v>20</v>
      </c>
      <c r="G201" s="53"/>
      <c r="H201" s="53"/>
      <c r="I201" s="53">
        <v>20</v>
      </c>
      <c r="J201" s="53"/>
      <c r="K201" s="57" t="s">
        <v>277</v>
      </c>
      <c r="L201" s="57" t="s">
        <v>284</v>
      </c>
      <c r="M201" s="81" t="s">
        <v>719</v>
      </c>
      <c r="N201" s="58" t="e">
        <f>VLOOKUP(E201,订单号!B:C,2,0)</f>
        <v>#N/A</v>
      </c>
      <c r="O201" s="35" t="e">
        <f>VLOOKUP(C201,领导干部!B:B,1,0)</f>
        <v>#N/A</v>
      </c>
    </row>
    <row r="202" s="35" customFormat="1" customHeight="1" spans="1:15">
      <c r="A202" s="47">
        <f t="shared" si="6"/>
        <v>201</v>
      </c>
      <c r="B202" s="48" t="s">
        <v>389</v>
      </c>
      <c r="C202" s="49">
        <f>IFERROR(VLOOKUP(B202,[1]工程研发事业部人员名单!B:D,2,0),"")</f>
        <v>22291</v>
      </c>
      <c r="D202" s="50" t="str">
        <f>IFERROR(VLOOKUP(B202,[1]工程研发事业部人员名单!B:D,3,0),"")</f>
        <v>综合技术室</v>
      </c>
      <c r="E202" s="73" t="s">
        <v>178</v>
      </c>
      <c r="F202" s="52">
        <f t="shared" si="7"/>
        <v>100</v>
      </c>
      <c r="G202" s="72"/>
      <c r="H202" s="72">
        <v>100</v>
      </c>
      <c r="I202" s="72"/>
      <c r="J202" s="72"/>
      <c r="K202" s="48" t="s">
        <v>277</v>
      </c>
      <c r="L202" s="48" t="s">
        <v>284</v>
      </c>
      <c r="M202" s="81" t="s">
        <v>720</v>
      </c>
      <c r="N202" s="58" t="e">
        <f>VLOOKUP(E202,订单号!B:C,2,0)</f>
        <v>#N/A</v>
      </c>
      <c r="O202" s="35" t="e">
        <f>VLOOKUP(C202,领导干部!B:B,1,0)</f>
        <v>#N/A</v>
      </c>
    </row>
    <row r="203" s="35" customFormat="1" customHeight="1" spans="1:15">
      <c r="A203" s="47">
        <f t="shared" si="6"/>
        <v>202</v>
      </c>
      <c r="B203" s="48" t="s">
        <v>341</v>
      </c>
      <c r="C203" s="49">
        <f>IFERROR(VLOOKUP(B203,[1]工程研发事业部人员名单!B:D,2,0),"")</f>
        <v>51793</v>
      </c>
      <c r="D203" s="50" t="str">
        <f>IFERROR(VLOOKUP(B203,[1]工程研发事业部人员名单!B:D,3,0),"")</f>
        <v>强度室</v>
      </c>
      <c r="E203" s="73" t="s">
        <v>176</v>
      </c>
      <c r="F203" s="52">
        <f t="shared" si="7"/>
        <v>180</v>
      </c>
      <c r="G203" s="72"/>
      <c r="H203" s="72"/>
      <c r="I203" s="72">
        <v>180</v>
      </c>
      <c r="J203" s="72"/>
      <c r="K203" s="48" t="s">
        <v>277</v>
      </c>
      <c r="L203" s="48" t="s">
        <v>709</v>
      </c>
      <c r="M203" s="82" t="s">
        <v>721</v>
      </c>
      <c r="N203" s="58" t="e">
        <f>VLOOKUP(E203,订单号!B:C,2,0)</f>
        <v>#N/A</v>
      </c>
      <c r="O203" s="35" t="e">
        <f>VLOOKUP(C203,领导干部!B:B,1,0)</f>
        <v>#N/A</v>
      </c>
    </row>
    <row r="204" s="35" customFormat="1" customHeight="1" spans="1:15">
      <c r="A204" s="47">
        <f t="shared" si="6"/>
        <v>203</v>
      </c>
      <c r="B204" s="48" t="s">
        <v>289</v>
      </c>
      <c r="C204" s="49">
        <f>IFERROR(VLOOKUP(B204,[1]工程研发事业部人员名单!B:D,2,0),"")</f>
        <v>22259</v>
      </c>
      <c r="D204" s="50" t="str">
        <f>IFERROR(VLOOKUP(B204,[1]工程研发事业部人员名单!B:D,3,0),"")</f>
        <v>强度室</v>
      </c>
      <c r="E204" s="73" t="s">
        <v>176</v>
      </c>
      <c r="F204" s="52">
        <f t="shared" si="7"/>
        <v>100</v>
      </c>
      <c r="G204" s="72"/>
      <c r="H204" s="72"/>
      <c r="I204" s="72">
        <v>100</v>
      </c>
      <c r="J204" s="72"/>
      <c r="K204" s="48" t="s">
        <v>277</v>
      </c>
      <c r="L204" s="48" t="s">
        <v>709</v>
      </c>
      <c r="M204" s="81" t="s">
        <v>722</v>
      </c>
      <c r="N204" s="58" t="e">
        <f>VLOOKUP(E204,订单号!B:C,2,0)</f>
        <v>#N/A</v>
      </c>
      <c r="O204" s="35" t="e">
        <f>VLOOKUP(C204,领导干部!B:B,1,0)</f>
        <v>#N/A</v>
      </c>
    </row>
    <row r="205" s="35" customFormat="1" customHeight="1" spans="1:15">
      <c r="A205" s="47">
        <f t="shared" si="6"/>
        <v>204</v>
      </c>
      <c r="B205" s="48" t="s">
        <v>286</v>
      </c>
      <c r="C205" s="49">
        <f>IFERROR(VLOOKUP(B205,[1]工程研发事业部人员名单!B:D,2,0),"")</f>
        <v>51158</v>
      </c>
      <c r="D205" s="50" t="str">
        <f>IFERROR(VLOOKUP(B205,[1]工程研发事业部人员名单!B:D,3,0),"")</f>
        <v>强度室</v>
      </c>
      <c r="E205" s="73" t="s">
        <v>176</v>
      </c>
      <c r="F205" s="52">
        <f t="shared" si="7"/>
        <v>200</v>
      </c>
      <c r="G205" s="72"/>
      <c r="H205" s="72"/>
      <c r="I205" s="72">
        <v>200</v>
      </c>
      <c r="J205" s="72"/>
      <c r="K205" s="48" t="s">
        <v>277</v>
      </c>
      <c r="L205" s="48" t="s">
        <v>723</v>
      </c>
      <c r="M205" s="81" t="s">
        <v>724</v>
      </c>
      <c r="N205" s="58" t="e">
        <f>VLOOKUP(E205,订单号!B:C,2,0)</f>
        <v>#N/A</v>
      </c>
      <c r="O205" s="35" t="e">
        <f>VLOOKUP(C205,领导干部!B:B,1,0)</f>
        <v>#N/A</v>
      </c>
    </row>
    <row r="206" s="35" customFormat="1" customHeight="1" spans="1:15">
      <c r="A206" s="47">
        <f t="shared" si="6"/>
        <v>205</v>
      </c>
      <c r="B206" s="54" t="s">
        <v>347</v>
      </c>
      <c r="C206" s="49">
        <f>IFERROR(VLOOKUP(B206,[1]工程研发事业部人员名单!B:D,2,0),"")</f>
        <v>51589</v>
      </c>
      <c r="D206" s="50" t="str">
        <f>IFERROR(VLOOKUP(B206,[1]工程研发事业部人员名单!B:D,3,0),"")</f>
        <v>强度室</v>
      </c>
      <c r="E206" s="74" t="s">
        <v>177</v>
      </c>
      <c r="F206" s="52">
        <f t="shared" si="7"/>
        <v>130</v>
      </c>
      <c r="G206" s="75"/>
      <c r="H206" s="75"/>
      <c r="I206" s="75">
        <v>130</v>
      </c>
      <c r="J206" s="75"/>
      <c r="K206" s="74" t="s">
        <v>277</v>
      </c>
      <c r="L206" s="54" t="s">
        <v>725</v>
      </c>
      <c r="M206" s="83" t="s">
        <v>726</v>
      </c>
      <c r="N206" s="58" t="str">
        <f>VLOOKUP(E206,订单号!B:C,2,0)</f>
        <v>YZ40000680</v>
      </c>
      <c r="O206" s="35" t="e">
        <f>VLOOKUP(C206,领导干部!B:B,1,0)</f>
        <v>#N/A</v>
      </c>
    </row>
    <row r="207" s="35" customFormat="1" customHeight="1" spans="1:15">
      <c r="A207" s="47">
        <f t="shared" si="6"/>
        <v>206</v>
      </c>
      <c r="B207" s="54" t="s">
        <v>486</v>
      </c>
      <c r="C207" s="49">
        <f>IFERROR(VLOOKUP(B207,[1]工程研发事业部人员名单!B:D,2,0),"")</f>
        <v>28161</v>
      </c>
      <c r="D207" s="50" t="str">
        <f>IFERROR(VLOOKUP(B207,[1]工程研发事业部人员名单!B:D,3,0),"")</f>
        <v>强度室</v>
      </c>
      <c r="E207" s="74" t="s">
        <v>177</v>
      </c>
      <c r="F207" s="52">
        <f t="shared" si="7"/>
        <v>130</v>
      </c>
      <c r="G207" s="75"/>
      <c r="H207" s="75"/>
      <c r="I207" s="75">
        <v>130</v>
      </c>
      <c r="J207" s="75"/>
      <c r="K207" s="74" t="s">
        <v>277</v>
      </c>
      <c r="L207" s="54" t="s">
        <v>725</v>
      </c>
      <c r="M207" s="83" t="s">
        <v>727</v>
      </c>
      <c r="N207" s="58" t="str">
        <f>VLOOKUP(E207,订单号!B:C,2,0)</f>
        <v>YZ40000680</v>
      </c>
      <c r="O207" s="35" t="e">
        <f>VLOOKUP(C207,领导干部!B:B,1,0)</f>
        <v>#N/A</v>
      </c>
    </row>
    <row r="208" s="35" customFormat="1" customHeight="1" spans="1:15">
      <c r="A208" s="47">
        <f t="shared" si="6"/>
        <v>207</v>
      </c>
      <c r="B208" s="54" t="s">
        <v>294</v>
      </c>
      <c r="C208" s="49">
        <f>IFERROR(VLOOKUP(B208,[1]工程研发事业部人员名单!B:D,2,0),"")</f>
        <v>50726</v>
      </c>
      <c r="D208" s="50" t="str">
        <f>IFERROR(VLOOKUP(B208,[1]工程研发事业部人员名单!B:D,3,0),"")</f>
        <v>强度室</v>
      </c>
      <c r="E208" s="74" t="s">
        <v>177</v>
      </c>
      <c r="F208" s="52">
        <f t="shared" si="7"/>
        <v>40</v>
      </c>
      <c r="G208" s="75"/>
      <c r="H208" s="75"/>
      <c r="I208" s="75">
        <v>40</v>
      </c>
      <c r="J208" s="75"/>
      <c r="K208" s="74" t="s">
        <v>277</v>
      </c>
      <c r="L208" s="54" t="s">
        <v>725</v>
      </c>
      <c r="M208" s="83" t="s">
        <v>728</v>
      </c>
      <c r="N208" s="58" t="str">
        <f>VLOOKUP(E208,订单号!B:C,2,0)</f>
        <v>YZ40000680</v>
      </c>
      <c r="O208" s="35" t="e">
        <f>VLOOKUP(C208,领导干部!B:B,1,0)</f>
        <v>#N/A</v>
      </c>
    </row>
    <row r="209" s="35" customFormat="1" customHeight="1" spans="1:15">
      <c r="A209" s="47">
        <f t="shared" si="6"/>
        <v>208</v>
      </c>
      <c r="B209" s="54" t="s">
        <v>286</v>
      </c>
      <c r="C209" s="49">
        <f>IFERROR(VLOOKUP(B209,[1]工程研发事业部人员名单!B:D,2,0),"")</f>
        <v>51158</v>
      </c>
      <c r="D209" s="50" t="str">
        <f>IFERROR(VLOOKUP(B209,[1]工程研发事业部人员名单!B:D,3,0),"")</f>
        <v>强度室</v>
      </c>
      <c r="E209" s="74" t="s">
        <v>177</v>
      </c>
      <c r="F209" s="52">
        <f t="shared" si="7"/>
        <v>10</v>
      </c>
      <c r="G209" s="75"/>
      <c r="H209" s="75"/>
      <c r="I209" s="75">
        <v>10</v>
      </c>
      <c r="J209" s="75"/>
      <c r="K209" s="74" t="s">
        <v>277</v>
      </c>
      <c r="L209" s="54" t="s">
        <v>725</v>
      </c>
      <c r="M209" s="83" t="s">
        <v>729</v>
      </c>
      <c r="N209" s="58" t="str">
        <f>VLOOKUP(E209,订单号!B:C,2,0)</f>
        <v>YZ40000680</v>
      </c>
      <c r="O209" s="35" t="e">
        <f>VLOOKUP(C209,领导干部!B:B,1,0)</f>
        <v>#N/A</v>
      </c>
    </row>
    <row r="210" s="35" customFormat="1" customHeight="1" spans="1:15">
      <c r="A210" s="47">
        <f t="shared" si="6"/>
        <v>209</v>
      </c>
      <c r="B210" s="54" t="s">
        <v>358</v>
      </c>
      <c r="C210" s="49">
        <f>IFERROR(VLOOKUP(B210,[1]工程研发事业部人员名单!B:D,2,0),"")</f>
        <v>51387</v>
      </c>
      <c r="D210" s="50" t="str">
        <f>IFERROR(VLOOKUP(B210,[1]工程研发事业部人员名单!B:D,3,0),"")</f>
        <v>系统室</v>
      </c>
      <c r="E210" s="74" t="s">
        <v>177</v>
      </c>
      <c r="F210" s="52">
        <f t="shared" si="7"/>
        <v>80</v>
      </c>
      <c r="G210" s="75"/>
      <c r="H210" s="75"/>
      <c r="I210" s="75">
        <v>80</v>
      </c>
      <c r="J210" s="75"/>
      <c r="K210" s="74" t="s">
        <v>378</v>
      </c>
      <c r="L210" s="54" t="s">
        <v>725</v>
      </c>
      <c r="M210" s="83" t="s">
        <v>730</v>
      </c>
      <c r="N210" s="58" t="str">
        <f>VLOOKUP(E210,订单号!B:C,2,0)</f>
        <v>YZ40000680</v>
      </c>
      <c r="O210" s="35" t="e">
        <f>VLOOKUP(C210,领导干部!B:B,1,0)</f>
        <v>#N/A</v>
      </c>
    </row>
    <row r="211" s="35" customFormat="1" customHeight="1" spans="1:15">
      <c r="A211" s="47">
        <f t="shared" si="6"/>
        <v>210</v>
      </c>
      <c r="B211" s="54" t="s">
        <v>282</v>
      </c>
      <c r="C211" s="49">
        <f>IFERROR(VLOOKUP(B211,[1]工程研发事业部人员名单!B:D,2,0),"")</f>
        <v>52342</v>
      </c>
      <c r="D211" s="50" t="str">
        <f>IFERROR(VLOOKUP(B211,[1]工程研发事业部人员名单!B:D,3,0),"")</f>
        <v>强度室</v>
      </c>
      <c r="E211" s="74" t="s">
        <v>177</v>
      </c>
      <c r="F211" s="52">
        <f t="shared" si="7"/>
        <v>50</v>
      </c>
      <c r="G211" s="75"/>
      <c r="H211" s="75"/>
      <c r="I211" s="75">
        <v>50</v>
      </c>
      <c r="J211" s="75"/>
      <c r="K211" s="74" t="s">
        <v>277</v>
      </c>
      <c r="L211" s="54" t="s">
        <v>731</v>
      </c>
      <c r="M211" s="83" t="s">
        <v>732</v>
      </c>
      <c r="N211" s="58" t="str">
        <f>VLOOKUP(E211,订单号!B:C,2,0)</f>
        <v>YZ40000680</v>
      </c>
      <c r="O211" s="35" t="e">
        <f>VLOOKUP(C211,领导干部!B:B,1,0)</f>
        <v>#N/A</v>
      </c>
    </row>
    <row r="212" s="35" customFormat="1" customHeight="1" spans="1:15">
      <c r="A212" s="47">
        <f t="shared" si="6"/>
        <v>211</v>
      </c>
      <c r="B212" s="54" t="s">
        <v>313</v>
      </c>
      <c r="C212" s="49">
        <f>IFERROR(VLOOKUP(B212,[1]工程研发事业部人员名单!B:D,2,0),"")</f>
        <v>23524</v>
      </c>
      <c r="D212" s="50" t="str">
        <f>IFERROR(VLOOKUP(B212,[1]工程研发事业部人员名单!B:D,3,0),"")</f>
        <v>强度室</v>
      </c>
      <c r="E212" s="74" t="s">
        <v>177</v>
      </c>
      <c r="F212" s="52">
        <f t="shared" si="7"/>
        <v>60</v>
      </c>
      <c r="G212" s="75"/>
      <c r="H212" s="75"/>
      <c r="I212" s="75">
        <v>60</v>
      </c>
      <c r="J212" s="75"/>
      <c r="K212" s="74" t="s">
        <v>277</v>
      </c>
      <c r="L212" s="54" t="s">
        <v>731</v>
      </c>
      <c r="M212" s="83" t="s">
        <v>733</v>
      </c>
      <c r="N212" s="58" t="str">
        <f>VLOOKUP(E212,订单号!B:C,2,0)</f>
        <v>YZ40000680</v>
      </c>
      <c r="O212" s="35" t="e">
        <f>VLOOKUP(C212,领导干部!B:B,1,0)</f>
        <v>#N/A</v>
      </c>
    </row>
    <row r="213" s="35" customFormat="1" customHeight="1" spans="1:15">
      <c r="A213" s="47">
        <f t="shared" si="6"/>
        <v>212</v>
      </c>
      <c r="B213" s="54" t="s">
        <v>347</v>
      </c>
      <c r="C213" s="49">
        <f>IFERROR(VLOOKUP(B213,[1]工程研发事业部人员名单!B:D,2,0),"")</f>
        <v>51589</v>
      </c>
      <c r="D213" s="50" t="str">
        <f>IFERROR(VLOOKUP(B213,[1]工程研发事业部人员名单!B:D,3,0),"")</f>
        <v>强度室</v>
      </c>
      <c r="E213" s="74" t="s">
        <v>177</v>
      </c>
      <c r="F213" s="52">
        <f t="shared" si="7"/>
        <v>80</v>
      </c>
      <c r="G213" s="75"/>
      <c r="H213" s="75"/>
      <c r="I213" s="75">
        <v>80</v>
      </c>
      <c r="J213" s="75"/>
      <c r="K213" s="74" t="s">
        <v>277</v>
      </c>
      <c r="L213" s="54" t="s">
        <v>731</v>
      </c>
      <c r="M213" s="83" t="s">
        <v>734</v>
      </c>
      <c r="N213" s="58" t="str">
        <f>VLOOKUP(E213,订单号!B:C,2,0)</f>
        <v>YZ40000680</v>
      </c>
      <c r="O213" s="35" t="e">
        <f>VLOOKUP(C213,领导干部!B:B,1,0)</f>
        <v>#N/A</v>
      </c>
    </row>
    <row r="214" s="35" customFormat="1" customHeight="1" spans="1:15">
      <c r="A214" s="47">
        <f t="shared" si="6"/>
        <v>213</v>
      </c>
      <c r="B214" s="54" t="s">
        <v>380</v>
      </c>
      <c r="C214" s="49">
        <f>IFERROR(VLOOKUP(B214,[1]工程研发事业部人员名单!B:D,2,0),"")</f>
        <v>50722</v>
      </c>
      <c r="D214" s="50" t="str">
        <f>IFERROR(VLOOKUP(B214,[1]工程研发事业部人员名单!B:D,3,0),"")</f>
        <v>强度室</v>
      </c>
      <c r="E214" s="74" t="s">
        <v>177</v>
      </c>
      <c r="F214" s="52">
        <f t="shared" si="7"/>
        <v>50</v>
      </c>
      <c r="G214" s="75"/>
      <c r="H214" s="75"/>
      <c r="I214" s="75">
        <v>50</v>
      </c>
      <c r="J214" s="75"/>
      <c r="K214" s="74" t="s">
        <v>277</v>
      </c>
      <c r="L214" s="54" t="s">
        <v>731</v>
      </c>
      <c r="M214" s="84" t="s">
        <v>735</v>
      </c>
      <c r="N214" s="58" t="str">
        <f>VLOOKUP(E214,订单号!B:C,2,0)</f>
        <v>YZ40000680</v>
      </c>
      <c r="O214" s="35" t="e">
        <f>VLOOKUP(C214,领导干部!B:B,1,0)</f>
        <v>#N/A</v>
      </c>
    </row>
    <row r="215" s="35" customFormat="1" customHeight="1" spans="1:15">
      <c r="A215" s="47">
        <f t="shared" si="6"/>
        <v>214</v>
      </c>
      <c r="B215" s="54" t="s">
        <v>346</v>
      </c>
      <c r="C215" s="49">
        <f>IFERROR(VLOOKUP(B215,[1]工程研发事业部人员名单!B:D,2,0),"")</f>
        <v>52130</v>
      </c>
      <c r="D215" s="50" t="str">
        <f>IFERROR(VLOOKUP(B215,[1]工程研发事业部人员名单!B:D,3,0),"")</f>
        <v>强度室</v>
      </c>
      <c r="E215" s="74" t="s">
        <v>177</v>
      </c>
      <c r="F215" s="52">
        <f t="shared" si="7"/>
        <v>50</v>
      </c>
      <c r="G215" s="75"/>
      <c r="H215" s="75"/>
      <c r="I215" s="75">
        <v>50</v>
      </c>
      <c r="J215" s="75"/>
      <c r="K215" s="74" t="s">
        <v>277</v>
      </c>
      <c r="L215" s="54" t="s">
        <v>731</v>
      </c>
      <c r="M215" s="83" t="s">
        <v>736</v>
      </c>
      <c r="N215" s="58" t="str">
        <f>VLOOKUP(E215,订单号!B:C,2,0)</f>
        <v>YZ40000680</v>
      </c>
      <c r="O215" s="35" t="e">
        <f>VLOOKUP(C215,领导干部!B:B,1,0)</f>
        <v>#N/A</v>
      </c>
    </row>
    <row r="216" s="35" customFormat="1" customHeight="1" spans="1:15">
      <c r="A216" s="47">
        <f t="shared" si="6"/>
        <v>215</v>
      </c>
      <c r="B216" s="54" t="s">
        <v>240</v>
      </c>
      <c r="C216" s="49">
        <f>IFERROR(VLOOKUP(B216,[1]工程研发事业部人员名单!B:D,2,0),"")</f>
        <v>51170</v>
      </c>
      <c r="D216" s="50" t="str">
        <f>IFERROR(VLOOKUP(B216,[1]工程研发事业部人员名单!B:D,3,0),"")</f>
        <v>结构二室</v>
      </c>
      <c r="E216" s="74" t="s">
        <v>177</v>
      </c>
      <c r="F216" s="52">
        <f t="shared" si="7"/>
        <v>60</v>
      </c>
      <c r="G216" s="75"/>
      <c r="H216" s="75"/>
      <c r="I216" s="75">
        <v>60</v>
      </c>
      <c r="J216" s="75"/>
      <c r="K216" s="74" t="s">
        <v>277</v>
      </c>
      <c r="L216" s="54" t="s">
        <v>731</v>
      </c>
      <c r="M216" s="83" t="s">
        <v>737</v>
      </c>
      <c r="N216" s="58" t="str">
        <f>VLOOKUP(E216,订单号!B:C,2,0)</f>
        <v>YZ40000680</v>
      </c>
      <c r="O216" s="35" t="e">
        <f>VLOOKUP(C216,领导干部!B:B,1,0)</f>
        <v>#N/A</v>
      </c>
    </row>
    <row r="217" s="35" customFormat="1" customHeight="1" spans="1:15">
      <c r="A217" s="47">
        <f t="shared" si="6"/>
        <v>216</v>
      </c>
      <c r="B217" s="54" t="s">
        <v>373</v>
      </c>
      <c r="C217" s="49">
        <f>IFERROR(VLOOKUP(B217,[1]工程研发事业部人员名单!B:D,2,0),"")</f>
        <v>51234</v>
      </c>
      <c r="D217" s="50" t="str">
        <f>IFERROR(VLOOKUP(B217,[1]工程研发事业部人员名单!B:D,3,0),"")</f>
        <v>结构二室</v>
      </c>
      <c r="E217" s="74" t="s">
        <v>177</v>
      </c>
      <c r="F217" s="52">
        <f t="shared" si="7"/>
        <v>50</v>
      </c>
      <c r="G217" s="75"/>
      <c r="H217" s="75"/>
      <c r="I217" s="75">
        <v>50</v>
      </c>
      <c r="J217" s="75"/>
      <c r="K217" s="74" t="s">
        <v>277</v>
      </c>
      <c r="L217" s="54" t="s">
        <v>731</v>
      </c>
      <c r="M217" s="83" t="s">
        <v>738</v>
      </c>
      <c r="N217" s="58" t="str">
        <f>VLOOKUP(E217,订单号!B:C,2,0)</f>
        <v>YZ40000680</v>
      </c>
      <c r="O217" s="35" t="e">
        <f>VLOOKUP(C217,领导干部!B:B,1,0)</f>
        <v>#N/A</v>
      </c>
    </row>
    <row r="218" s="35" customFormat="1" customHeight="1" spans="1:15">
      <c r="A218" s="47">
        <f t="shared" si="6"/>
        <v>217</v>
      </c>
      <c r="B218" s="54" t="s">
        <v>339</v>
      </c>
      <c r="C218" s="49">
        <f>IFERROR(VLOOKUP(B218,[1]工程研发事业部人员名单!B:D,2,0),"")</f>
        <v>50874</v>
      </c>
      <c r="D218" s="50" t="str">
        <f>IFERROR(VLOOKUP(B218,[1]工程研发事业部人员名单!B:D,3,0),"")</f>
        <v>总体室</v>
      </c>
      <c r="E218" s="74" t="s">
        <v>177</v>
      </c>
      <c r="F218" s="52">
        <f t="shared" si="7"/>
        <v>50</v>
      </c>
      <c r="G218" s="75"/>
      <c r="H218" s="75"/>
      <c r="I218" s="75">
        <v>50</v>
      </c>
      <c r="J218" s="75"/>
      <c r="K218" s="74" t="s">
        <v>277</v>
      </c>
      <c r="L218" s="54" t="s">
        <v>731</v>
      </c>
      <c r="M218" s="83" t="s">
        <v>739</v>
      </c>
      <c r="N218" s="58" t="str">
        <f>VLOOKUP(E218,订单号!B:C,2,0)</f>
        <v>YZ40000680</v>
      </c>
      <c r="O218" s="35" t="e">
        <f>VLOOKUP(C218,领导干部!B:B,1,0)</f>
        <v>#N/A</v>
      </c>
    </row>
    <row r="219" s="35" customFormat="1" customHeight="1" spans="1:15">
      <c r="A219" s="47">
        <f t="shared" si="6"/>
        <v>218</v>
      </c>
      <c r="B219" s="54" t="s">
        <v>440</v>
      </c>
      <c r="C219" s="49">
        <f>IFERROR(VLOOKUP(B219,[1]工程研发事业部人员名单!B:D,2,0),"")</f>
        <v>50716</v>
      </c>
      <c r="D219" s="50" t="str">
        <f>IFERROR(VLOOKUP(B219,[1]工程研发事业部人员名单!B:D,3,0),"")</f>
        <v>强度室</v>
      </c>
      <c r="E219" s="74" t="s">
        <v>177</v>
      </c>
      <c r="F219" s="52">
        <f t="shared" si="7"/>
        <v>50</v>
      </c>
      <c r="G219" s="75"/>
      <c r="H219" s="75"/>
      <c r="I219" s="75">
        <v>50</v>
      </c>
      <c r="J219" s="75"/>
      <c r="K219" s="74" t="s">
        <v>277</v>
      </c>
      <c r="L219" s="54" t="s">
        <v>731</v>
      </c>
      <c r="M219" s="83" t="s">
        <v>740</v>
      </c>
      <c r="N219" s="58" t="str">
        <f>VLOOKUP(E219,订单号!B:C,2,0)</f>
        <v>YZ40000680</v>
      </c>
      <c r="O219" s="35" t="e">
        <f>VLOOKUP(C219,领导干部!B:B,1,0)</f>
        <v>#N/A</v>
      </c>
    </row>
    <row r="220" s="35" customFormat="1" customHeight="1" spans="1:15">
      <c r="A220" s="47">
        <f t="shared" si="6"/>
        <v>219</v>
      </c>
      <c r="B220" s="54" t="s">
        <v>344</v>
      </c>
      <c r="C220" s="49">
        <f>IFERROR(VLOOKUP(B220,[1]工程研发事业部人员名单!B:D,2,0),"")</f>
        <v>51591</v>
      </c>
      <c r="D220" s="50" t="str">
        <f>IFERROR(VLOOKUP(B220,[1]工程研发事业部人员名单!B:D,3,0),"")</f>
        <v>总体室</v>
      </c>
      <c r="E220" s="76" t="s">
        <v>177</v>
      </c>
      <c r="F220" s="52">
        <f t="shared" si="7"/>
        <v>100</v>
      </c>
      <c r="G220" s="60"/>
      <c r="H220" s="60"/>
      <c r="I220" s="60">
        <v>100</v>
      </c>
      <c r="J220" s="60"/>
      <c r="K220" s="76" t="s">
        <v>277</v>
      </c>
      <c r="L220" s="85" t="s">
        <v>731</v>
      </c>
      <c r="M220" s="61" t="s">
        <v>741</v>
      </c>
      <c r="N220" s="58" t="str">
        <f>VLOOKUP(E220,订单号!B:C,2,0)</f>
        <v>YZ40000680</v>
      </c>
      <c r="O220" s="35" t="e">
        <f>VLOOKUP(C220,领导干部!B:B,1,0)</f>
        <v>#N/A</v>
      </c>
    </row>
    <row r="221" s="35" customFormat="1" customHeight="1" spans="1:15">
      <c r="A221" s="47">
        <f t="shared" si="6"/>
        <v>220</v>
      </c>
      <c r="B221" s="54" t="s">
        <v>282</v>
      </c>
      <c r="C221" s="49">
        <f>IFERROR(VLOOKUP(B221,[1]工程研发事业部人员名单!B:D,2,0),"")</f>
        <v>52342</v>
      </c>
      <c r="D221" s="50" t="str">
        <f>IFERROR(VLOOKUP(B221,[1]工程研发事业部人员名单!B:D,3,0),"")</f>
        <v>强度室</v>
      </c>
      <c r="E221" s="74" t="s">
        <v>177</v>
      </c>
      <c r="F221" s="52">
        <f t="shared" si="7"/>
        <v>150</v>
      </c>
      <c r="G221" s="75"/>
      <c r="H221" s="75"/>
      <c r="I221" s="75">
        <v>150</v>
      </c>
      <c r="J221" s="75"/>
      <c r="K221" s="74" t="s">
        <v>277</v>
      </c>
      <c r="L221" s="54" t="s">
        <v>742</v>
      </c>
      <c r="M221" s="83" t="s">
        <v>743</v>
      </c>
      <c r="N221" s="58" t="str">
        <f>VLOOKUP(E221,订单号!B:C,2,0)</f>
        <v>YZ40000680</v>
      </c>
      <c r="O221" s="35" t="e">
        <f>VLOOKUP(C221,领导干部!B:B,1,0)</f>
        <v>#N/A</v>
      </c>
    </row>
    <row r="222" s="35" customFormat="1" customHeight="1" spans="1:15">
      <c r="A222" s="47">
        <f t="shared" si="6"/>
        <v>221</v>
      </c>
      <c r="B222" s="54" t="s">
        <v>313</v>
      </c>
      <c r="C222" s="49">
        <f>IFERROR(VLOOKUP(B222,[1]工程研发事业部人员名单!B:D,2,0),"")</f>
        <v>23524</v>
      </c>
      <c r="D222" s="50" t="str">
        <f>IFERROR(VLOOKUP(B222,[1]工程研发事业部人员名单!B:D,3,0),"")</f>
        <v>强度室</v>
      </c>
      <c r="E222" s="74" t="s">
        <v>177</v>
      </c>
      <c r="F222" s="52">
        <f t="shared" si="7"/>
        <v>280</v>
      </c>
      <c r="G222" s="75"/>
      <c r="H222" s="75"/>
      <c r="I222" s="75">
        <v>280</v>
      </c>
      <c r="J222" s="75"/>
      <c r="K222" s="74" t="s">
        <v>277</v>
      </c>
      <c r="L222" s="54" t="s">
        <v>742</v>
      </c>
      <c r="M222" s="83" t="s">
        <v>744</v>
      </c>
      <c r="N222" s="58" t="str">
        <f>VLOOKUP(E222,订单号!B:C,2,0)</f>
        <v>YZ40000680</v>
      </c>
      <c r="O222" s="35" t="e">
        <f>VLOOKUP(C222,领导干部!B:B,1,0)</f>
        <v>#N/A</v>
      </c>
    </row>
    <row r="223" s="35" customFormat="1" customHeight="1" spans="1:15">
      <c r="A223" s="47">
        <f t="shared" si="6"/>
        <v>222</v>
      </c>
      <c r="B223" s="54" t="s">
        <v>347</v>
      </c>
      <c r="C223" s="49">
        <f>IFERROR(VLOOKUP(B223,[1]工程研发事业部人员名单!B:D,2,0),"")</f>
        <v>51589</v>
      </c>
      <c r="D223" s="50" t="str">
        <f>IFERROR(VLOOKUP(B223,[1]工程研发事业部人员名单!B:D,3,0),"")</f>
        <v>强度室</v>
      </c>
      <c r="E223" s="74" t="s">
        <v>177</v>
      </c>
      <c r="F223" s="52">
        <f t="shared" si="7"/>
        <v>260</v>
      </c>
      <c r="G223" s="75"/>
      <c r="H223" s="75"/>
      <c r="I223" s="75">
        <v>260</v>
      </c>
      <c r="J223" s="75"/>
      <c r="K223" s="74" t="s">
        <v>277</v>
      </c>
      <c r="L223" s="54" t="s">
        <v>742</v>
      </c>
      <c r="M223" s="83" t="s">
        <v>745</v>
      </c>
      <c r="N223" s="58" t="str">
        <f>VLOOKUP(E223,订单号!B:C,2,0)</f>
        <v>YZ40000680</v>
      </c>
      <c r="O223" s="35" t="e">
        <f>VLOOKUP(C223,领导干部!B:B,1,0)</f>
        <v>#N/A</v>
      </c>
    </row>
    <row r="224" s="35" customFormat="1" customHeight="1" spans="1:15">
      <c r="A224" s="47">
        <f t="shared" si="6"/>
        <v>223</v>
      </c>
      <c r="B224" s="54" t="s">
        <v>380</v>
      </c>
      <c r="C224" s="49">
        <f>IFERROR(VLOOKUP(B224,[1]工程研发事业部人员名单!B:D,2,0),"")</f>
        <v>50722</v>
      </c>
      <c r="D224" s="50" t="str">
        <f>IFERROR(VLOOKUP(B224,[1]工程研发事业部人员名单!B:D,3,0),"")</f>
        <v>强度室</v>
      </c>
      <c r="E224" s="74" t="s">
        <v>177</v>
      </c>
      <c r="F224" s="52">
        <f t="shared" si="7"/>
        <v>260</v>
      </c>
      <c r="G224" s="75"/>
      <c r="H224" s="75"/>
      <c r="I224" s="75">
        <v>260</v>
      </c>
      <c r="J224" s="75"/>
      <c r="K224" s="74" t="s">
        <v>277</v>
      </c>
      <c r="L224" s="54" t="s">
        <v>742</v>
      </c>
      <c r="M224" s="84" t="s">
        <v>746</v>
      </c>
      <c r="N224" s="58" t="str">
        <f>VLOOKUP(E224,订单号!B:C,2,0)</f>
        <v>YZ40000680</v>
      </c>
      <c r="O224" s="35" t="e">
        <f>VLOOKUP(C224,领导干部!B:B,1,0)</f>
        <v>#N/A</v>
      </c>
    </row>
    <row r="225" s="35" customFormat="1" customHeight="1" spans="1:15">
      <c r="A225" s="47">
        <f t="shared" si="6"/>
        <v>224</v>
      </c>
      <c r="B225" s="54" t="s">
        <v>346</v>
      </c>
      <c r="C225" s="49">
        <f>IFERROR(VLOOKUP(B225,[1]工程研发事业部人员名单!B:D,2,0),"")</f>
        <v>52130</v>
      </c>
      <c r="D225" s="50" t="str">
        <f>IFERROR(VLOOKUP(B225,[1]工程研发事业部人员名单!B:D,3,0),"")</f>
        <v>强度室</v>
      </c>
      <c r="E225" s="74" t="s">
        <v>177</v>
      </c>
      <c r="F225" s="52">
        <f t="shared" si="7"/>
        <v>50</v>
      </c>
      <c r="G225" s="75"/>
      <c r="H225" s="75"/>
      <c r="I225" s="75">
        <v>50</v>
      </c>
      <c r="J225" s="75"/>
      <c r="K225" s="74" t="s">
        <v>277</v>
      </c>
      <c r="L225" s="54" t="s">
        <v>742</v>
      </c>
      <c r="M225" s="84" t="s">
        <v>747</v>
      </c>
      <c r="N225" s="58" t="str">
        <f>VLOOKUP(E225,订单号!B:C,2,0)</f>
        <v>YZ40000680</v>
      </c>
      <c r="O225" s="35" t="e">
        <f>VLOOKUP(C225,领导干部!B:B,1,0)</f>
        <v>#N/A</v>
      </c>
    </row>
    <row r="226" s="35" customFormat="1" customHeight="1" spans="1:15">
      <c r="A226" s="47">
        <f t="shared" si="6"/>
        <v>225</v>
      </c>
      <c r="B226" s="54" t="s">
        <v>240</v>
      </c>
      <c r="C226" s="49">
        <f>IFERROR(VLOOKUP(B226,[1]工程研发事业部人员名单!B:D,2,0),"")</f>
        <v>51170</v>
      </c>
      <c r="D226" s="50" t="str">
        <f>IFERROR(VLOOKUP(B226,[1]工程研发事业部人员名单!B:D,3,0),"")</f>
        <v>结构二室</v>
      </c>
      <c r="E226" s="74" t="s">
        <v>177</v>
      </c>
      <c r="F226" s="52">
        <f t="shared" si="7"/>
        <v>220</v>
      </c>
      <c r="G226" s="75"/>
      <c r="H226" s="75"/>
      <c r="I226" s="75">
        <v>220</v>
      </c>
      <c r="J226" s="75"/>
      <c r="K226" s="74" t="s">
        <v>277</v>
      </c>
      <c r="L226" s="54" t="s">
        <v>742</v>
      </c>
      <c r="M226" s="83" t="s">
        <v>748</v>
      </c>
      <c r="N226" s="58" t="str">
        <f>VLOOKUP(E226,订单号!B:C,2,0)</f>
        <v>YZ40000680</v>
      </c>
      <c r="O226" s="35" t="e">
        <f>VLOOKUP(C226,领导干部!B:B,1,0)</f>
        <v>#N/A</v>
      </c>
    </row>
    <row r="227" s="35" customFormat="1" customHeight="1" spans="1:15">
      <c r="A227" s="47">
        <f t="shared" si="6"/>
        <v>226</v>
      </c>
      <c r="B227" s="54" t="s">
        <v>373</v>
      </c>
      <c r="C227" s="49">
        <f>IFERROR(VLOOKUP(B227,[1]工程研发事业部人员名单!B:D,2,0),"")</f>
        <v>51234</v>
      </c>
      <c r="D227" s="50" t="str">
        <f>IFERROR(VLOOKUP(B227,[1]工程研发事业部人员名单!B:D,3,0),"")</f>
        <v>结构二室</v>
      </c>
      <c r="E227" s="74" t="s">
        <v>177</v>
      </c>
      <c r="F227" s="52">
        <f t="shared" si="7"/>
        <v>100</v>
      </c>
      <c r="G227" s="75"/>
      <c r="H227" s="75"/>
      <c r="I227" s="75">
        <v>100</v>
      </c>
      <c r="J227" s="75"/>
      <c r="K227" s="74" t="s">
        <v>277</v>
      </c>
      <c r="L227" s="54" t="s">
        <v>742</v>
      </c>
      <c r="M227" s="83" t="s">
        <v>749</v>
      </c>
      <c r="N227" s="58" t="str">
        <f>VLOOKUP(E227,订单号!B:C,2,0)</f>
        <v>YZ40000680</v>
      </c>
      <c r="O227" s="35" t="e">
        <f>VLOOKUP(C227,领导干部!B:B,1,0)</f>
        <v>#N/A</v>
      </c>
    </row>
    <row r="228" s="35" customFormat="1" customHeight="1" spans="1:15">
      <c r="A228" s="47">
        <f t="shared" si="6"/>
        <v>227</v>
      </c>
      <c r="B228" s="54" t="s">
        <v>339</v>
      </c>
      <c r="C228" s="49">
        <f>IFERROR(VLOOKUP(B228,[1]工程研发事业部人员名单!B:D,2,0),"")</f>
        <v>50874</v>
      </c>
      <c r="D228" s="50" t="str">
        <f>IFERROR(VLOOKUP(B228,[1]工程研发事业部人员名单!B:D,3,0),"")</f>
        <v>总体室</v>
      </c>
      <c r="E228" s="74" t="s">
        <v>177</v>
      </c>
      <c r="F228" s="52">
        <f t="shared" si="7"/>
        <v>220</v>
      </c>
      <c r="G228" s="75"/>
      <c r="H228" s="75"/>
      <c r="I228" s="72">
        <v>220</v>
      </c>
      <c r="J228" s="75"/>
      <c r="K228" s="74" t="s">
        <v>277</v>
      </c>
      <c r="L228" s="54" t="s">
        <v>742</v>
      </c>
      <c r="M228" s="83" t="s">
        <v>750</v>
      </c>
      <c r="N228" s="58" t="str">
        <f>VLOOKUP(E228,订单号!B:C,2,0)</f>
        <v>YZ40000680</v>
      </c>
      <c r="O228" s="35" t="e">
        <f>VLOOKUP(C228,领导干部!B:B,1,0)</f>
        <v>#N/A</v>
      </c>
    </row>
    <row r="229" s="35" customFormat="1" customHeight="1" spans="1:15">
      <c r="A229" s="47">
        <f t="shared" si="6"/>
        <v>228</v>
      </c>
      <c r="B229" s="54" t="s">
        <v>440</v>
      </c>
      <c r="C229" s="49">
        <f>IFERROR(VLOOKUP(B229,[1]工程研发事业部人员名单!B:D,2,0),"")</f>
        <v>50716</v>
      </c>
      <c r="D229" s="50" t="str">
        <f>IFERROR(VLOOKUP(B229,[1]工程研发事业部人员名单!B:D,3,0),"")</f>
        <v>强度室</v>
      </c>
      <c r="E229" s="74" t="s">
        <v>177</v>
      </c>
      <c r="F229" s="52">
        <f t="shared" si="7"/>
        <v>260</v>
      </c>
      <c r="G229" s="75"/>
      <c r="H229" s="75"/>
      <c r="I229" s="72">
        <v>260</v>
      </c>
      <c r="J229" s="75"/>
      <c r="K229" s="74" t="s">
        <v>277</v>
      </c>
      <c r="L229" s="86" t="s">
        <v>742</v>
      </c>
      <c r="M229" s="84" t="s">
        <v>751</v>
      </c>
      <c r="N229" s="58" t="str">
        <f>VLOOKUP(E229,订单号!B:C,2,0)</f>
        <v>YZ40000680</v>
      </c>
      <c r="O229" s="35" t="e">
        <f>VLOOKUP(C229,领导干部!B:B,1,0)</f>
        <v>#N/A</v>
      </c>
    </row>
    <row r="230" s="35" customFormat="1" customHeight="1" spans="1:15">
      <c r="A230" s="47">
        <f t="shared" si="6"/>
        <v>229</v>
      </c>
      <c r="B230" s="48" t="s">
        <v>226</v>
      </c>
      <c r="C230" s="49">
        <f>IFERROR(VLOOKUP(B230,[1]工程研发事业部人员名单!B:D,2,0),"")</f>
        <v>50876</v>
      </c>
      <c r="D230" s="50" t="str">
        <f>IFERROR(VLOOKUP(B230,[1]工程研发事业部人员名单!B:D,3,0),"")</f>
        <v>工程项目室</v>
      </c>
      <c r="E230" s="73" t="s">
        <v>177</v>
      </c>
      <c r="F230" s="52">
        <f t="shared" si="7"/>
        <v>50</v>
      </c>
      <c r="G230" s="72"/>
      <c r="H230" s="72"/>
      <c r="I230" s="72">
        <v>50</v>
      </c>
      <c r="J230" s="72"/>
      <c r="K230" s="48" t="s">
        <v>699</v>
      </c>
      <c r="L230" s="87" t="s">
        <v>752</v>
      </c>
      <c r="M230" s="82"/>
      <c r="N230" s="58" t="str">
        <f>VLOOKUP(E230,订单号!B:C,2,0)</f>
        <v>YZ40000680</v>
      </c>
      <c r="O230" s="35" t="e">
        <f>VLOOKUP(C230,领导干部!B:B,1,0)</f>
        <v>#N/A</v>
      </c>
    </row>
    <row r="231" s="35" customFormat="1" customHeight="1" spans="1:15">
      <c r="A231" s="47">
        <f t="shared" si="6"/>
        <v>230</v>
      </c>
      <c r="B231" s="57" t="s">
        <v>358</v>
      </c>
      <c r="C231" s="49">
        <f>IFERROR(VLOOKUP(B231,[1]工程研发事业部人员名单!B:D,2,0),"")</f>
        <v>51387</v>
      </c>
      <c r="D231" s="50" t="str">
        <f>IFERROR(VLOOKUP(B231,[1]工程研发事业部人员名单!B:D,3,0),"")</f>
        <v>系统室</v>
      </c>
      <c r="E231" s="57" t="s">
        <v>753</v>
      </c>
      <c r="F231" s="52">
        <f t="shared" si="7"/>
        <v>10</v>
      </c>
      <c r="G231" s="53"/>
      <c r="H231" s="53"/>
      <c r="I231" s="72">
        <v>10</v>
      </c>
      <c r="J231" s="71"/>
      <c r="K231" s="57" t="s">
        <v>378</v>
      </c>
      <c r="L231" s="88" t="s">
        <v>753</v>
      </c>
      <c r="M231" s="68" t="s">
        <v>754</v>
      </c>
      <c r="N231" s="58" t="e">
        <f>VLOOKUP(E231,订单号!B:C,2,0)</f>
        <v>#N/A</v>
      </c>
      <c r="O231" s="35" t="e">
        <f>VLOOKUP(C231,领导干部!B:B,1,0)</f>
        <v>#N/A</v>
      </c>
    </row>
    <row r="232" s="35" customFormat="1" customHeight="1" spans="1:15">
      <c r="A232" s="47">
        <f t="shared" si="6"/>
        <v>231</v>
      </c>
      <c r="B232" s="57" t="s">
        <v>311</v>
      </c>
      <c r="C232" s="49">
        <f>IFERROR(VLOOKUP(B232,[1]工程研发事业部人员名单!B:D,2,0),"")</f>
        <v>51435</v>
      </c>
      <c r="D232" s="50" t="str">
        <f>IFERROR(VLOOKUP(B232,[1]工程研发事业部人员名单!B:D,3,0),"")</f>
        <v>系统室</v>
      </c>
      <c r="E232" s="57" t="s">
        <v>753</v>
      </c>
      <c r="F232" s="52">
        <f t="shared" si="7"/>
        <v>10</v>
      </c>
      <c r="G232" s="53"/>
      <c r="H232" s="53"/>
      <c r="I232" s="72">
        <v>10</v>
      </c>
      <c r="J232" s="71"/>
      <c r="K232" s="57" t="s">
        <v>378</v>
      </c>
      <c r="L232" s="88" t="s">
        <v>753</v>
      </c>
      <c r="M232" s="68" t="s">
        <v>754</v>
      </c>
      <c r="N232" s="58" t="e">
        <f>VLOOKUP(E232,订单号!B:C,2,0)</f>
        <v>#N/A</v>
      </c>
      <c r="O232" s="35" t="e">
        <f>VLOOKUP(C232,领导干部!B:B,1,0)</f>
        <v>#N/A</v>
      </c>
    </row>
    <row r="233" s="35" customFormat="1" customHeight="1" spans="1:15">
      <c r="A233" s="47">
        <f t="shared" si="6"/>
        <v>232</v>
      </c>
      <c r="B233" s="57" t="s">
        <v>338</v>
      </c>
      <c r="C233" s="49">
        <f>IFERROR(VLOOKUP(B233,[1]工程研发事业部人员名单!B:D,2,0),"")</f>
        <v>52156</v>
      </c>
      <c r="D233" s="50" t="str">
        <f>IFERROR(VLOOKUP(B233,[1]工程研发事业部人员名单!B:D,3,0),"")</f>
        <v>系统室</v>
      </c>
      <c r="E233" s="57" t="s">
        <v>753</v>
      </c>
      <c r="F233" s="52">
        <f t="shared" si="7"/>
        <v>10</v>
      </c>
      <c r="G233" s="53"/>
      <c r="H233" s="53"/>
      <c r="I233" s="72">
        <v>10</v>
      </c>
      <c r="J233" s="71"/>
      <c r="K233" s="57" t="s">
        <v>378</v>
      </c>
      <c r="L233" s="88" t="s">
        <v>753</v>
      </c>
      <c r="M233" s="68" t="s">
        <v>754</v>
      </c>
      <c r="N233" s="58" t="e">
        <f>VLOOKUP(E233,订单号!B:C,2,0)</f>
        <v>#N/A</v>
      </c>
      <c r="O233" s="35" t="e">
        <f>VLOOKUP(C233,领导干部!B:B,1,0)</f>
        <v>#N/A</v>
      </c>
    </row>
    <row r="234" s="35" customFormat="1" customHeight="1" spans="1:15">
      <c r="A234" s="47">
        <f t="shared" si="6"/>
        <v>233</v>
      </c>
      <c r="B234" s="57" t="s">
        <v>358</v>
      </c>
      <c r="C234" s="49">
        <f>IFERROR(VLOOKUP(B234,[1]工程研发事业部人员名单!B:D,2,0),"")</f>
        <v>51387</v>
      </c>
      <c r="D234" s="50" t="str">
        <f>IFERROR(VLOOKUP(B234,[1]工程研发事业部人员名单!B:D,3,0),"")</f>
        <v>系统室</v>
      </c>
      <c r="E234" s="57" t="s">
        <v>176</v>
      </c>
      <c r="F234" s="52">
        <f t="shared" si="7"/>
        <v>4</v>
      </c>
      <c r="G234" s="53">
        <v>4</v>
      </c>
      <c r="H234" s="53"/>
      <c r="I234" s="53"/>
      <c r="J234" s="62"/>
      <c r="K234" s="57" t="s">
        <v>378</v>
      </c>
      <c r="L234" s="89" t="s">
        <v>755</v>
      </c>
      <c r="M234" s="68" t="s">
        <v>756</v>
      </c>
      <c r="N234" s="58" t="e">
        <f>VLOOKUP(E234,订单号!B:C,2,0)</f>
        <v>#N/A</v>
      </c>
      <c r="O234" s="35" t="e">
        <f>VLOOKUP(C234,领导干部!B:B,1,0)</f>
        <v>#N/A</v>
      </c>
    </row>
    <row r="235" s="35" customFormat="1" customHeight="1" spans="1:15">
      <c r="A235" s="47">
        <f t="shared" si="6"/>
        <v>234</v>
      </c>
      <c r="B235" s="48" t="s">
        <v>305</v>
      </c>
      <c r="C235" s="49">
        <f>IFERROR(VLOOKUP(B235,[1]工程研发事业部人员名单!B:D,2,0),"")</f>
        <v>51389</v>
      </c>
      <c r="D235" s="50" t="str">
        <f>IFERROR(VLOOKUP(B235,[1]工程研发事业部人员名单!B:D,3,0),"")</f>
        <v>系统室</v>
      </c>
      <c r="E235" s="51" t="s">
        <v>177</v>
      </c>
      <c r="F235" s="52">
        <f t="shared" si="7"/>
        <v>92</v>
      </c>
      <c r="G235" s="53"/>
      <c r="H235" s="53"/>
      <c r="I235" s="53">
        <v>92</v>
      </c>
      <c r="J235" s="53"/>
      <c r="K235" s="57" t="s">
        <v>378</v>
      </c>
      <c r="L235" s="88"/>
      <c r="M235" s="59" t="s">
        <v>757</v>
      </c>
      <c r="N235" s="58" t="str">
        <f>VLOOKUP(E235,订单号!B:C,2,0)</f>
        <v>YZ40000680</v>
      </c>
      <c r="O235" s="35" t="e">
        <f>VLOOKUP(C235,领导干部!B:B,1,0)</f>
        <v>#N/A</v>
      </c>
    </row>
    <row r="236" s="35" customFormat="1" customHeight="1" spans="1:15">
      <c r="A236" s="47">
        <f t="shared" si="6"/>
        <v>235</v>
      </c>
      <c r="B236" s="48" t="s">
        <v>295</v>
      </c>
      <c r="C236" s="49">
        <f>IFERROR(VLOOKUP(B236,[1]工程研发事业部人员名单!B:D,2,0),"")</f>
        <v>51951</v>
      </c>
      <c r="D236" s="50" t="str">
        <f>IFERROR(VLOOKUP(B236,[1]工程研发事业部人员名单!B:D,3,0),"")</f>
        <v>系统室</v>
      </c>
      <c r="E236" s="51" t="s">
        <v>177</v>
      </c>
      <c r="F236" s="52">
        <f t="shared" si="7"/>
        <v>32</v>
      </c>
      <c r="G236" s="53"/>
      <c r="H236" s="53"/>
      <c r="I236" s="53">
        <v>32</v>
      </c>
      <c r="J236" s="62"/>
      <c r="K236" s="57" t="s">
        <v>378</v>
      </c>
      <c r="L236" s="57"/>
      <c r="M236" s="59" t="s">
        <v>758</v>
      </c>
      <c r="N236" s="58" t="str">
        <f>VLOOKUP(E236,订单号!B:C,2,0)</f>
        <v>YZ40000680</v>
      </c>
      <c r="O236" s="35" t="e">
        <f>VLOOKUP(C236,领导干部!B:B,1,0)</f>
        <v>#N/A</v>
      </c>
    </row>
    <row r="237" s="35" customFormat="1" customHeight="1" spans="1:15">
      <c r="A237" s="47">
        <f t="shared" si="6"/>
        <v>236</v>
      </c>
      <c r="B237" s="77" t="s">
        <v>321</v>
      </c>
      <c r="C237" s="49">
        <f>IFERROR(VLOOKUP(B237,[1]工程研发事业部人员名单!B:D,2,0),"")</f>
        <v>51430</v>
      </c>
      <c r="D237" s="50" t="str">
        <f>IFERROR(VLOOKUP(B237,[1]工程研发事业部人员名单!B:D,3,0),"")</f>
        <v>系统室</v>
      </c>
      <c r="E237" s="51" t="s">
        <v>177</v>
      </c>
      <c r="F237" s="52">
        <f t="shared" si="7"/>
        <v>17</v>
      </c>
      <c r="G237" s="53"/>
      <c r="H237" s="53"/>
      <c r="I237" s="53">
        <v>17</v>
      </c>
      <c r="J237" s="53"/>
      <c r="K237" s="57" t="s">
        <v>378</v>
      </c>
      <c r="L237" s="57"/>
      <c r="M237" s="90" t="s">
        <v>759</v>
      </c>
      <c r="N237" s="58" t="str">
        <f>VLOOKUP(E237,订单号!B:C,2,0)</f>
        <v>YZ40000680</v>
      </c>
      <c r="O237" s="35" t="e">
        <f>VLOOKUP(C237,领导干部!B:B,1,0)</f>
        <v>#N/A</v>
      </c>
    </row>
    <row r="238" s="35" customFormat="1" customHeight="1" spans="1:15">
      <c r="A238" s="47">
        <f t="shared" si="6"/>
        <v>237</v>
      </c>
      <c r="B238" s="48" t="s">
        <v>292</v>
      </c>
      <c r="C238" s="49">
        <f>IFERROR(VLOOKUP(B238,[1]工程研发事业部人员名单!B:D,2,0),"")</f>
        <v>51385</v>
      </c>
      <c r="D238" s="50" t="str">
        <f>IFERROR(VLOOKUP(B238,[1]工程研发事业部人员名单!B:D,3,0),"")</f>
        <v>系统室</v>
      </c>
      <c r="E238" s="51" t="s">
        <v>177</v>
      </c>
      <c r="F238" s="52">
        <f t="shared" si="7"/>
        <v>60</v>
      </c>
      <c r="G238" s="53"/>
      <c r="H238" s="53"/>
      <c r="I238" s="53">
        <v>60</v>
      </c>
      <c r="J238" s="53"/>
      <c r="K238" s="57" t="s">
        <v>378</v>
      </c>
      <c r="L238" s="57"/>
      <c r="M238" s="90" t="s">
        <v>760</v>
      </c>
      <c r="N238" s="58" t="str">
        <f>VLOOKUP(E238,订单号!B:C,2,0)</f>
        <v>YZ40000680</v>
      </c>
      <c r="O238" s="35" t="e">
        <f>VLOOKUP(C238,领导干部!B:B,1,0)</f>
        <v>#N/A</v>
      </c>
    </row>
    <row r="239" s="35" customFormat="1" customHeight="1" spans="1:15">
      <c r="A239" s="47">
        <f t="shared" si="6"/>
        <v>238</v>
      </c>
      <c r="B239" s="48" t="s">
        <v>338</v>
      </c>
      <c r="C239" s="49">
        <f>IFERROR(VLOOKUP(B239,[1]工程研发事业部人员名单!B:D,2,0),"")</f>
        <v>52156</v>
      </c>
      <c r="D239" s="50" t="str">
        <f>IFERROR(VLOOKUP(B239,[1]工程研发事业部人员名单!B:D,3,0),"")</f>
        <v>系统室</v>
      </c>
      <c r="E239" s="51" t="s">
        <v>177</v>
      </c>
      <c r="F239" s="52">
        <f t="shared" si="7"/>
        <v>49</v>
      </c>
      <c r="G239" s="53"/>
      <c r="H239" s="53"/>
      <c r="I239" s="53">
        <v>49</v>
      </c>
      <c r="J239" s="53"/>
      <c r="K239" s="57" t="s">
        <v>378</v>
      </c>
      <c r="L239" s="57"/>
      <c r="M239" s="59" t="s">
        <v>761</v>
      </c>
      <c r="N239" s="58" t="str">
        <f>VLOOKUP(E239,订单号!B:C,2,0)</f>
        <v>YZ40000680</v>
      </c>
      <c r="O239" s="35" t="e">
        <f>VLOOKUP(C239,领导干部!B:B,1,0)</f>
        <v>#N/A</v>
      </c>
    </row>
    <row r="240" s="35" customFormat="1" customHeight="1" spans="1:15">
      <c r="A240" s="47">
        <f t="shared" si="6"/>
        <v>239</v>
      </c>
      <c r="B240" s="48" t="s">
        <v>311</v>
      </c>
      <c r="C240" s="49">
        <f>IFERROR(VLOOKUP(B240,[1]工程研发事业部人员名单!B:D,2,0),"")</f>
        <v>51435</v>
      </c>
      <c r="D240" s="50" t="str">
        <f>IFERROR(VLOOKUP(B240,[1]工程研发事业部人员名单!B:D,3,0),"")</f>
        <v>系统室</v>
      </c>
      <c r="E240" s="51" t="s">
        <v>177</v>
      </c>
      <c r="F240" s="52">
        <f t="shared" si="7"/>
        <v>2</v>
      </c>
      <c r="G240" s="53"/>
      <c r="H240" s="53"/>
      <c r="I240" s="53">
        <v>2</v>
      </c>
      <c r="J240" s="53"/>
      <c r="K240" s="57" t="s">
        <v>378</v>
      </c>
      <c r="L240" s="57"/>
      <c r="M240" s="59" t="s">
        <v>762</v>
      </c>
      <c r="N240" s="58" t="str">
        <f>VLOOKUP(E240,订单号!B:C,2,0)</f>
        <v>YZ40000680</v>
      </c>
      <c r="O240" s="35" t="e">
        <f>VLOOKUP(C240,领导干部!B:B,1,0)</f>
        <v>#N/A</v>
      </c>
    </row>
    <row r="241" s="35" customFormat="1" customHeight="1" spans="1:15">
      <c r="A241" s="47">
        <f t="shared" si="6"/>
        <v>240</v>
      </c>
      <c r="B241" s="48" t="s">
        <v>298</v>
      </c>
      <c r="C241" s="49">
        <f>IFERROR(VLOOKUP(B241,[1]工程研发事业部人员名单!B:D,2,0),"")</f>
        <v>51517</v>
      </c>
      <c r="D241" s="50" t="str">
        <f>IFERROR(VLOOKUP(B241,[1]工程研发事业部人员名单!B:D,3,0),"")</f>
        <v>系统室</v>
      </c>
      <c r="E241" s="51" t="s">
        <v>177</v>
      </c>
      <c r="F241" s="52">
        <f t="shared" si="7"/>
        <v>4</v>
      </c>
      <c r="G241" s="53"/>
      <c r="H241" s="53"/>
      <c r="I241" s="53">
        <v>4</v>
      </c>
      <c r="J241" s="53"/>
      <c r="K241" s="57" t="s">
        <v>255</v>
      </c>
      <c r="L241" s="57"/>
      <c r="M241" s="59" t="s">
        <v>763</v>
      </c>
      <c r="N241" s="58" t="str">
        <f>VLOOKUP(E241,订单号!B:C,2,0)</f>
        <v>YZ40000680</v>
      </c>
      <c r="O241" s="35" t="e">
        <f>VLOOKUP(C241,领导干部!B:B,1,0)</f>
        <v>#N/A</v>
      </c>
    </row>
    <row r="242" s="35" customFormat="1" customHeight="1" spans="1:15">
      <c r="A242" s="47">
        <f t="shared" si="6"/>
        <v>241</v>
      </c>
      <c r="B242" s="48" t="s">
        <v>272</v>
      </c>
      <c r="C242" s="49">
        <f>IFERROR(VLOOKUP(B242,[1]工程研发事业部人员名单!B:D,2,0),"")</f>
        <v>50730</v>
      </c>
      <c r="D242" s="50" t="str">
        <f>IFERROR(VLOOKUP(B242,[1]工程研发事业部人员名单!B:D,3,0),"")</f>
        <v>结构一室</v>
      </c>
      <c r="E242" s="51" t="s">
        <v>177</v>
      </c>
      <c r="F242" s="52">
        <f t="shared" si="7"/>
        <v>315</v>
      </c>
      <c r="G242" s="53"/>
      <c r="H242" s="53"/>
      <c r="I242" s="53">
        <v>315</v>
      </c>
      <c r="J242" s="53"/>
      <c r="K242" s="57" t="s">
        <v>255</v>
      </c>
      <c r="L242" s="57"/>
      <c r="M242" s="58" t="s">
        <v>764</v>
      </c>
      <c r="N242" s="58" t="str">
        <f>VLOOKUP(E242,订单号!B:C,2,0)</f>
        <v>YZ40000680</v>
      </c>
      <c r="O242" s="35" t="e">
        <f>VLOOKUP(C242,领导干部!B:B,1,0)</f>
        <v>#N/A</v>
      </c>
    </row>
    <row r="243" s="35" customFormat="1" customHeight="1" spans="1:15">
      <c r="A243" s="47">
        <f t="shared" si="6"/>
        <v>242</v>
      </c>
      <c r="B243" s="48" t="s">
        <v>357</v>
      </c>
      <c r="C243" s="49">
        <f>IFERROR(VLOOKUP(B243,[1]工程研发事业部人员名单!B:D,2,0),"")</f>
        <v>51781</v>
      </c>
      <c r="D243" s="50" t="str">
        <f>IFERROR(VLOOKUP(B243,[1]工程研发事业部人员名单!B:D,3,0),"")</f>
        <v>结构一室</v>
      </c>
      <c r="E243" s="51" t="s">
        <v>177</v>
      </c>
      <c r="F243" s="52">
        <f t="shared" si="7"/>
        <v>211.5</v>
      </c>
      <c r="G243" s="53"/>
      <c r="H243" s="53"/>
      <c r="I243" s="53">
        <v>211.5</v>
      </c>
      <c r="J243" s="53"/>
      <c r="K243" s="57" t="s">
        <v>255</v>
      </c>
      <c r="L243" s="57"/>
      <c r="M243" s="59" t="s">
        <v>765</v>
      </c>
      <c r="N243" s="58" t="str">
        <f>VLOOKUP(E243,订单号!B:C,2,0)</f>
        <v>YZ40000680</v>
      </c>
      <c r="O243" s="35" t="e">
        <f>VLOOKUP(C243,领导干部!B:B,1,0)</f>
        <v>#N/A</v>
      </c>
    </row>
    <row r="244" s="35" customFormat="1" customHeight="1" spans="1:15">
      <c r="A244" s="47">
        <f t="shared" si="6"/>
        <v>243</v>
      </c>
      <c r="B244" s="48" t="s">
        <v>297</v>
      </c>
      <c r="C244" s="49">
        <f>IFERROR(VLOOKUP(B244,[1]工程研发事业部人员名单!B:D,2,0),"")</f>
        <v>51227</v>
      </c>
      <c r="D244" s="50" t="str">
        <f>IFERROR(VLOOKUP(B244,[1]工程研发事业部人员名单!B:D,3,0),"")</f>
        <v>结构一室</v>
      </c>
      <c r="E244" s="51" t="s">
        <v>177</v>
      </c>
      <c r="F244" s="52">
        <f t="shared" si="7"/>
        <v>40.5</v>
      </c>
      <c r="G244" s="53"/>
      <c r="H244" s="53"/>
      <c r="I244" s="53">
        <v>40.5</v>
      </c>
      <c r="J244" s="53"/>
      <c r="K244" s="57" t="s">
        <v>255</v>
      </c>
      <c r="L244" s="57"/>
      <c r="M244" s="59" t="s">
        <v>766</v>
      </c>
      <c r="N244" s="58" t="str">
        <f>VLOOKUP(E244,订单号!B:C,2,0)</f>
        <v>YZ40000680</v>
      </c>
      <c r="O244" s="35" t="e">
        <f>VLOOKUP(C244,领导干部!B:B,1,0)</f>
        <v>#N/A</v>
      </c>
    </row>
    <row r="245" s="35" customFormat="1" customHeight="1" spans="1:15">
      <c r="A245" s="47">
        <f t="shared" si="6"/>
        <v>244</v>
      </c>
      <c r="B245" s="48" t="s">
        <v>259</v>
      </c>
      <c r="C245" s="49">
        <f>IFERROR(VLOOKUP(B245,[1]工程研发事业部人员名单!B:D,2,0),"")</f>
        <v>51784</v>
      </c>
      <c r="D245" s="50" t="str">
        <f>IFERROR(VLOOKUP(B245,[1]工程研发事业部人员名单!B:D,3,0),"")</f>
        <v>结构一室</v>
      </c>
      <c r="E245" s="51" t="s">
        <v>177</v>
      </c>
      <c r="F245" s="52">
        <f t="shared" si="7"/>
        <v>301.5</v>
      </c>
      <c r="G245" s="53"/>
      <c r="H245" s="53"/>
      <c r="I245" s="53">
        <v>301.5</v>
      </c>
      <c r="J245" s="53"/>
      <c r="K245" s="57" t="s">
        <v>255</v>
      </c>
      <c r="L245" s="57"/>
      <c r="M245" s="59" t="s">
        <v>767</v>
      </c>
      <c r="N245" s="58" t="str">
        <f>VLOOKUP(E245,订单号!B:C,2,0)</f>
        <v>YZ40000680</v>
      </c>
      <c r="O245" s="35" t="e">
        <f>VLOOKUP(C245,领导干部!B:B,1,0)</f>
        <v>#N/A</v>
      </c>
    </row>
    <row r="246" s="35" customFormat="1" customHeight="1" spans="1:15">
      <c r="A246" s="47">
        <f t="shared" si="6"/>
        <v>245</v>
      </c>
      <c r="B246" s="48" t="s">
        <v>266</v>
      </c>
      <c r="C246" s="49">
        <f>IFERROR(VLOOKUP(B246,[1]工程研发事业部人员名单!B:D,2,0),"")</f>
        <v>50275</v>
      </c>
      <c r="D246" s="50" t="str">
        <f>IFERROR(VLOOKUP(B246,[1]工程研发事业部人员名单!B:D,3,0),"")</f>
        <v>结构一室</v>
      </c>
      <c r="E246" s="51" t="s">
        <v>177</v>
      </c>
      <c r="F246" s="52">
        <f t="shared" si="7"/>
        <v>283.5</v>
      </c>
      <c r="G246" s="53"/>
      <c r="H246" s="53"/>
      <c r="I246" s="53">
        <v>283.5</v>
      </c>
      <c r="J246" s="53"/>
      <c r="K246" s="57" t="s">
        <v>255</v>
      </c>
      <c r="L246" s="57"/>
      <c r="M246" s="59" t="s">
        <v>768</v>
      </c>
      <c r="N246" s="58" t="str">
        <f>VLOOKUP(E246,订单号!B:C,2,0)</f>
        <v>YZ40000680</v>
      </c>
      <c r="O246" s="35" t="e">
        <f>VLOOKUP(C246,领导干部!B:B,1,0)</f>
        <v>#N/A</v>
      </c>
    </row>
    <row r="247" s="35" customFormat="1" customHeight="1" spans="1:15">
      <c r="A247" s="47">
        <f t="shared" si="6"/>
        <v>246</v>
      </c>
      <c r="B247" s="48" t="s">
        <v>246</v>
      </c>
      <c r="C247" s="49">
        <f>IFERROR(VLOOKUP(B247,[1]工程研发事业部人员名单!B:D,2,0),"")</f>
        <v>51183</v>
      </c>
      <c r="D247" s="50" t="str">
        <f>IFERROR(VLOOKUP(B247,[1]工程研发事业部人员名单!B:D,3,0),"")</f>
        <v>结构一室</v>
      </c>
      <c r="E247" s="51" t="s">
        <v>177</v>
      </c>
      <c r="F247" s="52">
        <f t="shared" si="7"/>
        <v>126</v>
      </c>
      <c r="G247" s="53"/>
      <c r="H247" s="53"/>
      <c r="I247" s="53">
        <v>126</v>
      </c>
      <c r="J247" s="53"/>
      <c r="K247" s="57" t="s">
        <v>255</v>
      </c>
      <c r="L247" s="57"/>
      <c r="M247" s="59" t="s">
        <v>768</v>
      </c>
      <c r="N247" s="58" t="str">
        <f>VLOOKUP(E247,订单号!B:C,2,0)</f>
        <v>YZ40000680</v>
      </c>
      <c r="O247" s="35" t="e">
        <f>VLOOKUP(C247,领导干部!B:B,1,0)</f>
        <v>#N/A</v>
      </c>
    </row>
    <row r="248" s="35" customFormat="1" customHeight="1" spans="1:15">
      <c r="A248" s="47">
        <f t="shared" si="6"/>
        <v>247</v>
      </c>
      <c r="B248" s="48" t="s">
        <v>472</v>
      </c>
      <c r="C248" s="49">
        <f>IFERROR(VLOOKUP(B248,[1]工程研发事业部人员名单!B:D,2,0),"")</f>
        <v>51165</v>
      </c>
      <c r="D248" s="50" t="str">
        <f>IFERROR(VLOOKUP(B248,[1]工程研发事业部人员名单!B:D,3,0),"")</f>
        <v>结构一室</v>
      </c>
      <c r="E248" s="51" t="s">
        <v>177</v>
      </c>
      <c r="F248" s="52">
        <f t="shared" si="7"/>
        <v>22.5</v>
      </c>
      <c r="G248" s="53"/>
      <c r="H248" s="53"/>
      <c r="I248" s="53">
        <v>22.5</v>
      </c>
      <c r="J248" s="53"/>
      <c r="K248" s="57" t="s">
        <v>255</v>
      </c>
      <c r="L248" s="57"/>
      <c r="M248" s="59" t="s">
        <v>769</v>
      </c>
      <c r="N248" s="58" t="str">
        <f>VLOOKUP(E248,订单号!B:C,2,0)</f>
        <v>YZ40000680</v>
      </c>
      <c r="O248" s="35" t="e">
        <f>VLOOKUP(C248,领导干部!B:B,1,0)</f>
        <v>#N/A</v>
      </c>
    </row>
    <row r="249" s="35" customFormat="1" customHeight="1" spans="1:15">
      <c r="A249" s="47">
        <f t="shared" si="6"/>
        <v>248</v>
      </c>
      <c r="B249" s="48" t="s">
        <v>313</v>
      </c>
      <c r="C249" s="49">
        <f>IFERROR(VLOOKUP(B249,[1]工程研发事业部人员名单!B:D,2,0),"")</f>
        <v>23524</v>
      </c>
      <c r="D249" s="50" t="str">
        <f>IFERROR(VLOOKUP(B249,[1]工程研发事业部人员名单!B:D,3,0),"")</f>
        <v>强度室</v>
      </c>
      <c r="E249" s="51" t="s">
        <v>178</v>
      </c>
      <c r="F249" s="52">
        <f t="shared" si="7"/>
        <v>80</v>
      </c>
      <c r="G249" s="53"/>
      <c r="H249" s="53"/>
      <c r="I249" s="53">
        <v>80</v>
      </c>
      <c r="J249" s="53"/>
      <c r="K249" s="57" t="s">
        <v>277</v>
      </c>
      <c r="L249" s="57"/>
      <c r="M249" s="65" t="s">
        <v>770</v>
      </c>
      <c r="N249" s="58" t="e">
        <f>VLOOKUP(E249,订单号!B:C,2,0)</f>
        <v>#N/A</v>
      </c>
      <c r="O249" s="35" t="e">
        <f>VLOOKUP(C249,领导干部!B:B,1,0)</f>
        <v>#N/A</v>
      </c>
    </row>
    <row r="250" s="35" customFormat="1" customHeight="1" spans="1:15">
      <c r="A250" s="47">
        <f t="shared" si="6"/>
        <v>249</v>
      </c>
      <c r="B250" s="78" t="s">
        <v>269</v>
      </c>
      <c r="C250" s="49">
        <f>IFERROR(VLOOKUP(B250,[1]工程研发事业部人员名单!B:D,2,0),"")</f>
        <v>50871</v>
      </c>
      <c r="D250" s="50" t="str">
        <f>IFERROR(VLOOKUP(B250,[1]工程研发事业部人员名单!B:D,3,0),"")</f>
        <v>强度室</v>
      </c>
      <c r="E250" s="51" t="s">
        <v>771</v>
      </c>
      <c r="F250" s="52">
        <f t="shared" si="7"/>
        <v>255</v>
      </c>
      <c r="G250" s="62"/>
      <c r="H250" s="71"/>
      <c r="I250" s="53">
        <v>255</v>
      </c>
      <c r="J250" s="57"/>
      <c r="K250" s="57" t="s">
        <v>277</v>
      </c>
      <c r="L250" s="91"/>
      <c r="M250" s="64" t="s">
        <v>772</v>
      </c>
      <c r="N250" s="58" t="str">
        <f>VLOOKUP(E250,订单号!B:C,2,0)</f>
        <v>YZ40000680</v>
      </c>
      <c r="O250" s="35" t="e">
        <f>VLOOKUP(C250,领导干部!B:B,1,0)</f>
        <v>#N/A</v>
      </c>
    </row>
    <row r="251" s="35" customFormat="1" customHeight="1" spans="1:15">
      <c r="A251" s="47">
        <f t="shared" si="6"/>
        <v>250</v>
      </c>
      <c r="B251" s="57" t="s">
        <v>220</v>
      </c>
      <c r="C251" s="49">
        <f>IFERROR(VLOOKUP(B251,[1]工程研发事业部人员名单!B:D,2,0),"")</f>
        <v>51405</v>
      </c>
      <c r="D251" s="50" t="str">
        <f>IFERROR(VLOOKUP(B251,[1]工程研发事业部人员名单!B:D,3,0),"")</f>
        <v>综合技术室</v>
      </c>
      <c r="E251" s="51" t="s">
        <v>177</v>
      </c>
      <c r="F251" s="52">
        <f t="shared" si="7"/>
        <v>80</v>
      </c>
      <c r="G251" s="62"/>
      <c r="H251" s="79"/>
      <c r="I251" s="53">
        <v>80</v>
      </c>
      <c r="J251" s="57"/>
      <c r="K251" s="57" t="s">
        <v>277</v>
      </c>
      <c r="L251" s="91"/>
      <c r="M251" s="64" t="s">
        <v>772</v>
      </c>
      <c r="N251" s="58" t="str">
        <f>VLOOKUP(E251,订单号!B:C,2,0)</f>
        <v>YZ40000680</v>
      </c>
      <c r="O251" s="35" t="e">
        <f>VLOOKUP(C251,领导干部!B:B,1,0)</f>
        <v>#N/A</v>
      </c>
    </row>
    <row r="252" s="35" customFormat="1" customHeight="1" spans="1:15">
      <c r="A252" s="47">
        <f t="shared" si="6"/>
        <v>251</v>
      </c>
      <c r="B252" s="57" t="s">
        <v>429</v>
      </c>
      <c r="C252" s="49">
        <f>IFERROR(VLOOKUP(B252,[1]工程研发事业部人员名单!B:D,2,0),"")</f>
        <v>51226</v>
      </c>
      <c r="D252" s="50" t="str">
        <f>IFERROR(VLOOKUP(B252,[1]工程研发事业部人员名单!B:D,3,0),"")</f>
        <v>综合技术室</v>
      </c>
      <c r="E252" s="51" t="s">
        <v>177</v>
      </c>
      <c r="F252" s="52">
        <f t="shared" si="7"/>
        <v>160</v>
      </c>
      <c r="G252" s="62"/>
      <c r="H252" s="53"/>
      <c r="I252" s="53">
        <v>160</v>
      </c>
      <c r="J252" s="64"/>
      <c r="K252" s="57" t="s">
        <v>277</v>
      </c>
      <c r="L252" s="91"/>
      <c r="M252" s="64" t="s">
        <v>772</v>
      </c>
      <c r="N252" s="58" t="str">
        <f>VLOOKUP(E252,订单号!B:C,2,0)</f>
        <v>YZ40000680</v>
      </c>
      <c r="O252" s="35" t="e">
        <f>VLOOKUP(C252,领导干部!B:B,1,0)</f>
        <v>#N/A</v>
      </c>
    </row>
    <row r="253" s="35" customFormat="1" customHeight="1" spans="1:15">
      <c r="A253" s="47">
        <f t="shared" si="6"/>
        <v>252</v>
      </c>
      <c r="B253" s="48" t="s">
        <v>674</v>
      </c>
      <c r="C253" s="49">
        <f>IFERROR(VLOOKUP(B253,[1]工程研发事业部人员名单!B:D,2,0),"")</f>
        <v>51202</v>
      </c>
      <c r="D253" s="50" t="str">
        <f>IFERROR(VLOOKUP(B253,[1]工程研发事业部人员名单!B:D,3,0),"")</f>
        <v>综合技术室</v>
      </c>
      <c r="E253" s="51" t="s">
        <v>177</v>
      </c>
      <c r="F253" s="52">
        <f t="shared" si="7"/>
        <v>160</v>
      </c>
      <c r="G253" s="62"/>
      <c r="H253" s="53"/>
      <c r="I253" s="53">
        <v>160</v>
      </c>
      <c r="J253" s="64"/>
      <c r="K253" s="57" t="s">
        <v>277</v>
      </c>
      <c r="L253" s="91"/>
      <c r="M253" s="64" t="s">
        <v>772</v>
      </c>
      <c r="N253" s="58" t="str">
        <f>VLOOKUP(E253,订单号!B:C,2,0)</f>
        <v>YZ40000680</v>
      </c>
      <c r="O253" s="35">
        <f>VLOOKUP(C253,领导干部!B:B,1,0)</f>
        <v>51202</v>
      </c>
    </row>
    <row r="254" s="35" customFormat="1" customHeight="1" spans="1:15">
      <c r="A254" s="47">
        <f t="shared" si="6"/>
        <v>253</v>
      </c>
      <c r="B254" s="48" t="s">
        <v>389</v>
      </c>
      <c r="C254" s="49">
        <f>IFERROR(VLOOKUP(B254,[1]工程研发事业部人员名单!B:D,2,0),"")</f>
        <v>22291</v>
      </c>
      <c r="D254" s="50" t="str">
        <f>IFERROR(VLOOKUP(B254,[1]工程研发事业部人员名单!B:D,3,0),"")</f>
        <v>综合技术室</v>
      </c>
      <c r="E254" s="51" t="s">
        <v>177</v>
      </c>
      <c r="F254" s="52">
        <f t="shared" si="7"/>
        <v>140</v>
      </c>
      <c r="G254" s="62"/>
      <c r="H254" s="62"/>
      <c r="I254" s="53">
        <v>140</v>
      </c>
      <c r="J254" s="57"/>
      <c r="K254" s="57" t="s">
        <v>277</v>
      </c>
      <c r="L254" s="91"/>
      <c r="M254" s="64" t="s">
        <v>772</v>
      </c>
      <c r="N254" s="58" t="str">
        <f>VLOOKUP(E254,订单号!B:C,2,0)</f>
        <v>YZ40000680</v>
      </c>
      <c r="O254" s="35" t="e">
        <f>VLOOKUP(C254,领导干部!B:B,1,0)</f>
        <v>#N/A</v>
      </c>
    </row>
    <row r="255" s="35" customFormat="1" customHeight="1" spans="1:15">
      <c r="A255" s="47">
        <f t="shared" si="6"/>
        <v>254</v>
      </c>
      <c r="B255" s="78" t="s">
        <v>249</v>
      </c>
      <c r="C255" s="49">
        <f>IFERROR(VLOOKUP(B255,[1]工程研发事业部人员名单!B:D,2,0),"")</f>
        <v>51160</v>
      </c>
      <c r="D255" s="50" t="str">
        <f>IFERROR(VLOOKUP(B255,[1]工程研发事业部人员名单!B:D,3,0),"")</f>
        <v>综合技术室</v>
      </c>
      <c r="E255" s="51" t="s">
        <v>177</v>
      </c>
      <c r="F255" s="52">
        <f t="shared" si="7"/>
        <v>170</v>
      </c>
      <c r="G255" s="62"/>
      <c r="H255" s="62"/>
      <c r="I255" s="53">
        <v>170</v>
      </c>
      <c r="J255" s="57"/>
      <c r="K255" s="57" t="s">
        <v>277</v>
      </c>
      <c r="L255" s="91"/>
      <c r="M255" s="64" t="s">
        <v>772</v>
      </c>
      <c r="N255" s="58" t="str">
        <f>VLOOKUP(E255,订单号!B:C,2,0)</f>
        <v>YZ40000680</v>
      </c>
      <c r="O255" s="35" t="e">
        <f>VLOOKUP(C255,领导干部!B:B,1,0)</f>
        <v>#N/A</v>
      </c>
    </row>
    <row r="256" s="35" customFormat="1" customHeight="1" spans="1:15">
      <c r="A256" s="47">
        <f t="shared" si="6"/>
        <v>255</v>
      </c>
      <c r="B256" s="80" t="s">
        <v>332</v>
      </c>
      <c r="C256" s="49">
        <f>IFERROR(VLOOKUP(B256,[1]工程研发事业部人员名单!B:D,2,0),"")</f>
        <v>51151</v>
      </c>
      <c r="D256" s="50" t="str">
        <f>IFERROR(VLOOKUP(B256,[1]工程研发事业部人员名单!B:D,3,0),"")</f>
        <v>综合技术室</v>
      </c>
      <c r="E256" s="51" t="s">
        <v>177</v>
      </c>
      <c r="F256" s="52">
        <f t="shared" si="7"/>
        <v>50</v>
      </c>
      <c r="G256" s="62"/>
      <c r="H256" s="62"/>
      <c r="I256" s="53">
        <v>50</v>
      </c>
      <c r="J256" s="57"/>
      <c r="K256" s="57" t="s">
        <v>277</v>
      </c>
      <c r="L256" s="91"/>
      <c r="M256" s="64" t="s">
        <v>772</v>
      </c>
      <c r="N256" s="58" t="str">
        <f>VLOOKUP(E256,订单号!B:C,2,0)</f>
        <v>YZ40000680</v>
      </c>
      <c r="O256" s="35" t="e">
        <f>VLOOKUP(C256,领导干部!B:B,1,0)</f>
        <v>#N/A</v>
      </c>
    </row>
    <row r="257" s="35" customFormat="1" customHeight="1" spans="1:15">
      <c r="A257" s="47">
        <f t="shared" si="6"/>
        <v>256</v>
      </c>
      <c r="B257" s="80" t="s">
        <v>691</v>
      </c>
      <c r="C257" s="49">
        <f>IFERROR(VLOOKUP(B257,[1]工程研发事业部人员名单!B:D,2,0),"")</f>
        <v>52027</v>
      </c>
      <c r="D257" s="50" t="str">
        <f>IFERROR(VLOOKUP(B257,[1]工程研发事业部人员名单!B:D,3,0),"")</f>
        <v>综合技术室</v>
      </c>
      <c r="E257" s="51" t="s">
        <v>177</v>
      </c>
      <c r="F257" s="52">
        <f t="shared" si="7"/>
        <v>10</v>
      </c>
      <c r="G257" s="62"/>
      <c r="H257" s="62"/>
      <c r="I257" s="72">
        <v>10</v>
      </c>
      <c r="J257" s="57"/>
      <c r="K257" s="57" t="s">
        <v>277</v>
      </c>
      <c r="L257" s="57"/>
      <c r="M257" s="64" t="s">
        <v>772</v>
      </c>
      <c r="N257" s="58" t="str">
        <f>VLOOKUP(E257,订单号!B:C,2,0)</f>
        <v>YZ40000680</v>
      </c>
      <c r="O257" s="35" t="e">
        <f>VLOOKUP(C257,领导干部!B:B,1,0)</f>
        <v>#N/A</v>
      </c>
    </row>
    <row r="258" s="35" customFormat="1" customHeight="1" spans="1:15">
      <c r="A258" s="47">
        <f t="shared" ref="A258:A321" si="8">ROW()-1</f>
        <v>257</v>
      </c>
      <c r="B258" s="48" t="s">
        <v>440</v>
      </c>
      <c r="C258" s="49">
        <f>IFERROR(VLOOKUP(B258,[1]工程研发事业部人员名单!B:D,2,0),"")</f>
        <v>50716</v>
      </c>
      <c r="D258" s="50" t="str">
        <f>IFERROR(VLOOKUP(B258,[1]工程研发事业部人员名单!B:D,3,0),"")</f>
        <v>强度室</v>
      </c>
      <c r="E258" s="51" t="s">
        <v>177</v>
      </c>
      <c r="F258" s="52">
        <f t="shared" ref="F258:F321" si="9">G258+H258+I258+J258</f>
        <v>80</v>
      </c>
      <c r="G258" s="62"/>
      <c r="H258" s="62"/>
      <c r="I258" s="53">
        <v>80</v>
      </c>
      <c r="J258" s="57"/>
      <c r="K258" s="57" t="s">
        <v>277</v>
      </c>
      <c r="L258" s="57"/>
      <c r="M258" s="64" t="s">
        <v>772</v>
      </c>
      <c r="N258" s="58" t="str">
        <f>VLOOKUP(E258,订单号!B:C,2,0)</f>
        <v>YZ40000680</v>
      </c>
      <c r="O258" s="35" t="e">
        <f>VLOOKUP(C258,领导干部!B:B,1,0)</f>
        <v>#N/A</v>
      </c>
    </row>
    <row r="259" s="35" customFormat="1" customHeight="1" spans="1:15">
      <c r="A259" s="47">
        <f t="shared" si="8"/>
        <v>258</v>
      </c>
      <c r="B259" s="57" t="s">
        <v>695</v>
      </c>
      <c r="C259" s="49">
        <f>IFERROR(VLOOKUP(B259,[1]工程研发事业部人员名单!B:D,2,0),"")</f>
        <v>52561</v>
      </c>
      <c r="D259" s="50" t="str">
        <f>IFERROR(VLOOKUP(B259,[1]工程研发事业部人员名单!B:D,3,0),"")</f>
        <v>强度室</v>
      </c>
      <c r="E259" s="51" t="s">
        <v>177</v>
      </c>
      <c r="F259" s="52">
        <f t="shared" si="9"/>
        <v>50</v>
      </c>
      <c r="G259" s="62"/>
      <c r="H259" s="79"/>
      <c r="I259" s="53">
        <v>50</v>
      </c>
      <c r="J259" s="57"/>
      <c r="K259" s="57" t="s">
        <v>277</v>
      </c>
      <c r="L259" s="57"/>
      <c r="M259" s="64" t="s">
        <v>772</v>
      </c>
      <c r="N259" s="58" t="str">
        <f>VLOOKUP(E259,订单号!B:C,2,0)</f>
        <v>YZ40000680</v>
      </c>
      <c r="O259" s="35" t="e">
        <f>VLOOKUP(C259,领导干部!B:B,1,0)</f>
        <v>#N/A</v>
      </c>
    </row>
    <row r="260" s="35" customFormat="1" customHeight="1" spans="1:15">
      <c r="A260" s="47">
        <f t="shared" si="8"/>
        <v>259</v>
      </c>
      <c r="B260" s="57" t="s">
        <v>262</v>
      </c>
      <c r="C260" s="49">
        <f>IFERROR(VLOOKUP(B260,[1]工程研发事业部人员名单!B:D,2,0),"")</f>
        <v>22294</v>
      </c>
      <c r="D260" s="50" t="str">
        <f>IFERROR(VLOOKUP(B260,[1]工程研发事业部人员名单!B:D,3,0),"")</f>
        <v>结构一室</v>
      </c>
      <c r="E260" s="51" t="s">
        <v>177</v>
      </c>
      <c r="F260" s="52">
        <f t="shared" si="9"/>
        <v>200</v>
      </c>
      <c r="G260" s="62"/>
      <c r="H260" s="62"/>
      <c r="I260" s="53">
        <v>200</v>
      </c>
      <c r="J260" s="57"/>
      <c r="K260" s="57" t="s">
        <v>277</v>
      </c>
      <c r="L260" s="57"/>
      <c r="M260" s="94" t="s">
        <v>773</v>
      </c>
      <c r="N260" s="58" t="str">
        <f>VLOOKUP(E260,订单号!B:C,2,0)</f>
        <v>YZ40000680</v>
      </c>
      <c r="O260" s="35" t="e">
        <f>VLOOKUP(C260,领导干部!B:B,1,0)</f>
        <v>#N/A</v>
      </c>
    </row>
    <row r="261" s="35" customFormat="1" customHeight="1" spans="1:15">
      <c r="A261" s="47">
        <f t="shared" si="8"/>
        <v>260</v>
      </c>
      <c r="B261" s="54" t="s">
        <v>373</v>
      </c>
      <c r="C261" s="49">
        <f>IFERROR(VLOOKUP(B261,[1]工程研发事业部人员名单!B:D,2,0),"")</f>
        <v>51234</v>
      </c>
      <c r="D261" s="50" t="str">
        <f>IFERROR(VLOOKUP(B261,[1]工程研发事业部人员名单!B:D,3,0),"")</f>
        <v>结构二室</v>
      </c>
      <c r="E261" s="76" t="s">
        <v>176</v>
      </c>
      <c r="F261" s="52">
        <f t="shared" si="9"/>
        <v>120</v>
      </c>
      <c r="G261" s="62"/>
      <c r="H261" s="62"/>
      <c r="I261" s="60">
        <v>120</v>
      </c>
      <c r="J261" s="60"/>
      <c r="K261" s="76" t="s">
        <v>277</v>
      </c>
      <c r="L261" s="85" t="s">
        <v>742</v>
      </c>
      <c r="M261" s="61" t="s">
        <v>774</v>
      </c>
      <c r="N261" s="58" t="e">
        <f>VLOOKUP(E261,订单号!B:C,2,0)</f>
        <v>#N/A</v>
      </c>
      <c r="O261" s="35" t="e">
        <f>VLOOKUP(C261,领导干部!B:B,1,0)</f>
        <v>#N/A</v>
      </c>
    </row>
    <row r="262" s="35" customFormat="1" customHeight="1" spans="1:15">
      <c r="A262" s="47">
        <f t="shared" si="8"/>
        <v>261</v>
      </c>
      <c r="B262" s="54" t="s">
        <v>695</v>
      </c>
      <c r="C262" s="49">
        <f>IFERROR(VLOOKUP(B262,[1]工程研发事业部人员名单!B:D,2,0),"")</f>
        <v>52561</v>
      </c>
      <c r="D262" s="50" t="str">
        <f>IFERROR(VLOOKUP(B262,[1]工程研发事业部人员名单!B:D,3,0),"")</f>
        <v>强度室</v>
      </c>
      <c r="E262" s="76" t="s">
        <v>176</v>
      </c>
      <c r="F262" s="52">
        <f t="shared" si="9"/>
        <v>50</v>
      </c>
      <c r="G262" s="62"/>
      <c r="H262" s="62"/>
      <c r="I262" s="60">
        <v>50</v>
      </c>
      <c r="J262" s="60"/>
      <c r="K262" s="76" t="s">
        <v>277</v>
      </c>
      <c r="L262" s="85" t="s">
        <v>742</v>
      </c>
      <c r="M262" s="61" t="s">
        <v>775</v>
      </c>
      <c r="N262" s="58" t="e">
        <f>VLOOKUP(E262,订单号!B:C,2,0)</f>
        <v>#N/A</v>
      </c>
      <c r="O262" s="35" t="e">
        <f>VLOOKUP(C262,领导干部!B:B,1,0)</f>
        <v>#N/A</v>
      </c>
    </row>
    <row r="263" s="35" customFormat="1" customHeight="1" spans="1:15">
      <c r="A263" s="47">
        <f t="shared" si="8"/>
        <v>262</v>
      </c>
      <c r="B263" s="92" t="s">
        <v>295</v>
      </c>
      <c r="C263" s="49">
        <f>IFERROR(VLOOKUP(B263,[1]工程研发事业部人员名单!B:D,2,0),"")</f>
        <v>51951</v>
      </c>
      <c r="D263" s="50" t="str">
        <f>IFERROR(VLOOKUP(B263,[1]工程研发事业部人员名单!B:D,3,0),"")</f>
        <v>系统室</v>
      </c>
      <c r="E263" s="57" t="s">
        <v>193</v>
      </c>
      <c r="F263" s="52">
        <f t="shared" si="9"/>
        <v>30</v>
      </c>
      <c r="G263" s="60"/>
      <c r="H263" s="60"/>
      <c r="I263" s="53">
        <v>30</v>
      </c>
      <c r="J263" s="53"/>
      <c r="K263" s="57"/>
      <c r="L263" s="57"/>
      <c r="M263" s="58" t="s">
        <v>184</v>
      </c>
      <c r="N263" s="58">
        <f>VLOOKUP(E263,订单号!B:C,2,0)</f>
        <v>0</v>
      </c>
      <c r="O263" s="35" t="e">
        <f>VLOOKUP(C263,领导干部!B:B,1,0)</f>
        <v>#N/A</v>
      </c>
    </row>
    <row r="264" s="35" customFormat="1" customHeight="1" spans="1:15">
      <c r="A264" s="47">
        <f t="shared" si="8"/>
        <v>263</v>
      </c>
      <c r="B264" s="92" t="s">
        <v>685</v>
      </c>
      <c r="C264" s="49">
        <f>IFERROR(VLOOKUP(B264,[1]工程研发事业部人员名单!B:D,2,0),"")</f>
        <v>52166</v>
      </c>
      <c r="D264" s="50" t="str">
        <f>IFERROR(VLOOKUP(B264,[1]工程研发事业部人员名单!B:D,3,0),"")</f>
        <v>系统室</v>
      </c>
      <c r="E264" s="57" t="s">
        <v>193</v>
      </c>
      <c r="F264" s="52">
        <f t="shared" si="9"/>
        <v>88</v>
      </c>
      <c r="G264" s="60"/>
      <c r="H264" s="60"/>
      <c r="I264" s="53">
        <v>88</v>
      </c>
      <c r="J264" s="53"/>
      <c r="K264" s="57"/>
      <c r="L264" s="57"/>
      <c r="M264" s="59" t="s">
        <v>184</v>
      </c>
      <c r="N264" s="58">
        <f>VLOOKUP(E264,订单号!B:C,2,0)</f>
        <v>0</v>
      </c>
      <c r="O264" s="35" t="e">
        <f>VLOOKUP(C264,领导干部!B:B,1,0)</f>
        <v>#N/A</v>
      </c>
    </row>
    <row r="265" s="35" customFormat="1" customHeight="1" spans="1:15">
      <c r="A265" s="47">
        <f t="shared" si="8"/>
        <v>264</v>
      </c>
      <c r="B265" s="92" t="s">
        <v>298</v>
      </c>
      <c r="C265" s="49">
        <f>IFERROR(VLOOKUP(B265,[1]工程研发事业部人员名单!B:D,2,0),"")</f>
        <v>51517</v>
      </c>
      <c r="D265" s="50" t="str">
        <f>IFERROR(VLOOKUP(B265,[1]工程研发事业部人员名单!B:D,3,0),"")</f>
        <v>系统室</v>
      </c>
      <c r="E265" s="57" t="s">
        <v>193</v>
      </c>
      <c r="F265" s="52">
        <f t="shared" si="9"/>
        <v>88</v>
      </c>
      <c r="G265" s="60"/>
      <c r="H265" s="60"/>
      <c r="I265" s="53">
        <v>88</v>
      </c>
      <c r="J265" s="53"/>
      <c r="K265" s="57"/>
      <c r="L265" s="57"/>
      <c r="M265" s="59" t="s">
        <v>184</v>
      </c>
      <c r="N265" s="58">
        <f>VLOOKUP(E265,订单号!B:C,2,0)</f>
        <v>0</v>
      </c>
      <c r="O265" s="35" t="e">
        <f>VLOOKUP(C265,领导干部!B:B,1,0)</f>
        <v>#N/A</v>
      </c>
    </row>
    <row r="266" s="35" customFormat="1" customHeight="1" spans="1:15">
      <c r="A266" s="47">
        <f t="shared" si="8"/>
        <v>265</v>
      </c>
      <c r="B266" s="92" t="s">
        <v>321</v>
      </c>
      <c r="C266" s="49">
        <f>IFERROR(VLOOKUP(B266,[1]工程研发事业部人员名单!B:D,2,0),"")</f>
        <v>51430</v>
      </c>
      <c r="D266" s="50" t="str">
        <f>IFERROR(VLOOKUP(B266,[1]工程研发事业部人员名单!B:D,3,0),"")</f>
        <v>系统室</v>
      </c>
      <c r="E266" s="57" t="s">
        <v>193</v>
      </c>
      <c r="F266" s="52">
        <f t="shared" si="9"/>
        <v>50</v>
      </c>
      <c r="G266" s="60"/>
      <c r="H266" s="60"/>
      <c r="I266" s="53">
        <v>50</v>
      </c>
      <c r="J266" s="53"/>
      <c r="K266" s="57"/>
      <c r="L266" s="57"/>
      <c r="M266" s="59" t="s">
        <v>184</v>
      </c>
      <c r="N266" s="58">
        <f>VLOOKUP(E266,订单号!B:C,2,0)</f>
        <v>0</v>
      </c>
      <c r="O266" s="35" t="e">
        <f>VLOOKUP(C266,领导干部!B:B,1,0)</f>
        <v>#N/A</v>
      </c>
    </row>
    <row r="267" s="35" customFormat="1" customHeight="1" spans="1:15">
      <c r="A267" s="47">
        <f t="shared" si="8"/>
        <v>266</v>
      </c>
      <c r="B267" s="92" t="s">
        <v>305</v>
      </c>
      <c r="C267" s="49">
        <f>IFERROR(VLOOKUP(B267,[1]工程研发事业部人员名单!B:D,2,0),"")</f>
        <v>51389</v>
      </c>
      <c r="D267" s="50" t="str">
        <f>IFERROR(VLOOKUP(B267,[1]工程研发事业部人员名单!B:D,3,0),"")</f>
        <v>系统室</v>
      </c>
      <c r="E267" s="57" t="s">
        <v>193</v>
      </c>
      <c r="F267" s="52">
        <f t="shared" si="9"/>
        <v>20</v>
      </c>
      <c r="G267" s="53"/>
      <c r="H267" s="53"/>
      <c r="I267" s="53">
        <v>20</v>
      </c>
      <c r="J267" s="53"/>
      <c r="K267" s="57"/>
      <c r="L267" s="57"/>
      <c r="M267" s="59" t="s">
        <v>184</v>
      </c>
      <c r="N267" s="58">
        <f>VLOOKUP(E267,订单号!B:C,2,0)</f>
        <v>0</v>
      </c>
      <c r="O267" s="35" t="e">
        <f>VLOOKUP(C267,领导干部!B:B,1,0)</f>
        <v>#N/A</v>
      </c>
    </row>
    <row r="268" s="35" customFormat="1" customHeight="1" spans="1:15">
      <c r="A268" s="47">
        <f t="shared" si="8"/>
        <v>267</v>
      </c>
      <c r="B268" s="48" t="s">
        <v>376</v>
      </c>
      <c r="C268" s="49">
        <f>IFERROR(VLOOKUP(B268,[1]工程研发事业部人员名单!B:D,2,0),"")</f>
        <v>50872</v>
      </c>
      <c r="D268" s="50" t="str">
        <f>IFERROR(VLOOKUP(B268,[1]工程研发事业部人员名单!B:D,3,0),"")</f>
        <v>系统室</v>
      </c>
      <c r="E268" s="57" t="s">
        <v>193</v>
      </c>
      <c r="F268" s="52">
        <f t="shared" si="9"/>
        <v>30</v>
      </c>
      <c r="G268" s="53"/>
      <c r="H268" s="53"/>
      <c r="I268" s="53">
        <v>30</v>
      </c>
      <c r="J268" s="53"/>
      <c r="K268" s="57"/>
      <c r="L268" s="57"/>
      <c r="M268" s="59" t="s">
        <v>184</v>
      </c>
      <c r="N268" s="58">
        <f>VLOOKUP(E268,订单号!B:C,2,0)</f>
        <v>0</v>
      </c>
      <c r="O268" s="35" t="e">
        <f>VLOOKUP(C268,领导干部!B:B,1,0)</f>
        <v>#N/A</v>
      </c>
    </row>
    <row r="269" s="35" customFormat="1" customHeight="1" spans="1:15">
      <c r="A269" s="47">
        <f t="shared" si="8"/>
        <v>268</v>
      </c>
      <c r="B269" s="48" t="s">
        <v>292</v>
      </c>
      <c r="C269" s="49">
        <f>IFERROR(VLOOKUP(B269,[1]工程研发事业部人员名单!B:D,2,0),"")</f>
        <v>51385</v>
      </c>
      <c r="D269" s="50" t="str">
        <f>IFERROR(VLOOKUP(B269,[1]工程研发事业部人员名单!B:D,3,0),"")</f>
        <v>系统室</v>
      </c>
      <c r="E269" s="57" t="s">
        <v>193</v>
      </c>
      <c r="F269" s="52">
        <f t="shared" si="9"/>
        <v>40</v>
      </c>
      <c r="G269" s="53"/>
      <c r="H269" s="53"/>
      <c r="I269" s="53">
        <v>40</v>
      </c>
      <c r="J269" s="53"/>
      <c r="K269" s="57"/>
      <c r="L269" s="57"/>
      <c r="M269" s="59" t="s">
        <v>177</v>
      </c>
      <c r="N269" s="58">
        <f>VLOOKUP(E269,订单号!B:C,2,0)</f>
        <v>0</v>
      </c>
      <c r="O269" s="35" t="e">
        <f>VLOOKUP(C269,领导干部!B:B,1,0)</f>
        <v>#N/A</v>
      </c>
    </row>
    <row r="270" s="35" customFormat="1" customHeight="1" spans="1:15">
      <c r="A270" s="47">
        <f t="shared" si="8"/>
        <v>269</v>
      </c>
      <c r="B270" s="48" t="s">
        <v>338</v>
      </c>
      <c r="C270" s="49">
        <f>IFERROR(VLOOKUP(B270,[1]工程研发事业部人员名单!B:D,2,0),"")</f>
        <v>52156</v>
      </c>
      <c r="D270" s="50" t="str">
        <f>IFERROR(VLOOKUP(B270,[1]工程研发事业部人员名单!B:D,3,0),"")</f>
        <v>系统室</v>
      </c>
      <c r="E270" s="57" t="s">
        <v>193</v>
      </c>
      <c r="F270" s="52">
        <f t="shared" si="9"/>
        <v>30</v>
      </c>
      <c r="G270" s="53"/>
      <c r="H270" s="53"/>
      <c r="I270" s="53">
        <v>30</v>
      </c>
      <c r="J270" s="53"/>
      <c r="K270" s="57"/>
      <c r="L270" s="57"/>
      <c r="M270" s="59" t="s">
        <v>184</v>
      </c>
      <c r="N270" s="58">
        <f>VLOOKUP(E270,订单号!B:C,2,0)</f>
        <v>0</v>
      </c>
      <c r="O270" s="35" t="e">
        <f>VLOOKUP(C270,领导干部!B:B,1,0)</f>
        <v>#N/A</v>
      </c>
    </row>
    <row r="271" s="35" customFormat="1" customHeight="1" spans="1:15">
      <c r="A271" s="47">
        <f t="shared" si="8"/>
        <v>270</v>
      </c>
      <c r="B271" s="48" t="s">
        <v>360</v>
      </c>
      <c r="C271" s="49">
        <f>IFERROR(VLOOKUP(B271,[1]工程研发事业部人员名单!B:D,2,0),"")</f>
        <v>50713</v>
      </c>
      <c r="D271" s="50" t="str">
        <f>IFERROR(VLOOKUP(B271,[1]工程研发事业部人员名单!B:D,3,0),"")</f>
        <v>系统室</v>
      </c>
      <c r="E271" s="57" t="s">
        <v>193</v>
      </c>
      <c r="F271" s="52">
        <f t="shared" si="9"/>
        <v>60</v>
      </c>
      <c r="G271" s="53"/>
      <c r="H271" s="53"/>
      <c r="I271" s="53">
        <v>60</v>
      </c>
      <c r="J271" s="53"/>
      <c r="K271" s="57"/>
      <c r="L271" s="57"/>
      <c r="M271" s="59" t="s">
        <v>184</v>
      </c>
      <c r="N271" s="58">
        <f>VLOOKUP(E271,订单号!B:C,2,0)</f>
        <v>0</v>
      </c>
      <c r="O271" s="35" t="e">
        <f>VLOOKUP(C271,领导干部!B:B,1,0)</f>
        <v>#N/A</v>
      </c>
    </row>
    <row r="272" s="35" customFormat="1" customHeight="1" spans="1:15">
      <c r="A272" s="47">
        <f t="shared" si="8"/>
        <v>271</v>
      </c>
      <c r="B272" s="48" t="s">
        <v>358</v>
      </c>
      <c r="C272" s="49">
        <f>IFERROR(VLOOKUP(B272,[1]工程研发事业部人员名单!B:D,2,0),"")</f>
        <v>51387</v>
      </c>
      <c r="D272" s="50" t="str">
        <f>IFERROR(VLOOKUP(B272,[1]工程研发事业部人员名单!B:D,3,0),"")</f>
        <v>系统室</v>
      </c>
      <c r="E272" s="57" t="s">
        <v>193</v>
      </c>
      <c r="F272" s="52">
        <f t="shared" si="9"/>
        <v>15</v>
      </c>
      <c r="G272" s="53"/>
      <c r="H272" s="53"/>
      <c r="I272" s="53">
        <v>15</v>
      </c>
      <c r="J272" s="53"/>
      <c r="K272" s="57"/>
      <c r="L272" s="57"/>
      <c r="M272" s="59" t="s">
        <v>184</v>
      </c>
      <c r="N272" s="58">
        <f>VLOOKUP(E272,订单号!B:C,2,0)</f>
        <v>0</v>
      </c>
      <c r="O272" s="35" t="e">
        <f>VLOOKUP(C272,领导干部!B:B,1,0)</f>
        <v>#N/A</v>
      </c>
    </row>
    <row r="273" s="35" customFormat="1" customHeight="1" spans="1:15">
      <c r="A273" s="47">
        <f t="shared" si="8"/>
        <v>272</v>
      </c>
      <c r="B273" s="48" t="s">
        <v>311</v>
      </c>
      <c r="C273" s="49">
        <f>IFERROR(VLOOKUP(B273,[1]工程研发事业部人员名单!B:D,2,0),"")</f>
        <v>51435</v>
      </c>
      <c r="D273" s="50" t="str">
        <f>IFERROR(VLOOKUP(B273,[1]工程研发事业部人员名单!B:D,3,0),"")</f>
        <v>系统室</v>
      </c>
      <c r="E273" s="57" t="s">
        <v>193</v>
      </c>
      <c r="F273" s="52">
        <f t="shared" si="9"/>
        <v>30</v>
      </c>
      <c r="G273" s="53"/>
      <c r="H273" s="53"/>
      <c r="I273" s="53">
        <v>30</v>
      </c>
      <c r="J273" s="53"/>
      <c r="K273" s="57"/>
      <c r="L273" s="57"/>
      <c r="M273" s="59" t="s">
        <v>177</v>
      </c>
      <c r="N273" s="58">
        <f>VLOOKUP(E273,订单号!B:C,2,0)</f>
        <v>0</v>
      </c>
      <c r="O273" s="35" t="e">
        <f>VLOOKUP(C273,领导干部!B:B,1,0)</f>
        <v>#N/A</v>
      </c>
    </row>
    <row r="274" s="35" customFormat="1" customHeight="1" spans="1:15">
      <c r="A274" s="47">
        <f t="shared" si="8"/>
        <v>273</v>
      </c>
      <c r="B274" s="48" t="s">
        <v>479</v>
      </c>
      <c r="C274" s="49">
        <f>IFERROR(VLOOKUP(B274,[1]工程研发事业部人员名单!B:D,2,0),"")</f>
        <v>50323</v>
      </c>
      <c r="D274" s="50" t="str">
        <f>IFERROR(VLOOKUP(B274,[1]工程研发事业部人员名单!B:D,3,0),"")</f>
        <v>联络工程室</v>
      </c>
      <c r="E274" s="57" t="s">
        <v>193</v>
      </c>
      <c r="F274" s="52">
        <f t="shared" si="9"/>
        <v>67.5</v>
      </c>
      <c r="G274" s="53"/>
      <c r="H274" s="53"/>
      <c r="I274" s="53">
        <v>67.5</v>
      </c>
      <c r="J274" s="53"/>
      <c r="K274" s="57"/>
      <c r="L274" s="57"/>
      <c r="M274" s="59" t="s">
        <v>776</v>
      </c>
      <c r="N274" s="58">
        <f>VLOOKUP(E274,订单号!B:C,2,0)</f>
        <v>0</v>
      </c>
      <c r="O274" s="35" t="e">
        <f>VLOOKUP(C274,领导干部!B:B,1,0)</f>
        <v>#N/A</v>
      </c>
    </row>
    <row r="275" s="35" customFormat="1" customHeight="1" spans="1:15">
      <c r="A275" s="47">
        <f t="shared" si="8"/>
        <v>274</v>
      </c>
      <c r="B275" s="93" t="s">
        <v>244</v>
      </c>
      <c r="C275" s="49">
        <f>IFERROR(VLOOKUP(B275,[1]工程研发事业部人员名单!B:D,2,0),"")</f>
        <v>51555</v>
      </c>
      <c r="D275" s="50" t="str">
        <f>IFERROR(VLOOKUP(B275,[1]工程研发事业部人员名单!B:D,3,0),"")</f>
        <v>联络工程室</v>
      </c>
      <c r="E275" s="57" t="s">
        <v>193</v>
      </c>
      <c r="F275" s="52">
        <f t="shared" si="9"/>
        <v>155</v>
      </c>
      <c r="G275" s="53"/>
      <c r="H275" s="53"/>
      <c r="I275" s="53">
        <v>155</v>
      </c>
      <c r="J275" s="53"/>
      <c r="K275" s="57"/>
      <c r="L275" s="57"/>
      <c r="M275" s="59" t="s">
        <v>776</v>
      </c>
      <c r="N275" s="58">
        <f>VLOOKUP(E275,订单号!B:C,2,0)</f>
        <v>0</v>
      </c>
      <c r="O275" s="35" t="e">
        <f>VLOOKUP(C275,领导干部!B:B,1,0)</f>
        <v>#N/A</v>
      </c>
    </row>
    <row r="276" s="35" customFormat="1" customHeight="1" spans="1:15">
      <c r="A276" s="47">
        <f t="shared" si="8"/>
        <v>275</v>
      </c>
      <c r="B276" s="48" t="s">
        <v>495</v>
      </c>
      <c r="C276" s="49">
        <f>IFERROR(VLOOKUP(B276,[1]工程研发事业部人员名单!B:D,2,0),"")</f>
        <v>52345</v>
      </c>
      <c r="D276" s="50" t="str">
        <f>IFERROR(VLOOKUP(B276,[1]工程研发事业部人员名单!B:D,3,0),"")</f>
        <v>结构一室</v>
      </c>
      <c r="E276" s="57" t="s">
        <v>193</v>
      </c>
      <c r="F276" s="52">
        <f t="shared" si="9"/>
        <v>96</v>
      </c>
      <c r="G276" s="53"/>
      <c r="H276" s="53"/>
      <c r="I276" s="53">
        <v>96</v>
      </c>
      <c r="J276" s="53"/>
      <c r="K276" s="57"/>
      <c r="L276" s="57"/>
      <c r="M276" s="59" t="s">
        <v>777</v>
      </c>
      <c r="N276" s="58">
        <f>VLOOKUP(E276,订单号!B:C,2,0)</f>
        <v>0</v>
      </c>
      <c r="O276" s="35" t="e">
        <f>VLOOKUP(C276,领导干部!B:B,1,0)</f>
        <v>#N/A</v>
      </c>
    </row>
    <row r="277" s="35" customFormat="1" customHeight="1" spans="1:15">
      <c r="A277" s="47">
        <f t="shared" si="8"/>
        <v>276</v>
      </c>
      <c r="B277" s="93" t="s">
        <v>333</v>
      </c>
      <c r="C277" s="49">
        <f>IFERROR(VLOOKUP(B277,[1]工程研发事业部人员名单!B:D,2,0),"")</f>
        <v>50032</v>
      </c>
      <c r="D277" s="50" t="str">
        <f>IFERROR(VLOOKUP(B277,[1]工程研发事业部人员名单!B:D,3,0),"")</f>
        <v>总体室</v>
      </c>
      <c r="E277" s="57" t="s">
        <v>193</v>
      </c>
      <c r="F277" s="52">
        <f t="shared" si="9"/>
        <v>135</v>
      </c>
      <c r="G277" s="53"/>
      <c r="H277" s="53"/>
      <c r="I277" s="53">
        <v>135</v>
      </c>
      <c r="J277" s="60"/>
      <c r="K277" s="57"/>
      <c r="L277" s="57"/>
      <c r="M277" s="95" t="s">
        <v>778</v>
      </c>
      <c r="N277" s="58">
        <f>VLOOKUP(E277,订单号!B:C,2,0)</f>
        <v>0</v>
      </c>
      <c r="O277" s="35" t="e">
        <f>VLOOKUP(C277,领导干部!B:B,1,0)</f>
        <v>#N/A</v>
      </c>
    </row>
    <row r="278" s="35" customFormat="1" customHeight="1" spans="1:15">
      <c r="A278" s="47">
        <f t="shared" si="8"/>
        <v>277</v>
      </c>
      <c r="B278" s="93" t="s">
        <v>459</v>
      </c>
      <c r="C278" s="49">
        <f>IFERROR(VLOOKUP(B278,[1]工程研发事业部人员名单!B:D,2,0),"")</f>
        <v>51400</v>
      </c>
      <c r="D278" s="50" t="str">
        <f>IFERROR(VLOOKUP(B278,[1]工程研发事业部人员名单!B:D,3,0),"")</f>
        <v>结构一室</v>
      </c>
      <c r="E278" s="57" t="s">
        <v>193</v>
      </c>
      <c r="F278" s="52">
        <f t="shared" si="9"/>
        <v>60</v>
      </c>
      <c r="G278" s="53"/>
      <c r="H278" s="53"/>
      <c r="I278" s="53">
        <v>60</v>
      </c>
      <c r="J278" s="60"/>
      <c r="K278" s="57"/>
      <c r="L278" s="57"/>
      <c r="M278" s="95" t="s">
        <v>779</v>
      </c>
      <c r="N278" s="58">
        <f>VLOOKUP(E278,订单号!B:C,2,0)</f>
        <v>0</v>
      </c>
      <c r="O278" s="35" t="e">
        <f>VLOOKUP(C278,领导干部!B:B,1,0)</f>
        <v>#N/A</v>
      </c>
    </row>
    <row r="279" s="35" customFormat="1" customHeight="1" spans="1:15">
      <c r="A279" s="47">
        <f t="shared" si="8"/>
        <v>278</v>
      </c>
      <c r="B279" s="48" t="s">
        <v>470</v>
      </c>
      <c r="C279" s="49">
        <f>IFERROR(VLOOKUP(B279,[1]工程研发事业部人员名单!B:D,2,0),"")</f>
        <v>52017</v>
      </c>
      <c r="D279" s="50" t="str">
        <f>IFERROR(VLOOKUP(B279,[1]工程研发事业部人员名单!B:D,3,0),"")</f>
        <v>结构一室</v>
      </c>
      <c r="E279" s="57" t="s">
        <v>193</v>
      </c>
      <c r="F279" s="52">
        <f t="shared" si="9"/>
        <v>37.5</v>
      </c>
      <c r="G279" s="53"/>
      <c r="H279" s="53"/>
      <c r="I279" s="53">
        <v>37.5</v>
      </c>
      <c r="J279" s="60"/>
      <c r="K279" s="57"/>
      <c r="L279" s="57"/>
      <c r="M279" s="61" t="s">
        <v>780</v>
      </c>
      <c r="N279" s="58">
        <f>VLOOKUP(E279,订单号!B:C,2,0)</f>
        <v>0</v>
      </c>
      <c r="O279" s="35" t="e">
        <f>VLOOKUP(C279,领导干部!B:B,1,0)</f>
        <v>#N/A</v>
      </c>
    </row>
    <row r="280" s="35" customFormat="1" customHeight="1" spans="1:15">
      <c r="A280" s="47">
        <f t="shared" si="8"/>
        <v>279</v>
      </c>
      <c r="B280" s="48" t="s">
        <v>267</v>
      </c>
      <c r="C280" s="49">
        <f>IFERROR(VLOOKUP(B280,[1]工程研发事业部人员名单!B:D,2,0),"")</f>
        <v>51624</v>
      </c>
      <c r="D280" s="50" t="str">
        <f>IFERROR(VLOOKUP(B280,[1]工程研发事业部人员名单!B:D,3,0),"")</f>
        <v>结构一室</v>
      </c>
      <c r="E280" s="57" t="s">
        <v>193</v>
      </c>
      <c r="F280" s="52">
        <f t="shared" si="9"/>
        <v>37.5</v>
      </c>
      <c r="G280" s="53"/>
      <c r="H280" s="53"/>
      <c r="I280" s="53">
        <v>37.5</v>
      </c>
      <c r="J280" s="60"/>
      <c r="K280" s="57"/>
      <c r="L280" s="57"/>
      <c r="M280" s="61" t="s">
        <v>780</v>
      </c>
      <c r="N280" s="58">
        <f>VLOOKUP(E280,订单号!B:C,2,0)</f>
        <v>0</v>
      </c>
      <c r="O280" s="35" t="e">
        <f>VLOOKUP(C280,领导干部!B:B,1,0)</f>
        <v>#N/A</v>
      </c>
    </row>
    <row r="281" s="35" customFormat="1" customHeight="1" spans="1:15">
      <c r="A281" s="47">
        <f t="shared" si="8"/>
        <v>280</v>
      </c>
      <c r="B281" s="48" t="s">
        <v>270</v>
      </c>
      <c r="C281" s="49">
        <f>IFERROR(VLOOKUP(B281,[1]工程研发事业部人员名单!B:D,2,0),"")</f>
        <v>51615</v>
      </c>
      <c r="D281" s="50" t="str">
        <f>IFERROR(VLOOKUP(B281,[1]工程研发事业部人员名单!B:D,3,0),"")</f>
        <v>结构一室</v>
      </c>
      <c r="E281" s="57" t="s">
        <v>193</v>
      </c>
      <c r="F281" s="52">
        <f t="shared" si="9"/>
        <v>37.5</v>
      </c>
      <c r="G281" s="53"/>
      <c r="H281" s="53"/>
      <c r="I281" s="53">
        <v>37.5</v>
      </c>
      <c r="J281" s="60"/>
      <c r="K281" s="57"/>
      <c r="L281" s="57"/>
      <c r="M281" s="61" t="s">
        <v>780</v>
      </c>
      <c r="N281" s="58">
        <f>VLOOKUP(E281,订单号!B:C,2,0)</f>
        <v>0</v>
      </c>
      <c r="O281" s="35" t="e">
        <f>VLOOKUP(C281,领导干部!B:B,1,0)</f>
        <v>#N/A</v>
      </c>
    </row>
    <row r="282" s="35" customFormat="1" customHeight="1" spans="1:15">
      <c r="A282" s="47">
        <f t="shared" si="8"/>
        <v>281</v>
      </c>
      <c r="B282" s="48" t="s">
        <v>355</v>
      </c>
      <c r="C282" s="49">
        <f>IFERROR(VLOOKUP(B282,[1]工程研发事业部人员名单!B:D,2,0),"")</f>
        <v>51844</v>
      </c>
      <c r="D282" s="50" t="str">
        <f>IFERROR(VLOOKUP(B282,[1]工程研发事业部人员名单!B:D,3,0),"")</f>
        <v>结构一室</v>
      </c>
      <c r="E282" s="57" t="s">
        <v>193</v>
      </c>
      <c r="F282" s="52">
        <f t="shared" si="9"/>
        <v>37.5</v>
      </c>
      <c r="G282" s="53"/>
      <c r="H282" s="53"/>
      <c r="I282" s="53">
        <v>37.5</v>
      </c>
      <c r="J282" s="60"/>
      <c r="K282" s="57"/>
      <c r="L282" s="57"/>
      <c r="M282" s="61" t="s">
        <v>780</v>
      </c>
      <c r="N282" s="58">
        <f>VLOOKUP(E282,订单号!B:C,2,0)</f>
        <v>0</v>
      </c>
      <c r="O282" s="35" t="e">
        <f>VLOOKUP(C282,领导干部!B:B,1,0)</f>
        <v>#N/A</v>
      </c>
    </row>
    <row r="283" s="35" customFormat="1" customHeight="1" spans="1:15">
      <c r="A283" s="47">
        <f t="shared" si="8"/>
        <v>282</v>
      </c>
      <c r="B283" s="48" t="s">
        <v>339</v>
      </c>
      <c r="C283" s="49">
        <f>IFERROR(VLOOKUP(B283,[1]工程研发事业部人员名单!B:D,2,0),"")</f>
        <v>50874</v>
      </c>
      <c r="D283" s="50" t="str">
        <f>IFERROR(VLOOKUP(B283,[1]工程研发事业部人员名单!B:D,3,0),"")</f>
        <v>总体室</v>
      </c>
      <c r="E283" s="57" t="s">
        <v>193</v>
      </c>
      <c r="F283" s="52">
        <f t="shared" si="9"/>
        <v>75</v>
      </c>
      <c r="G283" s="53"/>
      <c r="H283" s="53"/>
      <c r="I283" s="53">
        <v>75</v>
      </c>
      <c r="J283" s="60"/>
      <c r="K283" s="57"/>
      <c r="L283" s="57"/>
      <c r="M283" s="61" t="s">
        <v>780</v>
      </c>
      <c r="N283" s="58">
        <f>VLOOKUP(E283,订单号!B:C,2,0)</f>
        <v>0</v>
      </c>
      <c r="O283" s="35" t="e">
        <f>VLOOKUP(C283,领导干部!B:B,1,0)</f>
        <v>#N/A</v>
      </c>
    </row>
    <row r="284" s="35" customFormat="1" customHeight="1" spans="1:15">
      <c r="A284" s="47">
        <f t="shared" si="8"/>
        <v>283</v>
      </c>
      <c r="B284" s="48" t="s">
        <v>297</v>
      </c>
      <c r="C284" s="49">
        <f>IFERROR(VLOOKUP(B284,[1]工程研发事业部人员名单!B:D,2,0),"")</f>
        <v>51227</v>
      </c>
      <c r="D284" s="50" t="str">
        <f>IFERROR(VLOOKUP(B284,[1]工程研发事业部人员名单!B:D,3,0),"")</f>
        <v>结构一室</v>
      </c>
      <c r="E284" s="57" t="s">
        <v>193</v>
      </c>
      <c r="F284" s="52">
        <f t="shared" si="9"/>
        <v>75</v>
      </c>
      <c r="G284" s="53"/>
      <c r="H284" s="53"/>
      <c r="I284" s="53">
        <v>75</v>
      </c>
      <c r="J284" s="60"/>
      <c r="K284" s="57"/>
      <c r="L284" s="57"/>
      <c r="M284" s="61" t="s">
        <v>780</v>
      </c>
      <c r="N284" s="58">
        <f>VLOOKUP(E284,订单号!B:C,2,0)</f>
        <v>0</v>
      </c>
      <c r="O284" s="35" t="e">
        <f>VLOOKUP(C284,领导干部!B:B,1,0)</f>
        <v>#N/A</v>
      </c>
    </row>
    <row r="285" s="35" customFormat="1" customHeight="1" spans="1:15">
      <c r="A285" s="47">
        <f t="shared" si="8"/>
        <v>284</v>
      </c>
      <c r="B285" s="48" t="s">
        <v>686</v>
      </c>
      <c r="C285" s="49">
        <f>IFERROR(VLOOKUP(B285,[1]工程研发事业部人员名单!B:D,2,0),"")</f>
        <v>52016</v>
      </c>
      <c r="D285" s="50" t="str">
        <f>IFERROR(VLOOKUP(B285,[1]工程研发事业部人员名单!B:D,3,0),"")</f>
        <v>结构一室</v>
      </c>
      <c r="E285" s="57" t="s">
        <v>193</v>
      </c>
      <c r="F285" s="52">
        <f t="shared" si="9"/>
        <v>75</v>
      </c>
      <c r="G285" s="53"/>
      <c r="H285" s="53"/>
      <c r="I285" s="53">
        <v>75</v>
      </c>
      <c r="J285" s="60"/>
      <c r="K285" s="57"/>
      <c r="L285" s="57"/>
      <c r="M285" s="61" t="s">
        <v>780</v>
      </c>
      <c r="N285" s="58">
        <f>VLOOKUP(E285,订单号!B:C,2,0)</f>
        <v>0</v>
      </c>
      <c r="O285" s="35" t="e">
        <f>VLOOKUP(C285,领导干部!B:B,1,0)</f>
        <v>#N/A</v>
      </c>
    </row>
    <row r="286" s="35" customFormat="1" customHeight="1" spans="1:15">
      <c r="A286" s="47">
        <f t="shared" si="8"/>
        <v>285</v>
      </c>
      <c r="B286" s="48" t="s">
        <v>405</v>
      </c>
      <c r="C286" s="49">
        <f>IFERROR(VLOOKUP(B286,[1]工程研发事业部人员名单!B:D,2,0),"")</f>
        <v>50686</v>
      </c>
      <c r="D286" s="50" t="str">
        <f>IFERROR(VLOOKUP(B286,[1]工程研发事业部人员名单!B:D,3,0),"")</f>
        <v>综合技术室</v>
      </c>
      <c r="E286" s="57" t="s">
        <v>193</v>
      </c>
      <c r="F286" s="52">
        <f t="shared" si="9"/>
        <v>30</v>
      </c>
      <c r="G286" s="53"/>
      <c r="H286" s="53"/>
      <c r="I286" s="53">
        <v>30</v>
      </c>
      <c r="J286" s="60"/>
      <c r="K286" s="57"/>
      <c r="L286" s="57"/>
      <c r="M286" s="61" t="s">
        <v>781</v>
      </c>
      <c r="N286" s="58">
        <f>VLOOKUP(E286,订单号!B:C,2,0)</f>
        <v>0</v>
      </c>
      <c r="O286" s="35" t="e">
        <f>VLOOKUP(C286,领导干部!B:B,1,0)</f>
        <v>#N/A</v>
      </c>
    </row>
    <row r="287" s="35" customFormat="1" customHeight="1" spans="1:15">
      <c r="A287" s="47">
        <f t="shared" si="8"/>
        <v>286</v>
      </c>
      <c r="B287" s="48" t="s">
        <v>56</v>
      </c>
      <c r="C287" s="49">
        <f>IFERROR(VLOOKUP(B287,[1]工程研发事业部人员名单!B:D,2,0),"")</f>
        <v>52560</v>
      </c>
      <c r="D287" s="50" t="str">
        <f>IFERROR(VLOOKUP(B287,[1]工程研发事业部人员名单!B:D,3,0),"")</f>
        <v>强度室</v>
      </c>
      <c r="E287" s="57" t="s">
        <v>193</v>
      </c>
      <c r="F287" s="52">
        <f t="shared" si="9"/>
        <v>60</v>
      </c>
      <c r="G287" s="53"/>
      <c r="H287" s="53"/>
      <c r="I287" s="53">
        <v>60</v>
      </c>
      <c r="J287" s="60"/>
      <c r="K287" s="57"/>
      <c r="L287" s="57"/>
      <c r="M287" s="61" t="s">
        <v>782</v>
      </c>
      <c r="N287" s="58">
        <f>VLOOKUP(E287,订单号!B:C,2,0)</f>
        <v>0</v>
      </c>
      <c r="O287" s="35" t="e">
        <f>VLOOKUP(C287,领导干部!B:B,1,0)</f>
        <v>#N/A</v>
      </c>
    </row>
    <row r="288" s="35" customFormat="1" customHeight="1" spans="1:15">
      <c r="A288" s="47">
        <f t="shared" si="8"/>
        <v>287</v>
      </c>
      <c r="B288" s="48" t="s">
        <v>344</v>
      </c>
      <c r="C288" s="49">
        <f>IFERROR(VLOOKUP(B288,[1]工程研发事业部人员名单!B:D,2,0),"")</f>
        <v>51591</v>
      </c>
      <c r="D288" s="50" t="str">
        <f>IFERROR(VLOOKUP(B288,[1]工程研发事业部人员名单!B:D,3,0),"")</f>
        <v>总体室</v>
      </c>
      <c r="E288" s="57" t="s">
        <v>193</v>
      </c>
      <c r="F288" s="52">
        <f t="shared" si="9"/>
        <v>30</v>
      </c>
      <c r="G288" s="53"/>
      <c r="H288" s="53"/>
      <c r="I288" s="53">
        <v>30</v>
      </c>
      <c r="J288" s="60"/>
      <c r="K288" s="57"/>
      <c r="L288" s="57"/>
      <c r="M288" s="61" t="s">
        <v>783</v>
      </c>
      <c r="N288" s="58">
        <f>VLOOKUP(E288,订单号!B:C,2,0)</f>
        <v>0</v>
      </c>
      <c r="O288" s="35" t="e">
        <f>VLOOKUP(C288,领导干部!B:B,1,0)</f>
        <v>#N/A</v>
      </c>
    </row>
    <row r="289" s="35" customFormat="1" customHeight="1" spans="1:15">
      <c r="A289" s="47">
        <f t="shared" si="8"/>
        <v>288</v>
      </c>
      <c r="B289" s="48" t="s">
        <v>695</v>
      </c>
      <c r="C289" s="49">
        <f>IFERROR(VLOOKUP(B289,[1]工程研发事业部人员名单!B:D,2,0),"")</f>
        <v>52561</v>
      </c>
      <c r="D289" s="50" t="str">
        <f>IFERROR(VLOOKUP(B289,[1]工程研发事业部人员名单!B:D,3,0),"")</f>
        <v>强度室</v>
      </c>
      <c r="E289" s="57" t="s">
        <v>193</v>
      </c>
      <c r="F289" s="52">
        <f t="shared" si="9"/>
        <v>80</v>
      </c>
      <c r="G289" s="53"/>
      <c r="H289" s="53"/>
      <c r="I289" s="53">
        <v>80</v>
      </c>
      <c r="J289" s="60"/>
      <c r="K289" s="57"/>
      <c r="L289" s="57"/>
      <c r="M289" s="61" t="s">
        <v>782</v>
      </c>
      <c r="N289" s="58">
        <f>VLOOKUP(E289,订单号!B:C,2,0)</f>
        <v>0</v>
      </c>
      <c r="O289" s="35" t="e">
        <f>VLOOKUP(C289,领导干部!B:B,1,0)</f>
        <v>#N/A</v>
      </c>
    </row>
    <row r="290" s="35" customFormat="1" customHeight="1" spans="1:15">
      <c r="A290" s="47">
        <f t="shared" si="8"/>
        <v>289</v>
      </c>
      <c r="B290" s="48" t="s">
        <v>409</v>
      </c>
      <c r="C290" s="49">
        <f>IFERROR(VLOOKUP(B290,[1]工程研发事业部人员名单!B:D,2,0),"")</f>
        <v>26621</v>
      </c>
      <c r="D290" s="50" t="str">
        <f>IFERROR(VLOOKUP(B290,[1]工程研发事业部人员名单!B:D,3,0),"")</f>
        <v>联络工程室</v>
      </c>
      <c r="E290" s="57" t="s">
        <v>193</v>
      </c>
      <c r="F290" s="52">
        <f t="shared" si="9"/>
        <v>48</v>
      </c>
      <c r="G290" s="53"/>
      <c r="H290" s="53"/>
      <c r="I290" s="53">
        <v>48</v>
      </c>
      <c r="J290" s="60"/>
      <c r="K290" s="57"/>
      <c r="L290" s="57"/>
      <c r="M290" s="61" t="s">
        <v>784</v>
      </c>
      <c r="N290" s="58">
        <f>VLOOKUP(E290,订单号!B:C,2,0)</f>
        <v>0</v>
      </c>
      <c r="O290" s="35">
        <f>VLOOKUP(C290,领导干部!B:B,1,0)</f>
        <v>26621</v>
      </c>
    </row>
    <row r="291" s="35" customFormat="1" customHeight="1" spans="1:15">
      <c r="A291" s="47">
        <f t="shared" si="8"/>
        <v>290</v>
      </c>
      <c r="B291" s="48" t="s">
        <v>681</v>
      </c>
      <c r="C291" s="49">
        <f>IFERROR(VLOOKUP(B291,[1]工程研发事业部人员名单!B:D,2,0),"")</f>
        <v>51188</v>
      </c>
      <c r="D291" s="50" t="str">
        <f>IFERROR(VLOOKUP(B291,[1]工程研发事业部人员名单!B:D,3,0),"")</f>
        <v>强度室</v>
      </c>
      <c r="E291" s="57" t="s">
        <v>193</v>
      </c>
      <c r="F291" s="52">
        <f t="shared" si="9"/>
        <v>48</v>
      </c>
      <c r="G291" s="53"/>
      <c r="H291" s="53"/>
      <c r="I291" s="53">
        <v>48</v>
      </c>
      <c r="J291" s="60"/>
      <c r="K291" s="57"/>
      <c r="L291" s="57"/>
      <c r="M291" s="61" t="s">
        <v>784</v>
      </c>
      <c r="N291" s="58">
        <f>VLOOKUP(E291,订单号!B:C,2,0)</f>
        <v>0</v>
      </c>
      <c r="O291" s="35">
        <f>VLOOKUP(C291,领导干部!B:B,1,0)</f>
        <v>51188</v>
      </c>
    </row>
    <row r="292" s="35" customFormat="1" customHeight="1" spans="1:15">
      <c r="A292" s="47">
        <f t="shared" si="8"/>
        <v>291</v>
      </c>
      <c r="B292" s="48" t="s">
        <v>335</v>
      </c>
      <c r="C292" s="49">
        <f>IFERROR(VLOOKUP(B292,[1]工程研发事业部人员名单!B:D,2,0),"")</f>
        <v>51641</v>
      </c>
      <c r="D292" s="50" t="str">
        <f>IFERROR(VLOOKUP(B292,[1]工程研发事业部人员名单!B:D,3,0),"")</f>
        <v>结构二室</v>
      </c>
      <c r="E292" s="57" t="s">
        <v>193</v>
      </c>
      <c r="F292" s="52">
        <f t="shared" si="9"/>
        <v>48</v>
      </c>
      <c r="G292" s="53"/>
      <c r="H292" s="53"/>
      <c r="I292" s="53">
        <v>48</v>
      </c>
      <c r="J292" s="53"/>
      <c r="K292" s="57"/>
      <c r="L292" s="57"/>
      <c r="M292" s="61" t="s">
        <v>784</v>
      </c>
      <c r="N292" s="58">
        <f>VLOOKUP(E292,订单号!B:C,2,0)</f>
        <v>0</v>
      </c>
      <c r="O292" s="35" t="e">
        <f>VLOOKUP(C292,领导干部!B:B,1,0)</f>
        <v>#N/A</v>
      </c>
    </row>
    <row r="293" s="35" customFormat="1" customHeight="1" spans="1:15">
      <c r="A293" s="47">
        <f t="shared" si="8"/>
        <v>292</v>
      </c>
      <c r="B293" s="48" t="s">
        <v>217</v>
      </c>
      <c r="C293" s="49">
        <f>IFERROR(VLOOKUP(B293,[1]工程研发事业部人员名单!B:D,2,0),"")</f>
        <v>51944</v>
      </c>
      <c r="D293" s="50" t="str">
        <f>IFERROR(VLOOKUP(B293,[1]工程研发事业部人员名单!B:D,3,0),"")</f>
        <v>强度室</v>
      </c>
      <c r="E293" s="57" t="s">
        <v>193</v>
      </c>
      <c r="F293" s="52">
        <f t="shared" si="9"/>
        <v>48</v>
      </c>
      <c r="G293" s="53"/>
      <c r="H293" s="53"/>
      <c r="I293" s="53">
        <v>48</v>
      </c>
      <c r="J293" s="53"/>
      <c r="K293" s="57"/>
      <c r="L293" s="57"/>
      <c r="M293" s="61" t="s">
        <v>784</v>
      </c>
      <c r="N293" s="58">
        <f>VLOOKUP(E293,订单号!B:C,2,0)</f>
        <v>0</v>
      </c>
      <c r="O293" s="35" t="e">
        <f>VLOOKUP(C293,领导干部!B:B,1,0)</f>
        <v>#N/A</v>
      </c>
    </row>
    <row r="294" s="35" customFormat="1" customHeight="1" spans="1:15">
      <c r="A294" s="47">
        <f t="shared" si="8"/>
        <v>293</v>
      </c>
      <c r="B294" s="48" t="s">
        <v>269</v>
      </c>
      <c r="C294" s="49">
        <f>IFERROR(VLOOKUP(B294,[1]工程研发事业部人员名单!B:D,2,0),"")</f>
        <v>50871</v>
      </c>
      <c r="D294" s="50" t="str">
        <f>IFERROR(VLOOKUP(B294,[1]工程研发事业部人员名单!B:D,3,0),"")</f>
        <v>强度室</v>
      </c>
      <c r="E294" s="57" t="s">
        <v>193</v>
      </c>
      <c r="F294" s="52">
        <f t="shared" si="9"/>
        <v>48</v>
      </c>
      <c r="G294" s="53"/>
      <c r="H294" s="53"/>
      <c r="I294" s="53">
        <v>48</v>
      </c>
      <c r="J294" s="53"/>
      <c r="K294" s="57"/>
      <c r="L294" s="57"/>
      <c r="M294" s="61" t="s">
        <v>784</v>
      </c>
      <c r="N294" s="58">
        <f>VLOOKUP(E294,订单号!B:C,2,0)</f>
        <v>0</v>
      </c>
      <c r="O294" s="35" t="e">
        <f>VLOOKUP(C294,领导干部!B:B,1,0)</f>
        <v>#N/A</v>
      </c>
    </row>
    <row r="295" s="35" customFormat="1" customHeight="1" spans="1:15">
      <c r="A295" s="47">
        <f t="shared" si="8"/>
        <v>294</v>
      </c>
      <c r="B295" s="48" t="s">
        <v>262</v>
      </c>
      <c r="C295" s="49">
        <f>IFERROR(VLOOKUP(B295,[1]工程研发事业部人员名单!B:D,2,0),"")</f>
        <v>22294</v>
      </c>
      <c r="D295" s="50" t="str">
        <f>IFERROR(VLOOKUP(B295,[1]工程研发事业部人员名单!B:D,3,0),"")</f>
        <v>结构一室</v>
      </c>
      <c r="E295" s="57" t="s">
        <v>193</v>
      </c>
      <c r="F295" s="52">
        <f t="shared" si="9"/>
        <v>48</v>
      </c>
      <c r="G295" s="53"/>
      <c r="H295" s="53"/>
      <c r="I295" s="53">
        <v>48</v>
      </c>
      <c r="J295" s="53"/>
      <c r="K295" s="57"/>
      <c r="L295" s="57"/>
      <c r="M295" s="61" t="s">
        <v>784</v>
      </c>
      <c r="N295" s="58">
        <f>VLOOKUP(E295,订单号!B:C,2,0)</f>
        <v>0</v>
      </c>
      <c r="O295" s="35" t="e">
        <f>VLOOKUP(C295,领导干部!B:B,1,0)</f>
        <v>#N/A</v>
      </c>
    </row>
    <row r="296" s="35" customFormat="1" customHeight="1" spans="1:15">
      <c r="A296" s="47">
        <f t="shared" si="8"/>
        <v>295</v>
      </c>
      <c r="B296" s="48" t="s">
        <v>272</v>
      </c>
      <c r="C296" s="49">
        <f>IFERROR(VLOOKUP(B296,[1]工程研发事业部人员名单!B:D,2,0),"")</f>
        <v>50730</v>
      </c>
      <c r="D296" s="50" t="str">
        <f>IFERROR(VLOOKUP(B296,[1]工程研发事业部人员名单!B:D,3,0),"")</f>
        <v>结构一室</v>
      </c>
      <c r="E296" s="57" t="s">
        <v>193</v>
      </c>
      <c r="F296" s="52">
        <f t="shared" si="9"/>
        <v>48</v>
      </c>
      <c r="G296" s="53"/>
      <c r="H296" s="53"/>
      <c r="I296" s="53">
        <v>48</v>
      </c>
      <c r="J296" s="53"/>
      <c r="K296" s="57"/>
      <c r="L296" s="57"/>
      <c r="M296" s="61" t="s">
        <v>784</v>
      </c>
      <c r="N296" s="58">
        <f>VLOOKUP(E296,订单号!B:C,2,0)</f>
        <v>0</v>
      </c>
      <c r="O296" s="35" t="e">
        <f>VLOOKUP(C296,领导干部!B:B,1,0)</f>
        <v>#N/A</v>
      </c>
    </row>
    <row r="297" s="35" customFormat="1" customHeight="1" spans="1:15">
      <c r="A297" s="47">
        <f t="shared" si="8"/>
        <v>296</v>
      </c>
      <c r="B297" s="48" t="s">
        <v>300</v>
      </c>
      <c r="C297" s="49">
        <f>IFERROR(VLOOKUP(B297,[1]工程研发事业部人员名单!B:D,2,0),"")</f>
        <v>51429</v>
      </c>
      <c r="D297" s="50" t="str">
        <f>IFERROR(VLOOKUP(B297,[1]工程研发事业部人员名单!B:D,3,0),"")</f>
        <v>综合技术室</v>
      </c>
      <c r="E297" s="57" t="s">
        <v>193</v>
      </c>
      <c r="F297" s="52">
        <f t="shared" si="9"/>
        <v>30</v>
      </c>
      <c r="G297" s="53"/>
      <c r="H297" s="53"/>
      <c r="I297" s="53">
        <v>30</v>
      </c>
      <c r="J297" s="53"/>
      <c r="K297" s="57"/>
      <c r="L297" s="57"/>
      <c r="M297" s="59" t="s">
        <v>184</v>
      </c>
      <c r="N297" s="58">
        <f>VLOOKUP(E297,订单号!B:C,2,0)</f>
        <v>0</v>
      </c>
      <c r="O297" s="35" t="e">
        <f>VLOOKUP(C297,领导干部!B:B,1,0)</f>
        <v>#N/A</v>
      </c>
    </row>
    <row r="298" s="35" customFormat="1" customHeight="1" spans="1:15">
      <c r="A298" s="47">
        <f t="shared" si="8"/>
        <v>297</v>
      </c>
      <c r="B298" s="48" t="s">
        <v>399</v>
      </c>
      <c r="C298" s="49">
        <f>IFERROR(VLOOKUP(B298,[1]工程研发事业部人员名单!B:D,2,0),"")</f>
        <v>27100</v>
      </c>
      <c r="D298" s="50" t="str">
        <f>IFERROR(VLOOKUP(B298,[1]工程研发事业部人员名单!B:D,3,0),"")</f>
        <v>综合技术室</v>
      </c>
      <c r="E298" s="57" t="s">
        <v>193</v>
      </c>
      <c r="F298" s="52">
        <f t="shared" si="9"/>
        <v>30</v>
      </c>
      <c r="G298" s="53"/>
      <c r="H298" s="53"/>
      <c r="I298" s="53">
        <v>30</v>
      </c>
      <c r="J298" s="53"/>
      <c r="K298" s="57"/>
      <c r="L298" s="57"/>
      <c r="M298" s="59" t="s">
        <v>184</v>
      </c>
      <c r="N298" s="58">
        <f>VLOOKUP(E298,订单号!B:C,2,0)</f>
        <v>0</v>
      </c>
      <c r="O298" s="35" t="e">
        <f>VLOOKUP(C298,领导干部!B:B,1,0)</f>
        <v>#N/A</v>
      </c>
    </row>
    <row r="299" s="35" customFormat="1" customHeight="1" spans="1:15">
      <c r="A299" s="47">
        <f t="shared" si="8"/>
        <v>298</v>
      </c>
      <c r="B299" s="48" t="s">
        <v>453</v>
      </c>
      <c r="C299" s="49">
        <f>IFERROR(VLOOKUP(B299,[1]工程研发事业部人员名单!B:D,2,0),"")</f>
        <v>26828</v>
      </c>
      <c r="D299" s="50" t="str">
        <f>IFERROR(VLOOKUP(B299,[1]工程研发事业部人员名单!B:D,3,0),"")</f>
        <v>综合技术室</v>
      </c>
      <c r="E299" s="57" t="s">
        <v>193</v>
      </c>
      <c r="F299" s="52">
        <f t="shared" si="9"/>
        <v>30</v>
      </c>
      <c r="G299" s="53"/>
      <c r="H299" s="53"/>
      <c r="I299" s="53">
        <v>30</v>
      </c>
      <c r="J299" s="53"/>
      <c r="K299" s="57"/>
      <c r="L299" s="57"/>
      <c r="M299" s="59" t="s">
        <v>184</v>
      </c>
      <c r="N299" s="58">
        <f>VLOOKUP(E299,订单号!B:C,2,0)</f>
        <v>0</v>
      </c>
      <c r="O299" s="35" t="e">
        <f>VLOOKUP(C299,领导干部!B:B,1,0)</f>
        <v>#N/A</v>
      </c>
    </row>
    <row r="300" s="35" customFormat="1" customHeight="1" spans="1:15">
      <c r="A300" s="47">
        <f t="shared" si="8"/>
        <v>299</v>
      </c>
      <c r="B300" s="48" t="s">
        <v>249</v>
      </c>
      <c r="C300" s="49">
        <f>IFERROR(VLOOKUP(B300,[1]工程研发事业部人员名单!B:D,2,0),"")</f>
        <v>51160</v>
      </c>
      <c r="D300" s="50" t="str">
        <f>IFERROR(VLOOKUP(B300,[1]工程研发事业部人员名单!B:D,3,0),"")</f>
        <v>综合技术室</v>
      </c>
      <c r="E300" s="57" t="s">
        <v>193</v>
      </c>
      <c r="F300" s="52">
        <f t="shared" si="9"/>
        <v>20</v>
      </c>
      <c r="G300" s="53"/>
      <c r="H300" s="53"/>
      <c r="I300" s="53">
        <v>20</v>
      </c>
      <c r="J300" s="53"/>
      <c r="K300" s="57"/>
      <c r="L300" s="57"/>
      <c r="M300" s="61" t="s">
        <v>782</v>
      </c>
      <c r="N300" s="58">
        <f>VLOOKUP(E300,订单号!B:C,2,0)</f>
        <v>0</v>
      </c>
      <c r="O300" s="35" t="e">
        <f>VLOOKUP(C300,领导干部!B:B,1,0)</f>
        <v>#N/A</v>
      </c>
    </row>
    <row r="301" s="35" customFormat="1" customHeight="1" spans="1:15">
      <c r="A301" s="47">
        <f t="shared" si="8"/>
        <v>300</v>
      </c>
      <c r="B301" s="48" t="s">
        <v>332</v>
      </c>
      <c r="C301" s="49">
        <f>IFERROR(VLOOKUP(B301,[1]工程研发事业部人员名单!B:D,2,0),"")</f>
        <v>51151</v>
      </c>
      <c r="D301" s="50" t="str">
        <f>IFERROR(VLOOKUP(B301,[1]工程研发事业部人员名单!B:D,3,0),"")</f>
        <v>综合技术室</v>
      </c>
      <c r="E301" s="57" t="s">
        <v>193</v>
      </c>
      <c r="F301" s="52">
        <f t="shared" si="9"/>
        <v>40</v>
      </c>
      <c r="G301" s="53"/>
      <c r="H301" s="53"/>
      <c r="I301" s="53">
        <v>40</v>
      </c>
      <c r="J301" s="53"/>
      <c r="K301" s="57"/>
      <c r="L301" s="57"/>
      <c r="M301" s="59" t="s">
        <v>785</v>
      </c>
      <c r="N301" s="58">
        <f>VLOOKUP(E301,订单号!B:C,2,0)</f>
        <v>0</v>
      </c>
      <c r="O301" s="35" t="e">
        <f>VLOOKUP(C301,领导干部!B:B,1,0)</f>
        <v>#N/A</v>
      </c>
    </row>
    <row r="302" s="35" customFormat="1" customHeight="1" spans="1:15">
      <c r="A302" s="47">
        <f t="shared" si="8"/>
        <v>301</v>
      </c>
      <c r="B302" s="48" t="s">
        <v>455</v>
      </c>
      <c r="C302" s="49">
        <f>IFERROR(VLOOKUP(B302,[1]工程研发事业部人员名单!B:D,2,0),"")</f>
        <v>51955</v>
      </c>
      <c r="D302" s="50" t="str">
        <f>IFERROR(VLOOKUP(B302,[1]工程研发事业部人员名单!B:D,3,0),"")</f>
        <v>结构一室</v>
      </c>
      <c r="E302" s="51" t="s">
        <v>192</v>
      </c>
      <c r="F302" s="52">
        <f t="shared" si="9"/>
        <v>37.5</v>
      </c>
      <c r="G302" s="53"/>
      <c r="H302" s="53"/>
      <c r="I302" s="53">
        <v>37.5</v>
      </c>
      <c r="J302" s="53"/>
      <c r="K302" s="57"/>
      <c r="L302" s="57"/>
      <c r="M302" s="58" t="s">
        <v>786</v>
      </c>
      <c r="N302" s="58">
        <f>VLOOKUP(E302,订单号!B:C,2,0)</f>
        <v>0</v>
      </c>
      <c r="O302" s="35" t="e">
        <f>VLOOKUP(C302,领导干部!B:B,1,0)</f>
        <v>#N/A</v>
      </c>
    </row>
    <row r="303" s="35" customFormat="1" customHeight="1" spans="1:15">
      <c r="A303" s="47">
        <f t="shared" si="8"/>
        <v>302</v>
      </c>
      <c r="B303" s="48" t="s">
        <v>424</v>
      </c>
      <c r="C303" s="49">
        <f>IFERROR(VLOOKUP(B303,[1]工程研发事业部人员名单!B:D,2,0),"")</f>
        <v>50317</v>
      </c>
      <c r="D303" s="50" t="str">
        <f>IFERROR(VLOOKUP(B303,[1]工程研发事业部人员名单!B:D,3,0),"")</f>
        <v>联络工程室</v>
      </c>
      <c r="E303" s="51" t="s">
        <v>192</v>
      </c>
      <c r="F303" s="52">
        <f t="shared" si="9"/>
        <v>2</v>
      </c>
      <c r="G303" s="53"/>
      <c r="H303" s="53"/>
      <c r="I303" s="53">
        <v>2</v>
      </c>
      <c r="J303" s="53"/>
      <c r="K303" s="57"/>
      <c r="L303" s="57"/>
      <c r="M303" s="58"/>
      <c r="N303" s="58">
        <f>VLOOKUP(E303,订单号!B:C,2,0)</f>
        <v>0</v>
      </c>
      <c r="O303" s="35" t="e">
        <f>VLOOKUP(C303,领导干部!B:B,1,0)</f>
        <v>#N/A</v>
      </c>
    </row>
    <row r="304" s="35" customFormat="1" customHeight="1" spans="1:15">
      <c r="A304" s="47">
        <f t="shared" si="8"/>
        <v>303</v>
      </c>
      <c r="B304" s="48" t="s">
        <v>294</v>
      </c>
      <c r="C304" s="49">
        <f>IFERROR(VLOOKUP(B304,[1]工程研发事业部人员名单!B:D,2,0),"")</f>
        <v>50726</v>
      </c>
      <c r="D304" s="50" t="str">
        <f>IFERROR(VLOOKUP(B304,[1]工程研发事业部人员名单!B:D,3,0),"")</f>
        <v>强度室</v>
      </c>
      <c r="E304" s="51" t="s">
        <v>192</v>
      </c>
      <c r="F304" s="52">
        <f t="shared" si="9"/>
        <v>15</v>
      </c>
      <c r="G304" s="53"/>
      <c r="H304" s="53"/>
      <c r="I304" s="53">
        <v>15</v>
      </c>
      <c r="J304" s="53"/>
      <c r="K304" s="57" t="s">
        <v>277</v>
      </c>
      <c r="L304" s="57"/>
      <c r="M304" s="58" t="s">
        <v>787</v>
      </c>
      <c r="N304" s="58">
        <f>VLOOKUP(E304,订单号!B:C,2,0)</f>
        <v>0</v>
      </c>
      <c r="O304" s="35" t="e">
        <f>VLOOKUP(C304,领导干部!B:B,1,0)</f>
        <v>#N/A</v>
      </c>
    </row>
    <row r="305" s="35" customFormat="1" customHeight="1" spans="1:15">
      <c r="A305" s="47">
        <f t="shared" si="8"/>
        <v>304</v>
      </c>
      <c r="B305" s="48" t="s">
        <v>234</v>
      </c>
      <c r="C305" s="49">
        <f>IFERROR(VLOOKUP(B305,[1]工程研发事业部人员名单!B:D,2,0),"")</f>
        <v>50281</v>
      </c>
      <c r="D305" s="50" t="str">
        <f>IFERROR(VLOOKUP(B305,[1]工程研发事业部人员名单!B:D,3,0),"")</f>
        <v>结构一室</v>
      </c>
      <c r="E305" s="51" t="s">
        <v>192</v>
      </c>
      <c r="F305" s="52">
        <f t="shared" si="9"/>
        <v>15</v>
      </c>
      <c r="G305" s="53"/>
      <c r="H305" s="53"/>
      <c r="I305" s="53">
        <v>15</v>
      </c>
      <c r="J305" s="53"/>
      <c r="K305" s="57" t="s">
        <v>329</v>
      </c>
      <c r="L305" s="57" t="s">
        <v>788</v>
      </c>
      <c r="M305" s="65" t="s">
        <v>789</v>
      </c>
      <c r="N305" s="58">
        <f>VLOOKUP(E305,订单号!B:C,2,0)</f>
        <v>0</v>
      </c>
      <c r="O305" s="35" t="e">
        <f>VLOOKUP(C305,领导干部!B:B,1,0)</f>
        <v>#N/A</v>
      </c>
    </row>
    <row r="306" s="35" customFormat="1" customHeight="1" spans="1:15">
      <c r="A306" s="47">
        <f t="shared" si="8"/>
        <v>305</v>
      </c>
      <c r="B306" s="48" t="s">
        <v>688</v>
      </c>
      <c r="C306" s="49">
        <f>IFERROR(VLOOKUP(B306,[1]工程研发事业部人员名单!B:D,2,0),"")</f>
        <v>52161</v>
      </c>
      <c r="D306" s="50" t="str">
        <f>IFERROR(VLOOKUP(B306,[1]工程研发事业部人员名单!B:D,3,0),"")</f>
        <v>联络工程室</v>
      </c>
      <c r="E306" s="51" t="s">
        <v>192</v>
      </c>
      <c r="F306" s="52">
        <f t="shared" si="9"/>
        <v>10</v>
      </c>
      <c r="G306" s="53"/>
      <c r="H306" s="53"/>
      <c r="I306" s="53">
        <v>10</v>
      </c>
      <c r="J306" s="53"/>
      <c r="K306" s="57"/>
      <c r="L306" s="57"/>
      <c r="M306" s="58" t="s">
        <v>790</v>
      </c>
      <c r="N306" s="58">
        <f>VLOOKUP(E306,订单号!B:C,2,0)</f>
        <v>0</v>
      </c>
      <c r="O306" s="35" t="e">
        <f>VLOOKUP(C306,领导干部!B:B,1,0)</f>
        <v>#N/A</v>
      </c>
    </row>
    <row r="307" s="35" customFormat="1" customHeight="1" spans="1:15">
      <c r="A307" s="47">
        <f t="shared" si="8"/>
        <v>306</v>
      </c>
      <c r="B307" s="48" t="s">
        <v>257</v>
      </c>
      <c r="C307" s="49">
        <f>IFERROR(VLOOKUP(B307,[1]工程研发事业部人员名单!B:D,2,0),"")</f>
        <v>51410</v>
      </c>
      <c r="D307" s="50" t="str">
        <f>IFERROR(VLOOKUP(B307,[1]工程研发事业部人员名单!B:D,3,0),"")</f>
        <v>结构一室</v>
      </c>
      <c r="E307" s="51" t="s">
        <v>192</v>
      </c>
      <c r="F307" s="52">
        <f t="shared" si="9"/>
        <v>15</v>
      </c>
      <c r="G307" s="53"/>
      <c r="H307" s="53"/>
      <c r="I307" s="53">
        <v>15</v>
      </c>
      <c r="J307" s="53"/>
      <c r="K307" s="57"/>
      <c r="L307" s="57"/>
      <c r="M307" s="65" t="s">
        <v>791</v>
      </c>
      <c r="N307" s="58">
        <f>VLOOKUP(E307,订单号!B:C,2,0)</f>
        <v>0</v>
      </c>
      <c r="O307" s="35" t="e">
        <f>VLOOKUP(C307,领导干部!B:B,1,0)</f>
        <v>#N/A</v>
      </c>
    </row>
    <row r="308" s="35" customFormat="1" customHeight="1" spans="1:15">
      <c r="A308" s="47">
        <f t="shared" si="8"/>
        <v>307</v>
      </c>
      <c r="B308" s="48" t="s">
        <v>300</v>
      </c>
      <c r="C308" s="49">
        <f>IFERROR(VLOOKUP(B308,[1]工程研发事业部人员名单!B:D,2,0),"")</f>
        <v>51429</v>
      </c>
      <c r="D308" s="50" t="str">
        <f>IFERROR(VLOOKUP(B308,[1]工程研发事业部人员名单!B:D,3,0),"")</f>
        <v>综合技术室</v>
      </c>
      <c r="E308" s="51" t="s">
        <v>192</v>
      </c>
      <c r="F308" s="52">
        <f t="shared" si="9"/>
        <v>9</v>
      </c>
      <c r="G308" s="53"/>
      <c r="H308" s="53"/>
      <c r="I308" s="53">
        <v>9</v>
      </c>
      <c r="J308" s="53"/>
      <c r="K308" s="57"/>
      <c r="L308" s="57"/>
      <c r="M308" s="65" t="s">
        <v>792</v>
      </c>
      <c r="N308" s="58">
        <f>VLOOKUP(E308,订单号!B:C,2,0)</f>
        <v>0</v>
      </c>
      <c r="O308" s="35" t="e">
        <f>VLOOKUP(C308,领导干部!B:B,1,0)</f>
        <v>#N/A</v>
      </c>
    </row>
    <row r="309" s="35" customFormat="1" customHeight="1" spans="1:15">
      <c r="A309" s="47">
        <f t="shared" si="8"/>
        <v>308</v>
      </c>
      <c r="B309" s="48" t="s">
        <v>311</v>
      </c>
      <c r="C309" s="49">
        <f>IFERROR(VLOOKUP(B309,[1]工程研发事业部人员名单!B:D,2,0),"")</f>
        <v>51435</v>
      </c>
      <c r="D309" s="50" t="str">
        <f>IFERROR(VLOOKUP(B309,[1]工程研发事业部人员名单!B:D,3,0),"")</f>
        <v>系统室</v>
      </c>
      <c r="E309" s="51" t="s">
        <v>192</v>
      </c>
      <c r="F309" s="52">
        <f t="shared" si="9"/>
        <v>15</v>
      </c>
      <c r="G309" s="53"/>
      <c r="H309" s="53"/>
      <c r="I309" s="53">
        <v>15</v>
      </c>
      <c r="J309" s="53"/>
      <c r="K309" s="57"/>
      <c r="L309" s="57"/>
      <c r="M309" s="58" t="s">
        <v>793</v>
      </c>
      <c r="N309" s="58">
        <f>VLOOKUP(E309,订单号!B:C,2,0)</f>
        <v>0</v>
      </c>
      <c r="O309" s="35" t="e">
        <f>VLOOKUP(C309,领导干部!B:B,1,0)</f>
        <v>#N/A</v>
      </c>
    </row>
    <row r="310" s="35" customFormat="1" customHeight="1" spans="1:15">
      <c r="A310" s="47">
        <f t="shared" si="8"/>
        <v>309</v>
      </c>
      <c r="B310" s="48" t="s">
        <v>335</v>
      </c>
      <c r="C310" s="49">
        <f>IFERROR(VLOOKUP(B310,[1]工程研发事业部人员名单!B:D,2,0),"")</f>
        <v>51641</v>
      </c>
      <c r="D310" s="50" t="str">
        <f>IFERROR(VLOOKUP(B310,[1]工程研发事业部人员名单!B:D,3,0),"")</f>
        <v>结构二室</v>
      </c>
      <c r="E310" s="51" t="s">
        <v>192</v>
      </c>
      <c r="F310" s="52">
        <f t="shared" si="9"/>
        <v>15</v>
      </c>
      <c r="G310" s="53"/>
      <c r="H310" s="53"/>
      <c r="I310" s="53">
        <v>15</v>
      </c>
      <c r="J310" s="53"/>
      <c r="K310" s="57" t="s">
        <v>255</v>
      </c>
      <c r="L310" s="57"/>
      <c r="M310" s="65" t="s">
        <v>794</v>
      </c>
      <c r="N310" s="58">
        <f>VLOOKUP(E310,订单号!B:C,2,0)</f>
        <v>0</v>
      </c>
      <c r="O310" s="35" t="e">
        <f>VLOOKUP(C310,领导干部!B:B,1,0)</f>
        <v>#N/A</v>
      </c>
    </row>
    <row r="311" s="35" customFormat="1" customHeight="1" spans="1:15">
      <c r="A311" s="47">
        <f t="shared" si="8"/>
        <v>310</v>
      </c>
      <c r="B311" s="48" t="s">
        <v>447</v>
      </c>
      <c r="C311" s="49">
        <f>IFERROR(VLOOKUP(B311,[1]工程研发事业部人员名单!B:D,2,0),"")</f>
        <v>52347</v>
      </c>
      <c r="D311" s="50" t="str">
        <f>IFERROR(VLOOKUP(B311,[1]工程研发事业部人员名单!B:D,3,0),"")</f>
        <v>强度室</v>
      </c>
      <c r="E311" s="51" t="s">
        <v>192</v>
      </c>
      <c r="F311" s="52">
        <f t="shared" si="9"/>
        <v>4.5</v>
      </c>
      <c r="G311" s="53"/>
      <c r="H311" s="53"/>
      <c r="I311" s="53">
        <v>4.5</v>
      </c>
      <c r="J311" s="53"/>
      <c r="K311" s="57"/>
      <c r="L311" s="57"/>
      <c r="M311" s="58" t="s">
        <v>795</v>
      </c>
      <c r="N311" s="58">
        <f>VLOOKUP(E311,订单号!B:C,2,0)</f>
        <v>0</v>
      </c>
      <c r="O311" s="35" t="e">
        <f>VLOOKUP(C311,领导干部!B:B,1,0)</f>
        <v>#N/A</v>
      </c>
    </row>
    <row r="312" s="35" customFormat="1" customHeight="1" spans="1:15">
      <c r="A312" s="47">
        <f t="shared" si="8"/>
        <v>311</v>
      </c>
      <c r="B312" s="48" t="s">
        <v>342</v>
      </c>
      <c r="C312" s="49">
        <f>IFERROR(VLOOKUP(B312,[1]工程研发事业部人员名单!B:D,2,0),"")</f>
        <v>50702</v>
      </c>
      <c r="D312" s="50" t="str">
        <f>IFERROR(VLOOKUP(B312,[1]工程研发事业部人员名单!B:D,3,0),"")</f>
        <v>总体室</v>
      </c>
      <c r="E312" s="51" t="s">
        <v>192</v>
      </c>
      <c r="F312" s="52">
        <f t="shared" si="9"/>
        <v>15</v>
      </c>
      <c r="G312" s="53"/>
      <c r="H312" s="53"/>
      <c r="I312" s="53">
        <v>15</v>
      </c>
      <c r="J312" s="53"/>
      <c r="K312" s="57" t="s">
        <v>329</v>
      </c>
      <c r="L312" s="57"/>
      <c r="M312" s="58" t="s">
        <v>796</v>
      </c>
      <c r="N312" s="58">
        <f>VLOOKUP(E312,订单号!B:C,2,0)</f>
        <v>0</v>
      </c>
      <c r="O312" s="35" t="e">
        <f>VLOOKUP(C312,领导干部!B:B,1,0)</f>
        <v>#N/A</v>
      </c>
    </row>
    <row r="313" s="35" customFormat="1" customHeight="1" spans="1:15">
      <c r="A313" s="47">
        <f t="shared" si="8"/>
        <v>312</v>
      </c>
      <c r="B313" s="48" t="s">
        <v>694</v>
      </c>
      <c r="C313" s="49">
        <f>IFERROR(VLOOKUP(B313,[1]工程研发事业部人员名单!B:D,2,0),"")</f>
        <v>51792</v>
      </c>
      <c r="D313" s="50" t="str">
        <f>IFERROR(VLOOKUP(B313,[1]工程研发事业部人员名单!B:D,3,0),"")</f>
        <v>工程项目室</v>
      </c>
      <c r="E313" s="51" t="s">
        <v>192</v>
      </c>
      <c r="F313" s="52">
        <f t="shared" si="9"/>
        <v>10</v>
      </c>
      <c r="G313" s="53"/>
      <c r="H313" s="53"/>
      <c r="I313" s="53">
        <v>10</v>
      </c>
      <c r="J313" s="53"/>
      <c r="K313" s="57"/>
      <c r="L313" s="57"/>
      <c r="M313" s="59" t="s">
        <v>797</v>
      </c>
      <c r="N313" s="58">
        <f>VLOOKUP(E313,订单号!B:C,2,0)</f>
        <v>0</v>
      </c>
      <c r="O313" s="35" t="e">
        <f>VLOOKUP(C313,领导干部!B:B,1,0)</f>
        <v>#N/A</v>
      </c>
    </row>
    <row r="314" s="35" customFormat="1" customHeight="1" spans="1:15">
      <c r="A314" s="47">
        <f t="shared" si="8"/>
        <v>313</v>
      </c>
      <c r="B314" s="48" t="s">
        <v>262</v>
      </c>
      <c r="C314" s="49">
        <f>IFERROR(VLOOKUP(B314,[1]工程研发事业部人员名单!B:D,2,0),"")</f>
        <v>22294</v>
      </c>
      <c r="D314" s="50" t="str">
        <f>IFERROR(VLOOKUP(B314,[1]工程研发事业部人员名单!B:D,3,0),"")</f>
        <v>结构一室</v>
      </c>
      <c r="E314" s="51" t="s">
        <v>188</v>
      </c>
      <c r="F314" s="52">
        <f t="shared" si="9"/>
        <v>100</v>
      </c>
      <c r="G314" s="53"/>
      <c r="H314" s="53"/>
      <c r="I314" s="96">
        <v>100</v>
      </c>
      <c r="J314" s="97"/>
      <c r="K314" s="98" t="s">
        <v>798</v>
      </c>
      <c r="L314" s="98" t="s">
        <v>799</v>
      </c>
      <c r="M314" s="99" t="s">
        <v>800</v>
      </c>
      <c r="N314" s="58" t="e">
        <f>VLOOKUP(E314,订单号!B:C,2,0)</f>
        <v>#N/A</v>
      </c>
      <c r="O314" s="35" t="e">
        <f>VLOOKUP(C314,领导干部!B:B,1,0)</f>
        <v>#N/A</v>
      </c>
    </row>
    <row r="315" s="35" customFormat="1" customHeight="1" spans="1:15">
      <c r="A315" s="47">
        <f t="shared" si="8"/>
        <v>314</v>
      </c>
      <c r="B315" s="48" t="s">
        <v>414</v>
      </c>
      <c r="C315" s="49">
        <f>IFERROR(VLOOKUP(B315,[1]工程研发事业部人员名单!B:D,2,0),"")</f>
        <v>51162</v>
      </c>
      <c r="D315" s="50" t="str">
        <f>IFERROR(VLOOKUP(B315,[1]工程研发事业部人员名单!B:D,3,0),"")</f>
        <v>工程项目室</v>
      </c>
      <c r="E315" s="51" t="s">
        <v>175</v>
      </c>
      <c r="F315" s="52">
        <f t="shared" si="9"/>
        <v>60</v>
      </c>
      <c r="G315" s="53"/>
      <c r="H315" s="53"/>
      <c r="I315" s="53">
        <v>60</v>
      </c>
      <c r="J315" s="97"/>
      <c r="K315" s="98" t="s">
        <v>214</v>
      </c>
      <c r="L315" s="100" t="s">
        <v>801</v>
      </c>
      <c r="M315" s="101" t="s">
        <v>802</v>
      </c>
      <c r="N315" s="58" t="e">
        <f>VLOOKUP(E315,订单号!B:C,2,0)</f>
        <v>#N/A</v>
      </c>
      <c r="O315" s="35">
        <f>VLOOKUP(C315,领导干部!B:B,1,0)</f>
        <v>51162</v>
      </c>
    </row>
    <row r="316" s="35" customFormat="1" customHeight="1" spans="1:15">
      <c r="A316" s="47">
        <f t="shared" si="8"/>
        <v>315</v>
      </c>
      <c r="B316" s="48" t="s">
        <v>414</v>
      </c>
      <c r="C316" s="49">
        <f>IFERROR(VLOOKUP(B316,[1]工程研发事业部人员名单!B:D,2,0),"")</f>
        <v>51162</v>
      </c>
      <c r="D316" s="50" t="str">
        <f>IFERROR(VLOOKUP(B316,[1]工程研发事业部人员名单!B:D,3,0),"")</f>
        <v>工程项目室</v>
      </c>
      <c r="E316" s="51" t="s">
        <v>176</v>
      </c>
      <c r="F316" s="52">
        <f t="shared" si="9"/>
        <v>60</v>
      </c>
      <c r="G316" s="53"/>
      <c r="H316" s="53"/>
      <c r="I316" s="53">
        <v>60</v>
      </c>
      <c r="J316" s="97"/>
      <c r="K316" s="98" t="s">
        <v>214</v>
      </c>
      <c r="L316" s="100" t="s">
        <v>801</v>
      </c>
      <c r="M316" s="101" t="s">
        <v>802</v>
      </c>
      <c r="N316" s="58" t="e">
        <f>VLOOKUP(E316,订单号!B:C,2,0)</f>
        <v>#N/A</v>
      </c>
      <c r="O316" s="35">
        <f>VLOOKUP(C316,领导干部!B:B,1,0)</f>
        <v>51162</v>
      </c>
    </row>
    <row r="317" s="35" customFormat="1" customHeight="1" spans="1:15">
      <c r="A317" s="47">
        <f t="shared" si="8"/>
        <v>316</v>
      </c>
      <c r="B317" s="48" t="s">
        <v>414</v>
      </c>
      <c r="C317" s="49">
        <f>IFERROR(VLOOKUP(B317,[1]工程研发事业部人员名单!B:D,2,0),"")</f>
        <v>51162</v>
      </c>
      <c r="D317" s="50" t="str">
        <f>IFERROR(VLOOKUP(B317,[1]工程研发事业部人员名单!B:D,3,0),"")</f>
        <v>工程项目室</v>
      </c>
      <c r="E317" s="51" t="s">
        <v>177</v>
      </c>
      <c r="F317" s="52">
        <f t="shared" si="9"/>
        <v>60</v>
      </c>
      <c r="G317" s="53"/>
      <c r="H317" s="53"/>
      <c r="I317" s="72">
        <v>60</v>
      </c>
      <c r="J317" s="102"/>
      <c r="K317" s="98" t="s">
        <v>214</v>
      </c>
      <c r="L317" s="100" t="s">
        <v>801</v>
      </c>
      <c r="M317" s="101" t="s">
        <v>801</v>
      </c>
      <c r="N317" s="58" t="str">
        <f>VLOOKUP(E317,订单号!B:C,2,0)</f>
        <v>YZ40000680</v>
      </c>
      <c r="O317" s="35">
        <f>VLOOKUP(C317,领导干部!B:B,1,0)</f>
        <v>51162</v>
      </c>
    </row>
    <row r="318" s="35" customFormat="1" customHeight="1" spans="1:15">
      <c r="A318" s="47">
        <f t="shared" si="8"/>
        <v>317</v>
      </c>
      <c r="B318" s="48" t="s">
        <v>414</v>
      </c>
      <c r="C318" s="49">
        <f>IFERROR(VLOOKUP(B318,[1]工程研发事业部人员名单!B:D,2,0),"")</f>
        <v>51162</v>
      </c>
      <c r="D318" s="50" t="str">
        <f>IFERROR(VLOOKUP(B318,[1]工程研发事业部人员名单!B:D,3,0),"")</f>
        <v>工程项目室</v>
      </c>
      <c r="E318" s="73" t="s">
        <v>178</v>
      </c>
      <c r="F318" s="52">
        <f t="shared" si="9"/>
        <v>60</v>
      </c>
      <c r="G318" s="53"/>
      <c r="H318" s="53"/>
      <c r="I318" s="72">
        <v>60</v>
      </c>
      <c r="J318" s="102"/>
      <c r="K318" s="98" t="s">
        <v>214</v>
      </c>
      <c r="L318" s="100" t="s">
        <v>801</v>
      </c>
      <c r="M318" s="101" t="s">
        <v>802</v>
      </c>
      <c r="N318" s="58" t="e">
        <f>VLOOKUP(E318,订单号!B:C,2,0)</f>
        <v>#N/A</v>
      </c>
      <c r="O318" s="35">
        <f>VLOOKUP(C318,领导干部!B:B,1,0)</f>
        <v>51162</v>
      </c>
    </row>
    <row r="319" s="35" customFormat="1" customHeight="1" spans="1:15">
      <c r="A319" s="47">
        <f t="shared" si="8"/>
        <v>318</v>
      </c>
      <c r="B319" s="48" t="s">
        <v>125</v>
      </c>
      <c r="C319" s="49">
        <f>IFERROR(VLOOKUP(B319,[1]工程研发事业部人员名单!B:D,2,0),"")</f>
        <v>50079</v>
      </c>
      <c r="D319" s="50" t="str">
        <f>IFERROR(VLOOKUP(B319,[1]工程研发事业部人员名单!B:D,3,0),"")</f>
        <v>工程项目室</v>
      </c>
      <c r="E319" s="73" t="s">
        <v>175</v>
      </c>
      <c r="F319" s="52">
        <f t="shared" si="9"/>
        <v>50</v>
      </c>
      <c r="G319" s="53"/>
      <c r="H319" s="53"/>
      <c r="I319" s="72">
        <v>50</v>
      </c>
      <c r="J319" s="102"/>
      <c r="K319" s="98" t="s">
        <v>214</v>
      </c>
      <c r="L319" s="100" t="s">
        <v>801</v>
      </c>
      <c r="M319" s="101" t="s">
        <v>802</v>
      </c>
      <c r="N319" s="58" t="e">
        <f>VLOOKUP(E319,订单号!B:C,2,0)</f>
        <v>#N/A</v>
      </c>
      <c r="O319" s="35" t="e">
        <f>VLOOKUP(C319,领导干部!B:B,1,0)</f>
        <v>#N/A</v>
      </c>
    </row>
    <row r="320" s="35" customFormat="1" customHeight="1" spans="1:15">
      <c r="A320" s="47">
        <f t="shared" si="8"/>
        <v>319</v>
      </c>
      <c r="B320" s="48" t="s">
        <v>125</v>
      </c>
      <c r="C320" s="49">
        <f>IFERROR(VLOOKUP(B320,[1]工程研发事业部人员名单!B:D,2,0),"")</f>
        <v>50079</v>
      </c>
      <c r="D320" s="50" t="str">
        <f>IFERROR(VLOOKUP(B320,[1]工程研发事业部人员名单!B:D,3,0),"")</f>
        <v>工程项目室</v>
      </c>
      <c r="E320" s="73" t="s">
        <v>176</v>
      </c>
      <c r="F320" s="52">
        <f t="shared" si="9"/>
        <v>50</v>
      </c>
      <c r="G320" s="53"/>
      <c r="H320" s="53"/>
      <c r="I320" s="72">
        <v>50</v>
      </c>
      <c r="J320" s="102"/>
      <c r="K320" s="98" t="s">
        <v>214</v>
      </c>
      <c r="L320" s="100" t="s">
        <v>801</v>
      </c>
      <c r="M320" s="101" t="s">
        <v>802</v>
      </c>
      <c r="N320" s="58" t="e">
        <f>VLOOKUP(E320,订单号!B:C,2,0)</f>
        <v>#N/A</v>
      </c>
      <c r="O320" s="35" t="e">
        <f>VLOOKUP(C320,领导干部!B:B,1,0)</f>
        <v>#N/A</v>
      </c>
    </row>
    <row r="321" s="35" customFormat="1" customHeight="1" spans="1:15">
      <c r="A321" s="47">
        <f t="shared" si="8"/>
        <v>320</v>
      </c>
      <c r="B321" s="57" t="s">
        <v>220</v>
      </c>
      <c r="C321" s="49">
        <f>IFERROR(VLOOKUP(B321,[1]工程研发事业部人员名单!B:D,2,0),"")</f>
        <v>51405</v>
      </c>
      <c r="D321" s="50" t="str">
        <f>IFERROR(VLOOKUP(B321,[1]工程研发事业部人员名单!B:D,3,0),"")</f>
        <v>综合技术室</v>
      </c>
      <c r="E321" s="51" t="s">
        <v>194</v>
      </c>
      <c r="F321" s="52">
        <f t="shared" si="9"/>
        <v>75</v>
      </c>
      <c r="G321" s="53"/>
      <c r="H321" s="53"/>
      <c r="I321" s="72">
        <v>75</v>
      </c>
      <c r="J321" s="64"/>
      <c r="K321" s="57"/>
      <c r="L321" s="58" t="s">
        <v>803</v>
      </c>
      <c r="M321" s="68" t="s">
        <v>804</v>
      </c>
      <c r="N321" s="58">
        <f>VLOOKUP(E321,订单号!B:C,2,0)</f>
        <v>0</v>
      </c>
      <c r="O321" s="35" t="e">
        <f>VLOOKUP(C321,领导干部!B:B,1,0)</f>
        <v>#N/A</v>
      </c>
    </row>
    <row r="322" s="35" customFormat="1" customHeight="1" spans="1:15">
      <c r="A322" s="47">
        <f t="shared" ref="A322:A385" si="10">ROW()-1</f>
        <v>321</v>
      </c>
      <c r="B322" s="57" t="s">
        <v>388</v>
      </c>
      <c r="C322" s="49">
        <f>IFERROR(VLOOKUP(B322,[1]工程研发事业部人员名单!B:D,2,0),"")</f>
        <v>50864</v>
      </c>
      <c r="D322" s="50" t="str">
        <f>IFERROR(VLOOKUP(B322,[1]工程研发事业部人员名单!B:D,3,0),"")</f>
        <v>综合技术室</v>
      </c>
      <c r="E322" s="51" t="s">
        <v>194</v>
      </c>
      <c r="F322" s="52">
        <f t="shared" ref="F322:F385" si="11">G322+H322+I322+J322</f>
        <v>44</v>
      </c>
      <c r="G322" s="53"/>
      <c r="H322" s="53"/>
      <c r="I322" s="72">
        <v>44</v>
      </c>
      <c r="J322" s="64"/>
      <c r="K322" s="57"/>
      <c r="L322" s="58" t="s">
        <v>803</v>
      </c>
      <c r="M322" s="68" t="s">
        <v>805</v>
      </c>
      <c r="N322" s="58">
        <f>VLOOKUP(E322,订单号!B:C,2,0)</f>
        <v>0</v>
      </c>
      <c r="O322" s="35" t="e">
        <f>VLOOKUP(C322,领导干部!B:B,1,0)</f>
        <v>#N/A</v>
      </c>
    </row>
    <row r="323" s="35" customFormat="1" customHeight="1" spans="1:15">
      <c r="A323" s="47">
        <f t="shared" si="10"/>
        <v>322</v>
      </c>
      <c r="B323" s="57" t="s">
        <v>358</v>
      </c>
      <c r="C323" s="49">
        <f>IFERROR(VLOOKUP(B323,[1]工程研发事业部人员名单!B:D,2,0),"")</f>
        <v>51387</v>
      </c>
      <c r="D323" s="50" t="str">
        <f>IFERROR(VLOOKUP(B323,[1]工程研发事业部人员名单!B:D,3,0),"")</f>
        <v>系统室</v>
      </c>
      <c r="E323" s="51" t="s">
        <v>194</v>
      </c>
      <c r="F323" s="52">
        <f t="shared" si="11"/>
        <v>29</v>
      </c>
      <c r="G323" s="53"/>
      <c r="H323" s="53"/>
      <c r="I323" s="53">
        <v>29</v>
      </c>
      <c r="J323" s="64"/>
      <c r="K323" s="57"/>
      <c r="L323" s="58" t="s">
        <v>803</v>
      </c>
      <c r="M323" s="68" t="s">
        <v>806</v>
      </c>
      <c r="N323" s="58">
        <f>VLOOKUP(E323,订单号!B:C,2,0)</f>
        <v>0</v>
      </c>
      <c r="O323" s="35" t="e">
        <f>VLOOKUP(C323,领导干部!B:B,1,0)</f>
        <v>#N/A</v>
      </c>
    </row>
    <row r="324" s="35" customFormat="1" customHeight="1" spans="1:15">
      <c r="A324" s="47">
        <f t="shared" si="10"/>
        <v>323</v>
      </c>
      <c r="B324" s="57" t="s">
        <v>305</v>
      </c>
      <c r="C324" s="49">
        <f>IFERROR(VLOOKUP(B324,[1]工程研发事业部人员名单!B:D,2,0),"")</f>
        <v>51389</v>
      </c>
      <c r="D324" s="50" t="str">
        <f>IFERROR(VLOOKUP(B324,[1]工程研发事业部人员名单!B:D,3,0),"")</f>
        <v>系统室</v>
      </c>
      <c r="E324" s="51" t="s">
        <v>194</v>
      </c>
      <c r="F324" s="52">
        <f t="shared" si="11"/>
        <v>45</v>
      </c>
      <c r="G324" s="53"/>
      <c r="H324" s="53"/>
      <c r="I324" s="53">
        <v>45</v>
      </c>
      <c r="J324" s="64"/>
      <c r="K324" s="57"/>
      <c r="L324" s="58" t="s">
        <v>803</v>
      </c>
      <c r="M324" s="68" t="s">
        <v>807</v>
      </c>
      <c r="N324" s="58">
        <f>VLOOKUP(E324,订单号!B:C,2,0)</f>
        <v>0</v>
      </c>
      <c r="O324" s="35" t="e">
        <f>VLOOKUP(C324,领导干部!B:B,1,0)</f>
        <v>#N/A</v>
      </c>
    </row>
    <row r="325" s="35" customFormat="1" customHeight="1" spans="1:15">
      <c r="A325" s="47">
        <f t="shared" si="10"/>
        <v>324</v>
      </c>
      <c r="B325" s="57" t="s">
        <v>472</v>
      </c>
      <c r="C325" s="49">
        <f>IFERROR(VLOOKUP(B325,[1]工程研发事业部人员名单!B:D,2,0),"")</f>
        <v>51165</v>
      </c>
      <c r="D325" s="50" t="str">
        <f>IFERROR(VLOOKUP(B325,[1]工程研发事业部人员名单!B:D,3,0),"")</f>
        <v>结构一室</v>
      </c>
      <c r="E325" s="51" t="s">
        <v>194</v>
      </c>
      <c r="F325" s="52">
        <f t="shared" si="11"/>
        <v>35</v>
      </c>
      <c r="G325" s="53"/>
      <c r="H325" s="53"/>
      <c r="I325" s="72">
        <v>35</v>
      </c>
      <c r="J325" s="64"/>
      <c r="K325" s="57"/>
      <c r="L325" s="58" t="s">
        <v>803</v>
      </c>
      <c r="M325" s="68" t="s">
        <v>808</v>
      </c>
      <c r="N325" s="58">
        <f>VLOOKUP(E325,订单号!B:C,2,0)</f>
        <v>0</v>
      </c>
      <c r="O325" s="35" t="e">
        <f>VLOOKUP(C325,领导干部!B:B,1,0)</f>
        <v>#N/A</v>
      </c>
    </row>
    <row r="326" s="35" customFormat="1" customHeight="1" spans="1:15">
      <c r="A326" s="47">
        <f t="shared" si="10"/>
        <v>325</v>
      </c>
      <c r="B326" s="57" t="s">
        <v>236</v>
      </c>
      <c r="C326" s="49">
        <f>IFERROR(VLOOKUP(B326,[1]工程研发事业部人员名单!B:D,2,0),"")</f>
        <v>51211</v>
      </c>
      <c r="D326" s="50" t="str">
        <f>IFERROR(VLOOKUP(B326,[1]工程研发事业部人员名单!B:D,3,0),"")</f>
        <v>结构一室</v>
      </c>
      <c r="E326" s="51" t="s">
        <v>194</v>
      </c>
      <c r="F326" s="52">
        <f t="shared" si="11"/>
        <v>10</v>
      </c>
      <c r="G326" s="53"/>
      <c r="H326" s="53"/>
      <c r="I326" s="72">
        <v>10</v>
      </c>
      <c r="J326" s="64"/>
      <c r="K326" s="57"/>
      <c r="L326" s="58" t="s">
        <v>803</v>
      </c>
      <c r="M326" s="68" t="s">
        <v>809</v>
      </c>
      <c r="N326" s="58">
        <f>VLOOKUP(E326,订单号!B:C,2,0)</f>
        <v>0</v>
      </c>
      <c r="O326" s="35" t="e">
        <f>VLOOKUP(C326,领导干部!B:B,1,0)</f>
        <v>#N/A</v>
      </c>
    </row>
    <row r="327" s="35" customFormat="1" customHeight="1" spans="1:15">
      <c r="A327" s="47">
        <f t="shared" si="10"/>
        <v>326</v>
      </c>
      <c r="B327" s="57" t="s">
        <v>257</v>
      </c>
      <c r="C327" s="49">
        <f>IFERROR(VLOOKUP(B327,[1]工程研发事业部人员名单!B:D,2,0),"")</f>
        <v>51410</v>
      </c>
      <c r="D327" s="50" t="str">
        <f>IFERROR(VLOOKUP(B327,[1]工程研发事业部人员名单!B:D,3,0),"")</f>
        <v>结构一室</v>
      </c>
      <c r="E327" s="51" t="s">
        <v>194</v>
      </c>
      <c r="F327" s="52">
        <f t="shared" si="11"/>
        <v>5</v>
      </c>
      <c r="G327" s="53"/>
      <c r="H327" s="53"/>
      <c r="I327" s="72">
        <v>5</v>
      </c>
      <c r="J327" s="64"/>
      <c r="K327" s="57"/>
      <c r="L327" s="58" t="s">
        <v>803</v>
      </c>
      <c r="M327" s="68" t="s">
        <v>809</v>
      </c>
      <c r="N327" s="58">
        <f>VLOOKUP(E327,订单号!B:C,2,0)</f>
        <v>0</v>
      </c>
      <c r="O327" s="35" t="e">
        <f>VLOOKUP(C327,领导干部!B:B,1,0)</f>
        <v>#N/A</v>
      </c>
    </row>
    <row r="328" s="35" customFormat="1" customHeight="1" spans="1:15">
      <c r="A328" s="47">
        <f t="shared" si="10"/>
        <v>327</v>
      </c>
      <c r="B328" s="57" t="s">
        <v>333</v>
      </c>
      <c r="C328" s="49">
        <f>IFERROR(VLOOKUP(B328,[1]工程研发事业部人员名单!B:D,2,0),"")</f>
        <v>50032</v>
      </c>
      <c r="D328" s="50" t="str">
        <f>IFERROR(VLOOKUP(B328,[1]工程研发事业部人员名单!B:D,3,0),"")</f>
        <v>总体室</v>
      </c>
      <c r="E328" s="51" t="s">
        <v>194</v>
      </c>
      <c r="F328" s="52">
        <f t="shared" si="11"/>
        <v>43</v>
      </c>
      <c r="G328" s="53"/>
      <c r="H328" s="53"/>
      <c r="I328" s="53">
        <v>43</v>
      </c>
      <c r="J328" s="64"/>
      <c r="K328" s="57"/>
      <c r="L328" s="58" t="s">
        <v>803</v>
      </c>
      <c r="M328" s="68" t="s">
        <v>810</v>
      </c>
      <c r="N328" s="58">
        <f>VLOOKUP(E328,订单号!B:C,2,0)</f>
        <v>0</v>
      </c>
      <c r="O328" s="35" t="e">
        <f>VLOOKUP(C328,领导干部!B:B,1,0)</f>
        <v>#N/A</v>
      </c>
    </row>
    <row r="329" s="35" customFormat="1" customHeight="1" spans="1:15">
      <c r="A329" s="47">
        <f t="shared" si="10"/>
        <v>328</v>
      </c>
      <c r="B329" s="57" t="s">
        <v>400</v>
      </c>
      <c r="C329" s="49">
        <f>IFERROR(VLOOKUP(B329,[1]工程研发事业部人员名单!B:D,2,0),"")</f>
        <v>17725</v>
      </c>
      <c r="D329" s="50" t="str">
        <f>IFERROR(VLOOKUP(B329,[1]工程研发事业部人员名单!B:D,3,0),"")</f>
        <v>总体室</v>
      </c>
      <c r="E329" s="51" t="s">
        <v>194</v>
      </c>
      <c r="F329" s="52">
        <f t="shared" si="11"/>
        <v>40</v>
      </c>
      <c r="G329" s="53"/>
      <c r="H329" s="53"/>
      <c r="I329" s="53">
        <v>40</v>
      </c>
      <c r="J329" s="64"/>
      <c r="K329" s="57"/>
      <c r="L329" s="58" t="s">
        <v>803</v>
      </c>
      <c r="M329" s="68" t="s">
        <v>811</v>
      </c>
      <c r="N329" s="58">
        <f>VLOOKUP(E329,订单号!B:C,2,0)</f>
        <v>0</v>
      </c>
      <c r="O329" s="35" t="e">
        <f>VLOOKUP(C329,领导干部!B:B,1,0)</f>
        <v>#N/A</v>
      </c>
    </row>
    <row r="330" s="35" customFormat="1" customHeight="1" spans="1:15">
      <c r="A330" s="47">
        <f t="shared" si="10"/>
        <v>329</v>
      </c>
      <c r="B330" s="57" t="s">
        <v>376</v>
      </c>
      <c r="C330" s="49">
        <f>IFERROR(VLOOKUP(B330,[1]工程研发事业部人员名单!B:D,2,0),"")</f>
        <v>50872</v>
      </c>
      <c r="D330" s="50" t="str">
        <f>IFERROR(VLOOKUP(B330,[1]工程研发事业部人员名单!B:D,3,0),"")</f>
        <v>系统室</v>
      </c>
      <c r="E330" s="51" t="s">
        <v>194</v>
      </c>
      <c r="F330" s="52">
        <f t="shared" si="11"/>
        <v>10</v>
      </c>
      <c r="G330" s="53"/>
      <c r="H330" s="53"/>
      <c r="I330" s="53">
        <v>10</v>
      </c>
      <c r="J330" s="64"/>
      <c r="K330" s="57"/>
      <c r="L330" s="58" t="s">
        <v>803</v>
      </c>
      <c r="M330" s="68" t="s">
        <v>812</v>
      </c>
      <c r="N330" s="58">
        <f>VLOOKUP(E330,订单号!B:C,2,0)</f>
        <v>0</v>
      </c>
      <c r="O330" s="35" t="e">
        <f>VLOOKUP(C330,领导干部!B:B,1,0)</f>
        <v>#N/A</v>
      </c>
    </row>
    <row r="331" s="35" customFormat="1" customHeight="1" spans="1:15">
      <c r="A331" s="47">
        <f t="shared" si="10"/>
        <v>330</v>
      </c>
      <c r="B331" s="57" t="s">
        <v>311</v>
      </c>
      <c r="C331" s="49">
        <f>IFERROR(VLOOKUP(B331,[1]工程研发事业部人员名单!B:D,2,0),"")</f>
        <v>51435</v>
      </c>
      <c r="D331" s="50" t="str">
        <f>IFERROR(VLOOKUP(B331,[1]工程研发事业部人员名单!B:D,3,0),"")</f>
        <v>系统室</v>
      </c>
      <c r="E331" s="51" t="s">
        <v>194</v>
      </c>
      <c r="F331" s="52">
        <f t="shared" si="11"/>
        <v>15</v>
      </c>
      <c r="G331" s="53"/>
      <c r="H331" s="53"/>
      <c r="I331" s="53">
        <v>15</v>
      </c>
      <c r="J331" s="64"/>
      <c r="K331" s="57"/>
      <c r="L331" s="58" t="s">
        <v>803</v>
      </c>
      <c r="M331" s="68" t="s">
        <v>813</v>
      </c>
      <c r="N331" s="58">
        <f>VLOOKUP(E331,订单号!B:C,2,0)</f>
        <v>0</v>
      </c>
      <c r="O331" s="35" t="e">
        <f>VLOOKUP(C331,领导干部!B:B,1,0)</f>
        <v>#N/A</v>
      </c>
    </row>
    <row r="332" s="35" customFormat="1" customHeight="1" spans="1:15">
      <c r="A332" s="47">
        <f t="shared" si="10"/>
        <v>331</v>
      </c>
      <c r="B332" s="57" t="s">
        <v>294</v>
      </c>
      <c r="C332" s="49">
        <f>IFERROR(VLOOKUP(B332,[1]工程研发事业部人员名单!B:D,2,0),"")</f>
        <v>50726</v>
      </c>
      <c r="D332" s="50" t="str">
        <f>IFERROR(VLOOKUP(B332,[1]工程研发事业部人员名单!B:D,3,0),"")</f>
        <v>强度室</v>
      </c>
      <c r="E332" s="51" t="s">
        <v>194</v>
      </c>
      <c r="F332" s="52">
        <f t="shared" si="11"/>
        <v>15</v>
      </c>
      <c r="G332" s="53"/>
      <c r="H332" s="53"/>
      <c r="I332" s="72">
        <v>15</v>
      </c>
      <c r="J332" s="64"/>
      <c r="K332" s="57"/>
      <c r="L332" s="58" t="s">
        <v>803</v>
      </c>
      <c r="M332" s="68" t="s">
        <v>814</v>
      </c>
      <c r="N332" s="58">
        <f>VLOOKUP(E332,订单号!B:C,2,0)</f>
        <v>0</v>
      </c>
      <c r="O332" s="35" t="e">
        <f>VLOOKUP(C332,领导干部!B:B,1,0)</f>
        <v>#N/A</v>
      </c>
    </row>
    <row r="333" s="35" customFormat="1" customHeight="1" spans="1:15">
      <c r="A333" s="47">
        <f t="shared" si="10"/>
        <v>332</v>
      </c>
      <c r="B333" s="57" t="s">
        <v>230</v>
      </c>
      <c r="C333" s="49">
        <f>IFERROR(VLOOKUP(B333,[1]工程研发事业部人员名单!B:D,2,0),"")</f>
        <v>50030</v>
      </c>
      <c r="D333" s="50" t="str">
        <f>IFERROR(VLOOKUP(B333,[1]工程研发事业部人员名单!B:D,3,0),"")</f>
        <v>总体室</v>
      </c>
      <c r="E333" s="51" t="s">
        <v>194</v>
      </c>
      <c r="F333" s="52">
        <f t="shared" si="11"/>
        <v>35</v>
      </c>
      <c r="G333" s="53"/>
      <c r="H333" s="53"/>
      <c r="I333" s="72">
        <v>35</v>
      </c>
      <c r="J333" s="64"/>
      <c r="K333" s="57"/>
      <c r="L333" s="58" t="s">
        <v>803</v>
      </c>
      <c r="M333" s="68" t="s">
        <v>815</v>
      </c>
      <c r="N333" s="58">
        <f>VLOOKUP(E333,订单号!B:C,2,0)</f>
        <v>0</v>
      </c>
      <c r="O333" s="35" t="e">
        <f>VLOOKUP(C333,领导干部!B:B,1,0)</f>
        <v>#N/A</v>
      </c>
    </row>
    <row r="334" s="35" customFormat="1" customHeight="1" spans="1:15">
      <c r="A334" s="47">
        <f t="shared" si="10"/>
        <v>333</v>
      </c>
      <c r="B334" s="57" t="s">
        <v>295</v>
      </c>
      <c r="C334" s="49">
        <f>IFERROR(VLOOKUP(B334,[1]工程研发事业部人员名单!B:D,2,0),"")</f>
        <v>51951</v>
      </c>
      <c r="D334" s="50" t="str">
        <f>IFERROR(VLOOKUP(B334,[1]工程研发事业部人员名单!B:D,3,0),"")</f>
        <v>系统室</v>
      </c>
      <c r="E334" s="51" t="s">
        <v>194</v>
      </c>
      <c r="F334" s="52">
        <f t="shared" si="11"/>
        <v>8</v>
      </c>
      <c r="G334" s="53"/>
      <c r="H334" s="53"/>
      <c r="I334" s="72">
        <v>8</v>
      </c>
      <c r="J334" s="64"/>
      <c r="K334" s="57"/>
      <c r="L334" s="58" t="s">
        <v>803</v>
      </c>
      <c r="M334" s="68" t="s">
        <v>816</v>
      </c>
      <c r="N334" s="58">
        <f>VLOOKUP(E334,订单号!B:C,2,0)</f>
        <v>0</v>
      </c>
      <c r="O334" s="35" t="e">
        <f>VLOOKUP(C334,领导干部!B:B,1,0)</f>
        <v>#N/A</v>
      </c>
    </row>
    <row r="335" s="35" customFormat="1" customHeight="1" spans="1:15">
      <c r="A335" s="47">
        <f t="shared" si="10"/>
        <v>334</v>
      </c>
      <c r="B335" s="57" t="s">
        <v>360</v>
      </c>
      <c r="C335" s="49">
        <f>IFERROR(VLOOKUP(B335,[1]工程研发事业部人员名单!B:D,2,0),"")</f>
        <v>50713</v>
      </c>
      <c r="D335" s="50" t="str">
        <f>IFERROR(VLOOKUP(B335,[1]工程研发事业部人员名单!B:D,3,0),"")</f>
        <v>系统室</v>
      </c>
      <c r="E335" s="51" t="s">
        <v>194</v>
      </c>
      <c r="F335" s="52">
        <f t="shared" si="11"/>
        <v>18</v>
      </c>
      <c r="G335" s="53"/>
      <c r="H335" s="53"/>
      <c r="I335" s="72">
        <v>18</v>
      </c>
      <c r="J335" s="64"/>
      <c r="K335" s="57"/>
      <c r="L335" s="58" t="s">
        <v>803</v>
      </c>
      <c r="M335" s="68" t="s">
        <v>817</v>
      </c>
      <c r="N335" s="58">
        <f>VLOOKUP(E335,订单号!B:C,2,0)</f>
        <v>0</v>
      </c>
      <c r="O335" s="35" t="e">
        <f>VLOOKUP(C335,领导干部!B:B,1,0)</f>
        <v>#N/A</v>
      </c>
    </row>
    <row r="336" s="35" customFormat="1" customHeight="1" spans="1:15">
      <c r="A336" s="47">
        <f t="shared" si="10"/>
        <v>335</v>
      </c>
      <c r="B336" s="57" t="s">
        <v>298</v>
      </c>
      <c r="C336" s="49">
        <f>IFERROR(VLOOKUP(B336,[1]工程研发事业部人员名单!B:D,2,0),"")</f>
        <v>51517</v>
      </c>
      <c r="D336" s="50" t="str">
        <f>IFERROR(VLOOKUP(B336,[1]工程研发事业部人员名单!B:D,3,0),"")</f>
        <v>系统室</v>
      </c>
      <c r="E336" s="51" t="s">
        <v>194</v>
      </c>
      <c r="F336" s="52">
        <f t="shared" si="11"/>
        <v>10</v>
      </c>
      <c r="G336" s="53"/>
      <c r="H336" s="53"/>
      <c r="I336" s="72">
        <v>10</v>
      </c>
      <c r="J336" s="64"/>
      <c r="K336" s="57"/>
      <c r="L336" s="58" t="s">
        <v>803</v>
      </c>
      <c r="M336" s="68" t="s">
        <v>818</v>
      </c>
      <c r="N336" s="58">
        <f>VLOOKUP(E336,订单号!B:C,2,0)</f>
        <v>0</v>
      </c>
      <c r="O336" s="35" t="e">
        <f>VLOOKUP(C336,领导干部!B:B,1,0)</f>
        <v>#N/A</v>
      </c>
    </row>
    <row r="337" s="35" customFormat="1" customHeight="1" spans="1:15">
      <c r="A337" s="47">
        <f t="shared" si="10"/>
        <v>336</v>
      </c>
      <c r="B337" s="57" t="s">
        <v>342</v>
      </c>
      <c r="C337" s="49">
        <f>IFERROR(VLOOKUP(B337,[1]工程研发事业部人员名单!B:D,2,0),"")</f>
        <v>50702</v>
      </c>
      <c r="D337" s="50" t="str">
        <f>IFERROR(VLOOKUP(B337,[1]工程研发事业部人员名单!B:D,3,0),"")</f>
        <v>总体室</v>
      </c>
      <c r="E337" s="51" t="s">
        <v>194</v>
      </c>
      <c r="F337" s="52">
        <f t="shared" si="11"/>
        <v>20</v>
      </c>
      <c r="G337" s="53"/>
      <c r="H337" s="53"/>
      <c r="I337" s="72">
        <v>20</v>
      </c>
      <c r="J337" s="64"/>
      <c r="K337" s="57"/>
      <c r="L337" s="58" t="s">
        <v>803</v>
      </c>
      <c r="M337" s="68" t="s">
        <v>819</v>
      </c>
      <c r="N337" s="58">
        <f>VLOOKUP(E337,订单号!B:C,2,0)</f>
        <v>0</v>
      </c>
      <c r="O337" s="35" t="e">
        <f>VLOOKUP(C337,领导干部!B:B,1,0)</f>
        <v>#N/A</v>
      </c>
    </row>
    <row r="338" s="35" customFormat="1" customHeight="1" spans="1:15">
      <c r="A338" s="47">
        <f t="shared" si="10"/>
        <v>337</v>
      </c>
      <c r="B338" s="57" t="s">
        <v>292</v>
      </c>
      <c r="C338" s="49">
        <f>IFERROR(VLOOKUP(B338,[1]工程研发事业部人员名单!B:D,2,0),"")</f>
        <v>51385</v>
      </c>
      <c r="D338" s="50" t="str">
        <f>IFERROR(VLOOKUP(B338,[1]工程研发事业部人员名单!B:D,3,0),"")</f>
        <v>系统室</v>
      </c>
      <c r="E338" s="51" t="s">
        <v>194</v>
      </c>
      <c r="F338" s="52">
        <f t="shared" si="11"/>
        <v>8</v>
      </c>
      <c r="G338" s="53"/>
      <c r="H338" s="53"/>
      <c r="I338" s="72">
        <v>8</v>
      </c>
      <c r="J338" s="64"/>
      <c r="K338" s="57"/>
      <c r="L338" s="58" t="s">
        <v>803</v>
      </c>
      <c r="M338" s="68" t="s">
        <v>820</v>
      </c>
      <c r="N338" s="58">
        <f>VLOOKUP(E338,订单号!B:C,2,0)</f>
        <v>0</v>
      </c>
      <c r="O338" s="35" t="e">
        <f>VLOOKUP(C338,领导干部!B:B,1,0)</f>
        <v>#N/A</v>
      </c>
    </row>
    <row r="339" s="35" customFormat="1" customHeight="1" spans="1:15">
      <c r="A339" s="47">
        <f t="shared" si="10"/>
        <v>338</v>
      </c>
      <c r="B339" s="57" t="s">
        <v>321</v>
      </c>
      <c r="C339" s="49">
        <f>IFERROR(VLOOKUP(B339,[1]工程研发事业部人员名单!B:D,2,0),"")</f>
        <v>51430</v>
      </c>
      <c r="D339" s="50" t="str">
        <f>IFERROR(VLOOKUP(B339,[1]工程研发事业部人员名单!B:D,3,0),"")</f>
        <v>系统室</v>
      </c>
      <c r="E339" s="51" t="s">
        <v>194</v>
      </c>
      <c r="F339" s="52">
        <f t="shared" si="11"/>
        <v>16</v>
      </c>
      <c r="G339" s="53"/>
      <c r="H339" s="53"/>
      <c r="I339" s="72">
        <v>16</v>
      </c>
      <c r="J339" s="64"/>
      <c r="K339" s="57"/>
      <c r="L339" s="58" t="s">
        <v>803</v>
      </c>
      <c r="M339" s="68" t="s">
        <v>821</v>
      </c>
      <c r="N339" s="58">
        <f>VLOOKUP(E339,订单号!B:C,2,0)</f>
        <v>0</v>
      </c>
      <c r="O339" s="35" t="e">
        <f>VLOOKUP(C339,领导干部!B:B,1,0)</f>
        <v>#N/A</v>
      </c>
    </row>
    <row r="340" s="35" customFormat="1" customHeight="1" spans="1:15">
      <c r="A340" s="47">
        <f t="shared" si="10"/>
        <v>339</v>
      </c>
      <c r="B340" s="57" t="s">
        <v>338</v>
      </c>
      <c r="C340" s="49">
        <f>IFERROR(VLOOKUP(B340,[1]工程研发事业部人员名单!B:D,2,0),"")</f>
        <v>52156</v>
      </c>
      <c r="D340" s="50" t="str">
        <f>IFERROR(VLOOKUP(B340,[1]工程研发事业部人员名单!B:D,3,0),"")</f>
        <v>系统室</v>
      </c>
      <c r="E340" s="51" t="s">
        <v>194</v>
      </c>
      <c r="F340" s="52">
        <f t="shared" si="11"/>
        <v>10</v>
      </c>
      <c r="G340" s="53"/>
      <c r="H340" s="53"/>
      <c r="I340" s="72">
        <v>10</v>
      </c>
      <c r="J340" s="64"/>
      <c r="K340" s="57"/>
      <c r="L340" s="58" t="s">
        <v>803</v>
      </c>
      <c r="M340" s="68" t="s">
        <v>822</v>
      </c>
      <c r="N340" s="58">
        <f>VLOOKUP(E340,订单号!B:C,2,0)</f>
        <v>0</v>
      </c>
      <c r="O340" s="35" t="e">
        <f>VLOOKUP(C340,领导干部!B:B,1,0)</f>
        <v>#N/A</v>
      </c>
    </row>
    <row r="341" s="35" customFormat="1" customHeight="1" spans="1:15">
      <c r="A341" s="47">
        <f t="shared" si="10"/>
        <v>340</v>
      </c>
      <c r="B341" s="57" t="s">
        <v>234</v>
      </c>
      <c r="C341" s="49">
        <f>IFERROR(VLOOKUP(B341,[1]工程研发事业部人员名单!B:D,2,0),"")</f>
        <v>50281</v>
      </c>
      <c r="D341" s="50" t="str">
        <f>IFERROR(VLOOKUP(B341,[1]工程研发事业部人员名单!B:D,3,0),"")</f>
        <v>结构一室</v>
      </c>
      <c r="E341" s="51" t="s">
        <v>194</v>
      </c>
      <c r="F341" s="52">
        <f t="shared" si="11"/>
        <v>15</v>
      </c>
      <c r="G341" s="53"/>
      <c r="H341" s="53"/>
      <c r="I341" s="72">
        <v>15</v>
      </c>
      <c r="J341" s="64"/>
      <c r="K341" s="57"/>
      <c r="L341" s="58" t="s">
        <v>803</v>
      </c>
      <c r="M341" s="59" t="s">
        <v>823</v>
      </c>
      <c r="N341" s="58">
        <f>VLOOKUP(E341,订单号!B:C,2,0)</f>
        <v>0</v>
      </c>
      <c r="O341" s="35" t="e">
        <f>VLOOKUP(C341,领导干部!B:B,1,0)</f>
        <v>#N/A</v>
      </c>
    </row>
    <row r="342" s="35" customFormat="1" customHeight="1" spans="1:15">
      <c r="A342" s="47">
        <f t="shared" si="10"/>
        <v>341</v>
      </c>
      <c r="B342" s="57" t="s">
        <v>311</v>
      </c>
      <c r="C342" s="49">
        <f>IFERROR(VLOOKUP(B342,[1]工程研发事业部人员名单!B:D,2,0),"")</f>
        <v>51435</v>
      </c>
      <c r="D342" s="50" t="str">
        <f>IFERROR(VLOOKUP(B342,[1]工程研发事业部人员名单!B:D,3,0),"")</f>
        <v>系统室</v>
      </c>
      <c r="E342" s="51" t="s">
        <v>194</v>
      </c>
      <c r="F342" s="52">
        <f t="shared" si="11"/>
        <v>10</v>
      </c>
      <c r="G342" s="53"/>
      <c r="H342" s="53"/>
      <c r="I342" s="72">
        <v>10</v>
      </c>
      <c r="J342" s="64"/>
      <c r="K342" s="57"/>
      <c r="L342" s="58" t="s">
        <v>803</v>
      </c>
      <c r="M342" s="68" t="s">
        <v>824</v>
      </c>
      <c r="N342" s="58">
        <f>VLOOKUP(E342,订单号!B:C,2,0)</f>
        <v>0</v>
      </c>
      <c r="O342" s="35" t="e">
        <f>VLOOKUP(C342,领导干部!B:B,1,0)</f>
        <v>#N/A</v>
      </c>
    </row>
    <row r="343" s="35" customFormat="1" customHeight="1" spans="1:15">
      <c r="A343" s="47">
        <f t="shared" si="10"/>
        <v>342</v>
      </c>
      <c r="B343" s="57" t="s">
        <v>246</v>
      </c>
      <c r="C343" s="49">
        <f>IFERROR(VLOOKUP(B343,[1]工程研发事业部人员名单!B:D,2,0),"")</f>
        <v>51183</v>
      </c>
      <c r="D343" s="50" t="str">
        <f>IFERROR(VLOOKUP(B343,[1]工程研发事业部人员名单!B:D,3,0),"")</f>
        <v>结构一室</v>
      </c>
      <c r="E343" s="51" t="s">
        <v>194</v>
      </c>
      <c r="F343" s="52">
        <f t="shared" si="11"/>
        <v>10</v>
      </c>
      <c r="G343" s="53"/>
      <c r="H343" s="53"/>
      <c r="I343" s="72">
        <v>10</v>
      </c>
      <c r="J343" s="64"/>
      <c r="K343" s="57"/>
      <c r="L343" s="58" t="s">
        <v>803</v>
      </c>
      <c r="M343" s="68" t="s">
        <v>809</v>
      </c>
      <c r="N343" s="58">
        <f>VLOOKUP(E343,订单号!B:C,2,0)</f>
        <v>0</v>
      </c>
      <c r="O343" s="35" t="e">
        <f>VLOOKUP(C343,领导干部!B:B,1,0)</f>
        <v>#N/A</v>
      </c>
    </row>
    <row r="344" s="35" customFormat="1" customHeight="1" spans="1:15">
      <c r="A344" s="47">
        <f t="shared" si="10"/>
        <v>343</v>
      </c>
      <c r="B344" s="57" t="s">
        <v>342</v>
      </c>
      <c r="C344" s="49">
        <f>IFERROR(VLOOKUP(B344,[1]工程研发事业部人员名单!B:D,2,0),"")</f>
        <v>50702</v>
      </c>
      <c r="D344" s="50" t="str">
        <f>IFERROR(VLOOKUP(B344,[1]工程研发事业部人员名单!B:D,3,0),"")</f>
        <v>总体室</v>
      </c>
      <c r="E344" s="51" t="s">
        <v>194</v>
      </c>
      <c r="F344" s="52">
        <f t="shared" si="11"/>
        <v>55</v>
      </c>
      <c r="G344" s="53"/>
      <c r="H344" s="53"/>
      <c r="I344" s="72">
        <v>55</v>
      </c>
      <c r="J344" s="64"/>
      <c r="K344" s="57"/>
      <c r="L344" s="58" t="s">
        <v>825</v>
      </c>
      <c r="M344" s="68"/>
      <c r="N344" s="58">
        <f>VLOOKUP(E344,订单号!B:C,2,0)</f>
        <v>0</v>
      </c>
      <c r="O344" s="35" t="e">
        <f>VLOOKUP(C344,领导干部!B:B,1,0)</f>
        <v>#N/A</v>
      </c>
    </row>
    <row r="345" s="35" customFormat="1" customHeight="1" spans="1:15">
      <c r="A345" s="47">
        <f t="shared" si="10"/>
        <v>344</v>
      </c>
      <c r="B345" s="57" t="s">
        <v>220</v>
      </c>
      <c r="C345" s="49">
        <f>IFERROR(VLOOKUP(B345,[1]工程研发事业部人员名单!B:D,2,0),"")</f>
        <v>51405</v>
      </c>
      <c r="D345" s="50" t="str">
        <f>IFERROR(VLOOKUP(B345,[1]工程研发事业部人员名单!B:D,3,0),"")</f>
        <v>综合技术室</v>
      </c>
      <c r="E345" s="51" t="s">
        <v>194</v>
      </c>
      <c r="F345" s="52">
        <f t="shared" si="11"/>
        <v>25</v>
      </c>
      <c r="G345" s="53"/>
      <c r="H345" s="53"/>
      <c r="I345" s="72">
        <v>25</v>
      </c>
      <c r="J345" s="64"/>
      <c r="K345" s="57"/>
      <c r="L345" s="58" t="s">
        <v>826</v>
      </c>
      <c r="M345" s="68" t="s">
        <v>827</v>
      </c>
      <c r="N345" s="58">
        <f>VLOOKUP(E345,订单号!B:C,2,0)</f>
        <v>0</v>
      </c>
      <c r="O345" s="35" t="e">
        <f>VLOOKUP(C345,领导干部!B:B,1,0)</f>
        <v>#N/A</v>
      </c>
    </row>
    <row r="346" s="35" customFormat="1" customHeight="1" spans="1:15">
      <c r="A346" s="47">
        <f t="shared" si="10"/>
        <v>345</v>
      </c>
      <c r="B346" s="57" t="s">
        <v>358</v>
      </c>
      <c r="C346" s="49">
        <f>IFERROR(VLOOKUP(B346,[1]工程研发事业部人员名单!B:D,2,0),"")</f>
        <v>51387</v>
      </c>
      <c r="D346" s="50" t="str">
        <f>IFERROR(VLOOKUP(B346,[1]工程研发事业部人员名单!B:D,3,0),"")</f>
        <v>系统室</v>
      </c>
      <c r="E346" s="51" t="s">
        <v>194</v>
      </c>
      <c r="F346" s="52">
        <f t="shared" si="11"/>
        <v>8</v>
      </c>
      <c r="G346" s="53"/>
      <c r="H346" s="53"/>
      <c r="I346" s="72">
        <v>8</v>
      </c>
      <c r="J346" s="64"/>
      <c r="K346" s="57"/>
      <c r="L346" s="58" t="s">
        <v>828</v>
      </c>
      <c r="M346" s="68" t="s">
        <v>829</v>
      </c>
      <c r="N346" s="58">
        <f>VLOOKUP(E346,订单号!B:C,2,0)</f>
        <v>0</v>
      </c>
      <c r="O346" s="35" t="e">
        <f>VLOOKUP(C346,领导干部!B:B,1,0)</f>
        <v>#N/A</v>
      </c>
    </row>
    <row r="347" s="35" customFormat="1" customHeight="1" spans="1:15">
      <c r="A347" s="47">
        <f t="shared" si="10"/>
        <v>346</v>
      </c>
      <c r="B347" s="57" t="s">
        <v>305</v>
      </c>
      <c r="C347" s="49">
        <f>IFERROR(VLOOKUP(B347,[1]工程研发事业部人员名单!B:D,2,0),"")</f>
        <v>51389</v>
      </c>
      <c r="D347" s="50" t="str">
        <f>IFERROR(VLOOKUP(B347,[1]工程研发事业部人员名单!B:D,3,0),"")</f>
        <v>系统室</v>
      </c>
      <c r="E347" s="51" t="s">
        <v>194</v>
      </c>
      <c r="F347" s="52">
        <f t="shared" si="11"/>
        <v>12</v>
      </c>
      <c r="G347" s="53"/>
      <c r="H347" s="53"/>
      <c r="I347" s="72">
        <v>12</v>
      </c>
      <c r="J347" s="64"/>
      <c r="K347" s="57"/>
      <c r="L347" s="58" t="s">
        <v>828</v>
      </c>
      <c r="M347" s="68" t="s">
        <v>830</v>
      </c>
      <c r="N347" s="58">
        <f>VLOOKUP(E347,订单号!B:C,2,0)</f>
        <v>0</v>
      </c>
      <c r="O347" s="35" t="e">
        <f>VLOOKUP(C347,领导干部!B:B,1,0)</f>
        <v>#N/A</v>
      </c>
    </row>
    <row r="348" s="35" customFormat="1" customHeight="1" spans="1:15">
      <c r="A348" s="47">
        <f t="shared" si="10"/>
        <v>347</v>
      </c>
      <c r="B348" s="57" t="s">
        <v>360</v>
      </c>
      <c r="C348" s="49">
        <f>IFERROR(VLOOKUP(B348,[1]工程研发事业部人员名单!B:D,2,0),"")</f>
        <v>50713</v>
      </c>
      <c r="D348" s="50" t="str">
        <f>IFERROR(VLOOKUP(B348,[1]工程研发事业部人员名单!B:D,3,0),"")</f>
        <v>系统室</v>
      </c>
      <c r="E348" s="51" t="s">
        <v>194</v>
      </c>
      <c r="F348" s="52">
        <f t="shared" si="11"/>
        <v>5</v>
      </c>
      <c r="G348" s="53"/>
      <c r="H348" s="53"/>
      <c r="I348" s="72">
        <v>5</v>
      </c>
      <c r="J348" s="64"/>
      <c r="K348" s="57"/>
      <c r="L348" s="58" t="s">
        <v>828</v>
      </c>
      <c r="M348" s="68" t="s">
        <v>831</v>
      </c>
      <c r="N348" s="58">
        <f>VLOOKUP(E348,订单号!B:C,2,0)</f>
        <v>0</v>
      </c>
      <c r="O348" s="35" t="e">
        <f>VLOOKUP(C348,领导干部!B:B,1,0)</f>
        <v>#N/A</v>
      </c>
    </row>
    <row r="349" s="35" customFormat="1" customHeight="1" spans="1:15">
      <c r="A349" s="47">
        <f t="shared" si="10"/>
        <v>348</v>
      </c>
      <c r="B349" s="57" t="s">
        <v>297</v>
      </c>
      <c r="C349" s="49">
        <f>IFERROR(VLOOKUP(B349,[1]工程研发事业部人员名单!B:D,2,0),"")</f>
        <v>51227</v>
      </c>
      <c r="D349" s="50" t="str">
        <f>IFERROR(VLOOKUP(B349,[1]工程研发事业部人员名单!B:D,3,0),"")</f>
        <v>结构一室</v>
      </c>
      <c r="E349" s="51" t="s">
        <v>194</v>
      </c>
      <c r="F349" s="52">
        <f t="shared" si="11"/>
        <v>20</v>
      </c>
      <c r="G349" s="53"/>
      <c r="H349" s="53"/>
      <c r="I349" s="72">
        <v>20</v>
      </c>
      <c r="J349" s="64"/>
      <c r="K349" s="57"/>
      <c r="L349" s="58" t="s">
        <v>828</v>
      </c>
      <c r="M349" s="68" t="s">
        <v>832</v>
      </c>
      <c r="N349" s="58">
        <f>VLOOKUP(E349,订单号!B:C,2,0)</f>
        <v>0</v>
      </c>
      <c r="O349" s="35" t="e">
        <f>VLOOKUP(C349,领导干部!B:B,1,0)</f>
        <v>#N/A</v>
      </c>
    </row>
    <row r="350" s="35" customFormat="1" customHeight="1" spans="1:15">
      <c r="A350" s="47">
        <f t="shared" si="10"/>
        <v>349</v>
      </c>
      <c r="B350" s="57" t="s">
        <v>257</v>
      </c>
      <c r="C350" s="49">
        <f>IFERROR(VLOOKUP(B350,[1]工程研发事业部人员名单!B:D,2,0),"")</f>
        <v>51410</v>
      </c>
      <c r="D350" s="50" t="str">
        <f>IFERROR(VLOOKUP(B350,[1]工程研发事业部人员名单!B:D,3,0),"")</f>
        <v>结构一室</v>
      </c>
      <c r="E350" s="51" t="s">
        <v>194</v>
      </c>
      <c r="F350" s="52">
        <f t="shared" si="11"/>
        <v>10</v>
      </c>
      <c r="G350" s="53"/>
      <c r="H350" s="53"/>
      <c r="I350" s="72">
        <v>10</v>
      </c>
      <c r="J350" s="64"/>
      <c r="K350" s="57"/>
      <c r="L350" s="58" t="s">
        <v>828</v>
      </c>
      <c r="M350" s="68" t="s">
        <v>833</v>
      </c>
      <c r="N350" s="58">
        <f>VLOOKUP(E350,订单号!B:C,2,0)</f>
        <v>0</v>
      </c>
      <c r="O350" s="35" t="e">
        <f>VLOOKUP(C350,领导干部!B:B,1,0)</f>
        <v>#N/A</v>
      </c>
    </row>
    <row r="351" s="35" customFormat="1" customHeight="1" spans="1:15">
      <c r="A351" s="47">
        <f t="shared" si="10"/>
        <v>350</v>
      </c>
      <c r="B351" s="57" t="s">
        <v>257</v>
      </c>
      <c r="C351" s="49">
        <f>IFERROR(VLOOKUP(B351,[1]工程研发事业部人员名单!B:D,2,0),"")</f>
        <v>51410</v>
      </c>
      <c r="D351" s="50" t="str">
        <f>IFERROR(VLOOKUP(B351,[1]工程研发事业部人员名单!B:D,3,0),"")</f>
        <v>结构一室</v>
      </c>
      <c r="E351" s="51" t="s">
        <v>194</v>
      </c>
      <c r="F351" s="52">
        <f t="shared" si="11"/>
        <v>40</v>
      </c>
      <c r="G351" s="53"/>
      <c r="H351" s="53"/>
      <c r="I351" s="72">
        <v>40</v>
      </c>
      <c r="J351" s="64"/>
      <c r="K351" s="57"/>
      <c r="L351" s="58" t="s">
        <v>191</v>
      </c>
      <c r="M351" s="68" t="s">
        <v>834</v>
      </c>
      <c r="N351" s="58">
        <f>VLOOKUP(E351,订单号!B:C,2,0)</f>
        <v>0</v>
      </c>
      <c r="O351" s="35" t="e">
        <f>VLOOKUP(C351,领导干部!B:B,1,0)</f>
        <v>#N/A</v>
      </c>
    </row>
    <row r="352" s="35" customFormat="1" customHeight="1" spans="1:21">
      <c r="A352" s="47">
        <f t="shared" si="10"/>
        <v>351</v>
      </c>
      <c r="B352" s="57" t="s">
        <v>495</v>
      </c>
      <c r="C352" s="49">
        <f>IFERROR(VLOOKUP(B352,[1]工程研发事业部人员名单!B:D,2,0),"")</f>
        <v>52345</v>
      </c>
      <c r="D352" s="50" t="str">
        <f>IFERROR(VLOOKUP(B352,[1]工程研发事业部人员名单!B:D,3,0),"")</f>
        <v>结构一室</v>
      </c>
      <c r="E352" s="51" t="s">
        <v>194</v>
      </c>
      <c r="F352" s="52">
        <f t="shared" si="11"/>
        <v>15</v>
      </c>
      <c r="G352" s="53"/>
      <c r="H352" s="53"/>
      <c r="I352" s="72">
        <v>15</v>
      </c>
      <c r="J352" s="64"/>
      <c r="K352" s="57"/>
      <c r="L352" s="58" t="s">
        <v>191</v>
      </c>
      <c r="M352" s="68" t="s">
        <v>834</v>
      </c>
      <c r="N352" s="58">
        <f>VLOOKUP(E352,订单号!B:C,2,0)</f>
        <v>0</v>
      </c>
      <c r="O352" s="35" t="e">
        <f>VLOOKUP(C352,领导干部!B:B,1,0)</f>
        <v>#N/A</v>
      </c>
      <c r="Q352"/>
      <c r="R352"/>
      <c r="S352"/>
      <c r="T352"/>
      <c r="U352"/>
    </row>
    <row r="353" customHeight="1" spans="1:15">
      <c r="A353" s="47">
        <f t="shared" si="10"/>
        <v>352</v>
      </c>
      <c r="B353" s="57" t="s">
        <v>342</v>
      </c>
      <c r="C353" s="49">
        <f>IFERROR(VLOOKUP(B353,[1]工程研发事业部人员名单!B:D,2,0),"")</f>
        <v>50702</v>
      </c>
      <c r="D353" s="50" t="str">
        <f>IFERROR(VLOOKUP(B353,[1]工程研发事业部人员名单!B:D,3,0),"")</f>
        <v>总体室</v>
      </c>
      <c r="E353" s="51" t="s">
        <v>194</v>
      </c>
      <c r="F353" s="52">
        <f t="shared" si="11"/>
        <v>16</v>
      </c>
      <c r="G353" s="53"/>
      <c r="H353" s="53"/>
      <c r="I353" s="72">
        <v>16</v>
      </c>
      <c r="J353" s="64"/>
      <c r="K353" s="57"/>
      <c r="L353" s="58" t="s">
        <v>828</v>
      </c>
      <c r="M353" s="68" t="s">
        <v>835</v>
      </c>
      <c r="N353" s="58">
        <f>VLOOKUP(E353,订单号!B:C,2,0)</f>
        <v>0</v>
      </c>
      <c r="O353" s="35" t="e">
        <f>VLOOKUP(C353,领导干部!B:B,1,0)</f>
        <v>#N/A</v>
      </c>
    </row>
    <row r="354" customHeight="1" spans="1:15">
      <c r="A354" s="47">
        <f t="shared" si="10"/>
        <v>353</v>
      </c>
      <c r="B354" s="57" t="s">
        <v>686</v>
      </c>
      <c r="C354" s="49">
        <f>IFERROR(VLOOKUP(B354,[1]工程研发事业部人员名单!B:D,2,0),"")</f>
        <v>52016</v>
      </c>
      <c r="D354" s="50" t="str">
        <f>IFERROR(VLOOKUP(B354,[1]工程研发事业部人员名单!B:D,3,0),"")</f>
        <v>结构一室</v>
      </c>
      <c r="E354" s="51" t="s">
        <v>194</v>
      </c>
      <c r="F354" s="52">
        <f t="shared" si="11"/>
        <v>20</v>
      </c>
      <c r="G354" s="53"/>
      <c r="H354" s="53"/>
      <c r="I354" s="72">
        <v>20</v>
      </c>
      <c r="J354" s="64"/>
      <c r="K354" s="57"/>
      <c r="L354" s="58" t="s">
        <v>191</v>
      </c>
      <c r="M354" s="68" t="s">
        <v>836</v>
      </c>
      <c r="N354" s="58">
        <f>VLOOKUP(E354,订单号!B:C,2,0)</f>
        <v>0</v>
      </c>
      <c r="O354" s="35" t="e">
        <f>VLOOKUP(C354,领导干部!B:B,1,0)</f>
        <v>#N/A</v>
      </c>
    </row>
    <row r="355" customHeight="1" spans="1:15">
      <c r="A355" s="47">
        <f t="shared" si="10"/>
        <v>354</v>
      </c>
      <c r="B355" s="57" t="s">
        <v>472</v>
      </c>
      <c r="C355" s="49">
        <f>IFERROR(VLOOKUP(B355,[1]工程研发事业部人员名单!B:D,2,0),"")</f>
        <v>51165</v>
      </c>
      <c r="D355" s="50" t="str">
        <f>IFERROR(VLOOKUP(B355,[1]工程研发事业部人员名单!B:D,3,0),"")</f>
        <v>结构一室</v>
      </c>
      <c r="E355" s="51" t="s">
        <v>194</v>
      </c>
      <c r="F355" s="52">
        <f t="shared" si="11"/>
        <v>10</v>
      </c>
      <c r="G355" s="53"/>
      <c r="H355" s="53"/>
      <c r="I355" s="72">
        <v>10</v>
      </c>
      <c r="J355" s="64"/>
      <c r="K355" s="57"/>
      <c r="L355" s="58" t="s">
        <v>191</v>
      </c>
      <c r="M355" s="68" t="s">
        <v>836</v>
      </c>
      <c r="N355" s="58">
        <f>VLOOKUP(E355,订单号!B:C,2,0)</f>
        <v>0</v>
      </c>
      <c r="O355" s="35" t="e">
        <f>VLOOKUP(C355,领导干部!B:B,1,0)</f>
        <v>#N/A</v>
      </c>
    </row>
    <row r="356" customHeight="1" spans="1:15">
      <c r="A356" s="47">
        <f t="shared" si="10"/>
        <v>355</v>
      </c>
      <c r="B356" s="57" t="s">
        <v>324</v>
      </c>
      <c r="C356" s="49">
        <f>IFERROR(VLOOKUP(B356,[1]工程研发事业部人员名单!B:D,2,0),"")</f>
        <v>51860</v>
      </c>
      <c r="D356" s="50" t="str">
        <f>IFERROR(VLOOKUP(B356,[1]工程研发事业部人员名单!B:D,3,0),"")</f>
        <v>总体室</v>
      </c>
      <c r="E356" s="51" t="s">
        <v>194</v>
      </c>
      <c r="F356" s="52">
        <f t="shared" si="11"/>
        <v>38</v>
      </c>
      <c r="G356" s="53"/>
      <c r="H356" s="53"/>
      <c r="I356" s="72">
        <v>38</v>
      </c>
      <c r="J356" s="64"/>
      <c r="K356" s="57"/>
      <c r="L356" s="58" t="s">
        <v>828</v>
      </c>
      <c r="M356" s="68" t="s">
        <v>837</v>
      </c>
      <c r="N356" s="58">
        <f>VLOOKUP(E356,订单号!B:C,2,0)</f>
        <v>0</v>
      </c>
      <c r="O356" s="35" t="e">
        <f>VLOOKUP(C356,领导干部!B:B,1,0)</f>
        <v>#N/A</v>
      </c>
    </row>
    <row r="357" customHeight="1" spans="1:15">
      <c r="A357" s="47">
        <f t="shared" si="10"/>
        <v>356</v>
      </c>
      <c r="B357" s="57" t="s">
        <v>686</v>
      </c>
      <c r="C357" s="49">
        <f>IFERROR(VLOOKUP(B357,[1]工程研发事业部人员名单!B:D,2,0),"")</f>
        <v>52016</v>
      </c>
      <c r="D357" s="50" t="str">
        <f>IFERROR(VLOOKUP(B357,[1]工程研发事业部人员名单!B:D,3,0),"")</f>
        <v>结构一室</v>
      </c>
      <c r="E357" s="51" t="s">
        <v>194</v>
      </c>
      <c r="F357" s="52">
        <f t="shared" si="11"/>
        <v>50</v>
      </c>
      <c r="G357" s="53"/>
      <c r="H357" s="53"/>
      <c r="I357" s="53">
        <v>50</v>
      </c>
      <c r="J357" s="64"/>
      <c r="K357" s="57"/>
      <c r="L357" s="58" t="s">
        <v>595</v>
      </c>
      <c r="M357" s="64" t="s">
        <v>838</v>
      </c>
      <c r="N357" s="58">
        <f>VLOOKUP(E357,订单号!B:C,2,0)</f>
        <v>0</v>
      </c>
      <c r="O357" s="35" t="e">
        <f>VLOOKUP(C357,领导干部!B:B,1,0)</f>
        <v>#N/A</v>
      </c>
    </row>
    <row r="358" customHeight="1" spans="1:15">
      <c r="A358" s="47">
        <f t="shared" si="10"/>
        <v>357</v>
      </c>
      <c r="B358" s="57" t="s">
        <v>234</v>
      </c>
      <c r="C358" s="49">
        <f>IFERROR(VLOOKUP(B358,[1]工程研发事业部人员名单!B:D,2,0),"")</f>
        <v>50281</v>
      </c>
      <c r="D358" s="50" t="str">
        <f>IFERROR(VLOOKUP(B358,[1]工程研发事业部人员名单!B:D,3,0),"")</f>
        <v>结构一室</v>
      </c>
      <c r="E358" s="51" t="s">
        <v>194</v>
      </c>
      <c r="F358" s="52">
        <f t="shared" si="11"/>
        <v>15</v>
      </c>
      <c r="G358" s="53"/>
      <c r="H358" s="53"/>
      <c r="I358" s="53">
        <v>15</v>
      </c>
      <c r="J358" s="53"/>
      <c r="K358" s="57"/>
      <c r="L358" s="58" t="s">
        <v>595</v>
      </c>
      <c r="M358" s="64" t="s">
        <v>839</v>
      </c>
      <c r="N358" s="58">
        <f>VLOOKUP(E358,订单号!B:C,2,0)</f>
        <v>0</v>
      </c>
      <c r="O358" s="35" t="e">
        <f>VLOOKUP(C358,领导干部!B:B,1,0)</f>
        <v>#N/A</v>
      </c>
    </row>
    <row r="359" customHeight="1" spans="1:15">
      <c r="A359" s="47">
        <f t="shared" si="10"/>
        <v>358</v>
      </c>
      <c r="B359" s="57" t="s">
        <v>384</v>
      </c>
      <c r="C359" s="49">
        <f>IFERROR(VLOOKUP(B359,[1]工程研发事业部人员名单!B:D,2,0),"")</f>
        <v>50710</v>
      </c>
      <c r="D359" s="50" t="str">
        <f>IFERROR(VLOOKUP(B359,[1]工程研发事业部人员名单!B:D,3,0),"")</f>
        <v>结构二室</v>
      </c>
      <c r="E359" s="51" t="s">
        <v>194</v>
      </c>
      <c r="F359" s="52">
        <f t="shared" si="11"/>
        <v>15</v>
      </c>
      <c r="G359" s="53"/>
      <c r="H359" s="53"/>
      <c r="I359" s="53">
        <v>15</v>
      </c>
      <c r="J359" s="53"/>
      <c r="K359" s="57"/>
      <c r="L359" s="58" t="s">
        <v>595</v>
      </c>
      <c r="M359" s="64" t="s">
        <v>840</v>
      </c>
      <c r="N359" s="58">
        <f>VLOOKUP(E359,订单号!B:C,2,0)</f>
        <v>0</v>
      </c>
      <c r="O359" s="35" t="e">
        <f>VLOOKUP(C359,领导干部!B:B,1,0)</f>
        <v>#N/A</v>
      </c>
    </row>
    <row r="360" customHeight="1" spans="1:15">
      <c r="A360" s="47">
        <f t="shared" si="10"/>
        <v>359</v>
      </c>
      <c r="B360" s="57" t="s">
        <v>472</v>
      </c>
      <c r="C360" s="49">
        <f>IFERROR(VLOOKUP(B360,[1]工程研发事业部人员名单!B:D,2,0),"")</f>
        <v>51165</v>
      </c>
      <c r="D360" s="50" t="str">
        <f>IFERROR(VLOOKUP(B360,[1]工程研发事业部人员名单!B:D,3,0),"")</f>
        <v>结构一室</v>
      </c>
      <c r="E360" s="51" t="s">
        <v>194</v>
      </c>
      <c r="F360" s="52">
        <f t="shared" si="11"/>
        <v>16</v>
      </c>
      <c r="G360" s="53"/>
      <c r="H360" s="53"/>
      <c r="I360" s="53">
        <v>16</v>
      </c>
      <c r="J360" s="53"/>
      <c r="K360" s="57"/>
      <c r="L360" s="58" t="s">
        <v>828</v>
      </c>
      <c r="M360" s="64" t="s">
        <v>841</v>
      </c>
      <c r="N360" s="58">
        <f>VLOOKUP(E360,订单号!B:C,2,0)</f>
        <v>0</v>
      </c>
      <c r="O360" s="35" t="e">
        <f>VLOOKUP(C360,领导干部!B:B,1,0)</f>
        <v>#N/A</v>
      </c>
    </row>
    <row r="361" customHeight="1" spans="1:15">
      <c r="A361" s="47">
        <f t="shared" si="10"/>
        <v>360</v>
      </c>
      <c r="B361" s="57" t="s">
        <v>272</v>
      </c>
      <c r="C361" s="49">
        <f>IFERROR(VLOOKUP(B361,[1]工程研发事业部人员名单!B:D,2,0),"")</f>
        <v>50730</v>
      </c>
      <c r="D361" s="50" t="str">
        <f>IFERROR(VLOOKUP(B361,[1]工程研发事业部人员名单!B:D,3,0),"")</f>
        <v>结构一室</v>
      </c>
      <c r="E361" s="51" t="s">
        <v>194</v>
      </c>
      <c r="F361" s="52">
        <f t="shared" si="11"/>
        <v>12</v>
      </c>
      <c r="G361" s="53"/>
      <c r="H361" s="53"/>
      <c r="I361" s="53">
        <v>12</v>
      </c>
      <c r="J361" s="53"/>
      <c r="K361" s="57"/>
      <c r="L361" s="58" t="s">
        <v>828</v>
      </c>
      <c r="M361" s="64" t="s">
        <v>842</v>
      </c>
      <c r="N361" s="58">
        <f>VLOOKUP(E361,订单号!B:C,2,0)</f>
        <v>0</v>
      </c>
      <c r="O361" s="35" t="e">
        <f>VLOOKUP(C361,领导干部!B:B,1,0)</f>
        <v>#N/A</v>
      </c>
    </row>
    <row r="362" customHeight="1" spans="1:15">
      <c r="A362" s="47">
        <f t="shared" si="10"/>
        <v>361</v>
      </c>
      <c r="B362" s="57" t="s">
        <v>236</v>
      </c>
      <c r="C362" s="49">
        <f>IFERROR(VLOOKUP(B362,[1]工程研发事业部人员名单!B:D,2,0),"")</f>
        <v>51211</v>
      </c>
      <c r="D362" s="50" t="str">
        <f>IFERROR(VLOOKUP(B362,[1]工程研发事业部人员名单!B:D,3,0),"")</f>
        <v>结构一室</v>
      </c>
      <c r="E362" s="51" t="s">
        <v>194</v>
      </c>
      <c r="F362" s="52">
        <f t="shared" si="11"/>
        <v>10</v>
      </c>
      <c r="G362" s="53"/>
      <c r="H362" s="53"/>
      <c r="I362" s="53">
        <v>10</v>
      </c>
      <c r="J362" s="53"/>
      <c r="K362" s="57"/>
      <c r="L362" s="58" t="s">
        <v>828</v>
      </c>
      <c r="M362" s="64" t="s">
        <v>843</v>
      </c>
      <c r="N362" s="58">
        <f>VLOOKUP(E362,订单号!B:C,2,0)</f>
        <v>0</v>
      </c>
      <c r="O362" s="35" t="e">
        <f>VLOOKUP(C362,领导干部!B:B,1,0)</f>
        <v>#N/A</v>
      </c>
    </row>
    <row r="363" customHeight="1" spans="1:15">
      <c r="A363" s="47">
        <f t="shared" si="10"/>
        <v>362</v>
      </c>
      <c r="B363" s="57" t="s">
        <v>414</v>
      </c>
      <c r="C363" s="49">
        <f>IFERROR(VLOOKUP(B363,[1]工程研发事业部人员名单!B:D,2,0),"")</f>
        <v>51162</v>
      </c>
      <c r="D363" s="50" t="str">
        <f>IFERROR(VLOOKUP(B363,[1]工程研发事业部人员名单!B:D,3,0),"")</f>
        <v>工程项目室</v>
      </c>
      <c r="E363" s="51" t="s">
        <v>194</v>
      </c>
      <c r="F363" s="52">
        <f t="shared" si="11"/>
        <v>10</v>
      </c>
      <c r="G363" s="53"/>
      <c r="H363" s="53"/>
      <c r="I363" s="53">
        <v>10</v>
      </c>
      <c r="J363" s="53"/>
      <c r="K363" s="57"/>
      <c r="L363" s="58" t="s">
        <v>828</v>
      </c>
      <c r="M363" s="64" t="s">
        <v>844</v>
      </c>
      <c r="N363" s="58">
        <f>VLOOKUP(E363,订单号!B:C,2,0)</f>
        <v>0</v>
      </c>
      <c r="O363" s="35">
        <f>VLOOKUP(C363,领导干部!B:B,1,0)</f>
        <v>51162</v>
      </c>
    </row>
    <row r="364" customHeight="1" spans="1:15">
      <c r="A364" s="47">
        <f t="shared" si="10"/>
        <v>363</v>
      </c>
      <c r="B364" s="57" t="s">
        <v>220</v>
      </c>
      <c r="C364" s="49">
        <f>IFERROR(VLOOKUP(B364,[1]工程研发事业部人员名单!B:D,2,0),"")</f>
        <v>51405</v>
      </c>
      <c r="D364" s="50" t="str">
        <f>IFERROR(VLOOKUP(B364,[1]工程研发事业部人员名单!B:D,3,0),"")</f>
        <v>综合技术室</v>
      </c>
      <c r="E364" s="51" t="s">
        <v>194</v>
      </c>
      <c r="F364" s="52">
        <f t="shared" si="11"/>
        <v>16</v>
      </c>
      <c r="G364" s="53"/>
      <c r="H364" s="53"/>
      <c r="I364" s="53">
        <v>16</v>
      </c>
      <c r="J364" s="53"/>
      <c r="K364" s="57"/>
      <c r="L364" s="58" t="s">
        <v>828</v>
      </c>
      <c r="M364" s="64" t="s">
        <v>845</v>
      </c>
      <c r="N364" s="58">
        <f>VLOOKUP(E364,订单号!B:C,2,0)</f>
        <v>0</v>
      </c>
      <c r="O364" s="35" t="e">
        <f>VLOOKUP(C364,领导干部!B:B,1,0)</f>
        <v>#N/A</v>
      </c>
    </row>
    <row r="365" customHeight="1" spans="1:15">
      <c r="A365" s="47">
        <f t="shared" si="10"/>
        <v>364</v>
      </c>
      <c r="B365" s="57" t="s">
        <v>389</v>
      </c>
      <c r="C365" s="49">
        <f>IFERROR(VLOOKUP(B365,[1]工程研发事业部人员名单!B:D,2,0),"")</f>
        <v>22291</v>
      </c>
      <c r="D365" s="50" t="str">
        <f>IFERROR(VLOOKUP(B365,[1]工程研发事业部人员名单!B:D,3,0),"")</f>
        <v>综合技术室</v>
      </c>
      <c r="E365" s="51" t="s">
        <v>194</v>
      </c>
      <c r="F365" s="52">
        <f t="shared" si="11"/>
        <v>10</v>
      </c>
      <c r="G365" s="53"/>
      <c r="H365" s="53"/>
      <c r="I365" s="53">
        <v>10</v>
      </c>
      <c r="J365" s="53"/>
      <c r="K365" s="57"/>
      <c r="L365" s="58" t="s">
        <v>828</v>
      </c>
      <c r="M365" s="64" t="s">
        <v>846</v>
      </c>
      <c r="N365" s="58">
        <f>VLOOKUP(E365,订单号!B:C,2,0)</f>
        <v>0</v>
      </c>
      <c r="O365" s="35" t="e">
        <f>VLOOKUP(C365,领导干部!B:B,1,0)</f>
        <v>#N/A</v>
      </c>
    </row>
    <row r="366" customHeight="1" spans="1:15">
      <c r="A366" s="47">
        <f t="shared" si="10"/>
        <v>365</v>
      </c>
      <c r="B366" s="57" t="s">
        <v>681</v>
      </c>
      <c r="C366" s="49">
        <f>IFERROR(VLOOKUP(B366,[1]工程研发事业部人员名单!B:D,2,0),"")</f>
        <v>51188</v>
      </c>
      <c r="D366" s="50" t="str">
        <f>IFERROR(VLOOKUP(B366,[1]工程研发事业部人员名单!B:D,3,0),"")</f>
        <v>强度室</v>
      </c>
      <c r="E366" s="51" t="s">
        <v>194</v>
      </c>
      <c r="F366" s="52">
        <f t="shared" si="11"/>
        <v>8</v>
      </c>
      <c r="G366" s="53"/>
      <c r="H366" s="53"/>
      <c r="I366" s="53">
        <v>8</v>
      </c>
      <c r="J366" s="53"/>
      <c r="K366" s="57"/>
      <c r="L366" s="58" t="s">
        <v>828</v>
      </c>
      <c r="M366" s="64" t="s">
        <v>847</v>
      </c>
      <c r="N366" s="58">
        <f>VLOOKUP(E366,订单号!B:C,2,0)</f>
        <v>0</v>
      </c>
      <c r="O366" s="35">
        <f>VLOOKUP(C366,领导干部!B:B,1,0)</f>
        <v>51188</v>
      </c>
    </row>
    <row r="367" customHeight="1" spans="1:15">
      <c r="A367" s="47">
        <f t="shared" si="10"/>
        <v>366</v>
      </c>
      <c r="B367" s="57" t="s">
        <v>375</v>
      </c>
      <c r="C367" s="49">
        <f>IFERROR(VLOOKUP(B367,[1]工程研发事业部人员名单!B:D,2,0),"")</f>
        <v>22298</v>
      </c>
      <c r="D367" s="50" t="str">
        <f>IFERROR(VLOOKUP(B367,[1]工程研发事业部人员名单!B:D,3,0),"")</f>
        <v>结构二室</v>
      </c>
      <c r="E367" s="51" t="s">
        <v>194</v>
      </c>
      <c r="F367" s="52">
        <f t="shared" si="11"/>
        <v>15</v>
      </c>
      <c r="G367" s="53"/>
      <c r="H367" s="53"/>
      <c r="I367" s="53">
        <v>15</v>
      </c>
      <c r="J367" s="53"/>
      <c r="K367" s="57"/>
      <c r="L367" s="58" t="s">
        <v>595</v>
      </c>
      <c r="M367" s="64" t="s">
        <v>848</v>
      </c>
      <c r="N367" s="58">
        <f>VLOOKUP(E367,订单号!B:C,2,0)</f>
        <v>0</v>
      </c>
      <c r="O367" s="35" t="e">
        <f>VLOOKUP(C367,领导干部!B:B,1,0)</f>
        <v>#N/A</v>
      </c>
    </row>
    <row r="368" customHeight="1" spans="1:15">
      <c r="A368" s="47">
        <f t="shared" si="10"/>
        <v>367</v>
      </c>
      <c r="B368" s="48" t="s">
        <v>464</v>
      </c>
      <c r="C368" s="49">
        <f>IFERROR(VLOOKUP(B368,[1]工程研发事业部人员名单!B:D,2,0),"")</f>
        <v>18548</v>
      </c>
      <c r="D368" s="50" t="str">
        <f>IFERROR(VLOOKUP(B368,[1]工程研发事业部人员名单!B:D,3,0),"")</f>
        <v>结构二室</v>
      </c>
      <c r="E368" s="51" t="s">
        <v>194</v>
      </c>
      <c r="F368" s="52">
        <f t="shared" si="11"/>
        <v>15</v>
      </c>
      <c r="G368" s="53"/>
      <c r="H368" s="53"/>
      <c r="I368" s="53">
        <v>15</v>
      </c>
      <c r="J368" s="53"/>
      <c r="K368" s="57"/>
      <c r="L368" s="58" t="s">
        <v>828</v>
      </c>
      <c r="M368" s="68" t="s">
        <v>849</v>
      </c>
      <c r="N368" s="58">
        <f>VLOOKUP(E368,订单号!B:C,2,0)</f>
        <v>0</v>
      </c>
      <c r="O368" s="35" t="e">
        <f>VLOOKUP(C368,领导干部!B:B,1,0)</f>
        <v>#N/A</v>
      </c>
    </row>
    <row r="369" customHeight="1" spans="1:15">
      <c r="A369" s="47">
        <f t="shared" si="10"/>
        <v>368</v>
      </c>
      <c r="B369" s="54" t="s">
        <v>670</v>
      </c>
      <c r="C369" s="49">
        <f>IFERROR(VLOOKUP(B369,[1]工程研发事业部人员名单!B:D,2,0),"")</f>
        <v>51200</v>
      </c>
      <c r="D369" s="50" t="str">
        <f>IFERROR(VLOOKUP(B369,[1]工程研发事业部人员名单!B:D,3,0),"")</f>
        <v>强度室</v>
      </c>
      <c r="E369" s="98" t="s">
        <v>195</v>
      </c>
      <c r="F369" s="52">
        <f t="shared" si="11"/>
        <v>60</v>
      </c>
      <c r="G369" s="53"/>
      <c r="H369" s="53"/>
      <c r="I369" s="60">
        <v>60</v>
      </c>
      <c r="J369" s="60"/>
      <c r="K369" s="76"/>
      <c r="L369" s="85"/>
      <c r="M369" s="103" t="s">
        <v>850</v>
      </c>
      <c r="N369" s="58">
        <f>VLOOKUP(E369,订单号!B:C,2,0)</f>
        <v>0</v>
      </c>
      <c r="O369" s="35" t="e">
        <f>VLOOKUP(C369,领导干部!B:B,1,0)</f>
        <v>#N/A</v>
      </c>
    </row>
    <row r="370" customHeight="1" spans="1:15">
      <c r="A370" s="47">
        <f t="shared" si="10"/>
        <v>369</v>
      </c>
      <c r="B370" s="54" t="s">
        <v>490</v>
      </c>
      <c r="C370" s="49">
        <f>IFERROR(VLOOKUP(B370,[1]工程研发事业部人员名单!B:D,2,0),"")</f>
        <v>51763</v>
      </c>
      <c r="D370" s="50" t="str">
        <f>IFERROR(VLOOKUP(B370,[1]工程研发事业部人员名单!B:D,3,0),"")</f>
        <v>强度室</v>
      </c>
      <c r="E370" s="98" t="s">
        <v>195</v>
      </c>
      <c r="F370" s="52">
        <f t="shared" si="11"/>
        <v>60</v>
      </c>
      <c r="G370" s="53"/>
      <c r="H370" s="53"/>
      <c r="I370" s="60">
        <v>60</v>
      </c>
      <c r="J370" s="60"/>
      <c r="K370" s="76"/>
      <c r="L370" s="76"/>
      <c r="M370" s="103" t="s">
        <v>850</v>
      </c>
      <c r="N370" s="58">
        <f>VLOOKUP(E370,订单号!B:C,2,0)</f>
        <v>0</v>
      </c>
      <c r="O370" s="35" t="e">
        <f>VLOOKUP(C370,领导干部!B:B,1,0)</f>
        <v>#N/A</v>
      </c>
    </row>
    <row r="371" customHeight="1" spans="1:15">
      <c r="A371" s="47">
        <f t="shared" si="10"/>
        <v>370</v>
      </c>
      <c r="B371" s="54" t="s">
        <v>257</v>
      </c>
      <c r="C371" s="49">
        <f>IFERROR(VLOOKUP(B371,[1]工程研发事业部人员名单!B:D,2,0),"")</f>
        <v>51410</v>
      </c>
      <c r="D371" s="50" t="str">
        <f>IFERROR(VLOOKUP(B371,[1]工程研发事业部人员名单!B:D,3,0),"")</f>
        <v>结构一室</v>
      </c>
      <c r="E371" s="98" t="s">
        <v>195</v>
      </c>
      <c r="F371" s="52">
        <f t="shared" si="11"/>
        <v>40</v>
      </c>
      <c r="G371" s="53"/>
      <c r="H371" s="53"/>
      <c r="I371" s="60">
        <v>40</v>
      </c>
      <c r="J371" s="60"/>
      <c r="K371" s="76"/>
      <c r="L371" s="76"/>
      <c r="M371" s="103" t="s">
        <v>850</v>
      </c>
      <c r="N371" s="58">
        <f>VLOOKUP(E371,订单号!B:C,2,0)</f>
        <v>0</v>
      </c>
      <c r="O371" s="35" t="e">
        <f>VLOOKUP(C371,领导干部!B:B,1,0)</f>
        <v>#N/A</v>
      </c>
    </row>
    <row r="372" customHeight="1" spans="1:15">
      <c r="A372" s="47">
        <f t="shared" si="10"/>
        <v>371</v>
      </c>
      <c r="B372" s="54" t="s">
        <v>236</v>
      </c>
      <c r="C372" s="49">
        <f>IFERROR(VLOOKUP(B372,[1]工程研发事业部人员名单!B:D,2,0),"")</f>
        <v>51211</v>
      </c>
      <c r="D372" s="50" t="str">
        <f>IFERROR(VLOOKUP(B372,[1]工程研发事业部人员名单!B:D,3,0),"")</f>
        <v>结构一室</v>
      </c>
      <c r="E372" s="98" t="s">
        <v>195</v>
      </c>
      <c r="F372" s="52">
        <f t="shared" si="11"/>
        <v>40</v>
      </c>
      <c r="G372" s="53"/>
      <c r="H372" s="53"/>
      <c r="I372" s="60">
        <v>40</v>
      </c>
      <c r="J372" s="60"/>
      <c r="K372" s="76"/>
      <c r="L372" s="76"/>
      <c r="M372" s="103" t="s">
        <v>850</v>
      </c>
      <c r="N372" s="58">
        <f>VLOOKUP(E372,订单号!B:C,2,0)</f>
        <v>0</v>
      </c>
      <c r="O372" s="35" t="e">
        <f>VLOOKUP(C372,领导干部!B:B,1,0)</f>
        <v>#N/A</v>
      </c>
    </row>
    <row r="373" customHeight="1" spans="1:15">
      <c r="A373" s="47">
        <f t="shared" si="10"/>
        <v>372</v>
      </c>
      <c r="B373" s="54" t="s">
        <v>681</v>
      </c>
      <c r="C373" s="49">
        <f>IFERROR(VLOOKUP(B373,[1]工程研发事业部人员名单!B:D,2,0),"")</f>
        <v>51188</v>
      </c>
      <c r="D373" s="50" t="str">
        <f>IFERROR(VLOOKUP(B373,[1]工程研发事业部人员名单!B:D,3,0),"")</f>
        <v>强度室</v>
      </c>
      <c r="E373" s="98" t="s">
        <v>195</v>
      </c>
      <c r="F373" s="52">
        <f t="shared" si="11"/>
        <v>40</v>
      </c>
      <c r="G373" s="53"/>
      <c r="H373" s="53"/>
      <c r="I373" s="60">
        <v>40</v>
      </c>
      <c r="J373" s="60"/>
      <c r="K373" s="76"/>
      <c r="L373" s="76"/>
      <c r="M373" s="103" t="s">
        <v>850</v>
      </c>
      <c r="N373" s="58">
        <f>VLOOKUP(E373,订单号!B:C,2,0)</f>
        <v>0</v>
      </c>
      <c r="O373" s="35">
        <f>VLOOKUP(C373,领导干部!B:B,1,0)</f>
        <v>51188</v>
      </c>
    </row>
    <row r="374" customHeight="1" spans="1:15">
      <c r="A374" s="47">
        <f t="shared" si="10"/>
        <v>373</v>
      </c>
      <c r="B374" s="54" t="s">
        <v>322</v>
      </c>
      <c r="C374" s="49">
        <f>IFERROR(VLOOKUP(B374,[1]工程研发事业部人员名单!B:D,2,0),"")</f>
        <v>51186</v>
      </c>
      <c r="D374" s="50" t="str">
        <f>IFERROR(VLOOKUP(B374,[1]工程研发事业部人员名单!B:D,3,0),"")</f>
        <v>结构二室</v>
      </c>
      <c r="E374" s="98" t="s">
        <v>195</v>
      </c>
      <c r="F374" s="52">
        <f t="shared" si="11"/>
        <v>50</v>
      </c>
      <c r="G374" s="53"/>
      <c r="H374" s="53"/>
      <c r="I374" s="60">
        <v>50</v>
      </c>
      <c r="J374" s="60"/>
      <c r="K374" s="76"/>
      <c r="L374" s="76"/>
      <c r="M374" s="103" t="s">
        <v>850</v>
      </c>
      <c r="N374" s="58">
        <f>VLOOKUP(E374,订单号!B:C,2,0)</f>
        <v>0</v>
      </c>
      <c r="O374" s="35" t="e">
        <f>VLOOKUP(C374,领导干部!B:B,1,0)</f>
        <v>#N/A</v>
      </c>
    </row>
    <row r="375" customHeight="1" spans="1:15">
      <c r="A375" s="47">
        <f t="shared" si="10"/>
        <v>374</v>
      </c>
      <c r="B375" s="54" t="s">
        <v>384</v>
      </c>
      <c r="C375" s="49">
        <f>IFERROR(VLOOKUP(B375,[1]工程研发事业部人员名单!B:D,2,0),"")</f>
        <v>50710</v>
      </c>
      <c r="D375" s="50" t="str">
        <f>IFERROR(VLOOKUP(B375,[1]工程研发事业部人员名单!B:D,3,0),"")</f>
        <v>结构二室</v>
      </c>
      <c r="E375" s="98" t="s">
        <v>195</v>
      </c>
      <c r="F375" s="52">
        <f t="shared" si="11"/>
        <v>20</v>
      </c>
      <c r="G375" s="53"/>
      <c r="H375" s="53"/>
      <c r="I375" s="60">
        <v>20</v>
      </c>
      <c r="J375" s="60"/>
      <c r="K375" s="76"/>
      <c r="L375" s="76"/>
      <c r="M375" s="103" t="s">
        <v>850</v>
      </c>
      <c r="N375" s="58">
        <f>VLOOKUP(E375,订单号!B:C,2,0)</f>
        <v>0</v>
      </c>
      <c r="O375" s="35" t="e">
        <f>VLOOKUP(C375,领导干部!B:B,1,0)</f>
        <v>#N/A</v>
      </c>
    </row>
    <row r="376" customHeight="1" spans="1:15">
      <c r="A376" s="47">
        <f t="shared" si="10"/>
        <v>375</v>
      </c>
      <c r="B376" s="54" t="s">
        <v>223</v>
      </c>
      <c r="C376" s="49">
        <f>IFERROR(VLOOKUP(B376,[1]工程研发事业部人员名单!B:D,2,0),"")</f>
        <v>51166</v>
      </c>
      <c r="D376" s="50" t="str">
        <f>IFERROR(VLOOKUP(B376,[1]工程研发事业部人员名单!B:D,3,0),"")</f>
        <v>工程项目室</v>
      </c>
      <c r="E376" s="98" t="s">
        <v>195</v>
      </c>
      <c r="F376" s="52">
        <f t="shared" si="11"/>
        <v>40</v>
      </c>
      <c r="G376" s="53"/>
      <c r="H376" s="53"/>
      <c r="I376" s="60">
        <v>40</v>
      </c>
      <c r="J376" s="60"/>
      <c r="K376" s="76"/>
      <c r="L376" s="76"/>
      <c r="M376" s="103" t="s">
        <v>850</v>
      </c>
      <c r="N376" s="58">
        <f>VLOOKUP(E376,订单号!B:C,2,0)</f>
        <v>0</v>
      </c>
      <c r="O376" s="35" t="e">
        <f>VLOOKUP(C376,领导干部!B:B,1,0)</f>
        <v>#N/A</v>
      </c>
    </row>
    <row r="377" customHeight="1" spans="1:15">
      <c r="A377" s="47">
        <f t="shared" si="10"/>
        <v>376</v>
      </c>
      <c r="B377" s="54" t="s">
        <v>259</v>
      </c>
      <c r="C377" s="49">
        <f>IFERROR(VLOOKUP(B377,[1]工程研发事业部人员名单!B:D,2,0),"")</f>
        <v>51784</v>
      </c>
      <c r="D377" s="50" t="str">
        <f>IFERROR(VLOOKUP(B377,[1]工程研发事业部人员名单!B:D,3,0),"")</f>
        <v>结构一室</v>
      </c>
      <c r="E377" s="98" t="s">
        <v>195</v>
      </c>
      <c r="F377" s="52">
        <f t="shared" si="11"/>
        <v>40</v>
      </c>
      <c r="G377" s="53"/>
      <c r="H377" s="53"/>
      <c r="I377" s="60">
        <v>40</v>
      </c>
      <c r="J377" s="60"/>
      <c r="K377" s="76"/>
      <c r="L377" s="76"/>
      <c r="M377" s="103" t="s">
        <v>850</v>
      </c>
      <c r="N377" s="58">
        <f>VLOOKUP(E377,订单号!B:C,2,0)</f>
        <v>0</v>
      </c>
      <c r="O377" s="35" t="e">
        <f>VLOOKUP(C377,领导干部!B:B,1,0)</f>
        <v>#N/A</v>
      </c>
    </row>
    <row r="378" customHeight="1" spans="1:15">
      <c r="A378" s="47">
        <f t="shared" si="10"/>
        <v>377</v>
      </c>
      <c r="B378" s="54" t="s">
        <v>445</v>
      </c>
      <c r="C378" s="49">
        <f>IFERROR(VLOOKUP(B378,[1]工程研发事业部人员名单!B:D,2,0),"")</f>
        <v>51194</v>
      </c>
      <c r="D378" s="50" t="str">
        <f>IFERROR(VLOOKUP(B378,[1]工程研发事业部人员名单!B:D,3,0),"")</f>
        <v>强度室</v>
      </c>
      <c r="E378" s="98" t="s">
        <v>195</v>
      </c>
      <c r="F378" s="52">
        <f t="shared" si="11"/>
        <v>40</v>
      </c>
      <c r="G378" s="53"/>
      <c r="H378" s="53"/>
      <c r="I378" s="60">
        <v>40</v>
      </c>
      <c r="J378" s="60"/>
      <c r="K378" s="76"/>
      <c r="L378" s="76"/>
      <c r="M378" s="103" t="s">
        <v>850</v>
      </c>
      <c r="N378" s="58">
        <f>VLOOKUP(E378,订单号!B:C,2,0)</f>
        <v>0</v>
      </c>
      <c r="O378" s="35" t="e">
        <f>VLOOKUP(C378,领导干部!B:B,1,0)</f>
        <v>#N/A</v>
      </c>
    </row>
    <row r="379" customHeight="1" spans="1:15">
      <c r="A379" s="47">
        <f t="shared" si="10"/>
        <v>378</v>
      </c>
      <c r="B379" s="63" t="s">
        <v>272</v>
      </c>
      <c r="C379" s="49">
        <f>IFERROR(VLOOKUP(B379,[1]工程研发事业部人员名单!B:D,2,0),"")</f>
        <v>50730</v>
      </c>
      <c r="D379" s="50" t="str">
        <f>IFERROR(VLOOKUP(B379,[1]工程研发事业部人员名单!B:D,3,0),"")</f>
        <v>结构一室</v>
      </c>
      <c r="E379" s="98" t="s">
        <v>195</v>
      </c>
      <c r="F379" s="52">
        <f t="shared" si="11"/>
        <v>20</v>
      </c>
      <c r="G379" s="53"/>
      <c r="H379" s="53"/>
      <c r="I379" s="63">
        <v>20</v>
      </c>
      <c r="J379" s="53"/>
      <c r="K379" s="57"/>
      <c r="L379" s="57"/>
      <c r="M379" s="104" t="s">
        <v>851</v>
      </c>
      <c r="N379" s="58">
        <f>VLOOKUP(E379,订单号!B:C,2,0)</f>
        <v>0</v>
      </c>
      <c r="O379" s="35" t="e">
        <f>VLOOKUP(C379,领导干部!B:B,1,0)</f>
        <v>#N/A</v>
      </c>
    </row>
    <row r="380" customHeight="1" spans="1:15">
      <c r="A380" s="47">
        <f t="shared" si="10"/>
        <v>379</v>
      </c>
      <c r="B380" s="63" t="s">
        <v>342</v>
      </c>
      <c r="C380" s="49">
        <f>IFERROR(VLOOKUP(B380,[1]工程研发事业部人员名单!B:D,2,0),"")</f>
        <v>50702</v>
      </c>
      <c r="D380" s="50" t="str">
        <f>IFERROR(VLOOKUP(B380,[1]工程研发事业部人员名单!B:D,3,0),"")</f>
        <v>总体室</v>
      </c>
      <c r="E380" s="98" t="s">
        <v>195</v>
      </c>
      <c r="F380" s="52">
        <f t="shared" si="11"/>
        <v>20</v>
      </c>
      <c r="G380" s="53"/>
      <c r="H380" s="53"/>
      <c r="I380" s="63">
        <v>20</v>
      </c>
      <c r="J380" s="53"/>
      <c r="K380" s="57"/>
      <c r="L380" s="57"/>
      <c r="M380" s="104" t="s">
        <v>851</v>
      </c>
      <c r="N380" s="58">
        <f>VLOOKUP(E380,订单号!B:C,2,0)</f>
        <v>0</v>
      </c>
      <c r="O380" s="35" t="e">
        <f>VLOOKUP(C380,领导干部!B:B,1,0)</f>
        <v>#N/A</v>
      </c>
    </row>
    <row r="381" customHeight="1" spans="1:15">
      <c r="A381" s="47">
        <f t="shared" si="10"/>
        <v>380</v>
      </c>
      <c r="B381" s="92" t="s">
        <v>308</v>
      </c>
      <c r="C381" s="49">
        <f>IFERROR(VLOOKUP(B381,[1]工程研发事业部人员名单!B:D,2,0),"")</f>
        <v>50022</v>
      </c>
      <c r="D381" s="50" t="str">
        <f>IFERROR(VLOOKUP(B381,[1]工程研发事业部人员名单!B:D,3,0),"")</f>
        <v>结构二室</v>
      </c>
      <c r="E381" s="98" t="s">
        <v>195</v>
      </c>
      <c r="F381" s="52">
        <f t="shared" si="11"/>
        <v>24</v>
      </c>
      <c r="G381" s="53"/>
      <c r="H381" s="53"/>
      <c r="I381" s="63">
        <v>24</v>
      </c>
      <c r="J381" s="53"/>
      <c r="K381" s="57"/>
      <c r="L381" s="57"/>
      <c r="M381" s="104" t="s">
        <v>851</v>
      </c>
      <c r="N381" s="58">
        <f>VLOOKUP(E381,订单号!B:C,2,0)</f>
        <v>0</v>
      </c>
      <c r="O381" s="35" t="e">
        <f>VLOOKUP(C381,领导干部!B:B,1,0)</f>
        <v>#N/A</v>
      </c>
    </row>
    <row r="382" customHeight="1" spans="1:15">
      <c r="A382" s="47">
        <f t="shared" si="10"/>
        <v>381</v>
      </c>
      <c r="B382" s="63" t="s">
        <v>219</v>
      </c>
      <c r="C382" s="49">
        <f>IFERROR(VLOOKUP(B382,[1]工程研发事业部人员名单!B:D,2,0),"")</f>
        <v>25600</v>
      </c>
      <c r="D382" s="50" t="str">
        <f>IFERROR(VLOOKUP(B382,[1]工程研发事业部人员名单!B:D,3,0),"")</f>
        <v>结构二室</v>
      </c>
      <c r="E382" s="98" t="s">
        <v>195</v>
      </c>
      <c r="F382" s="52">
        <f t="shared" si="11"/>
        <v>20</v>
      </c>
      <c r="G382" s="53"/>
      <c r="H382" s="53"/>
      <c r="I382" s="63">
        <v>20</v>
      </c>
      <c r="J382" s="53"/>
      <c r="K382" s="57"/>
      <c r="L382" s="57"/>
      <c r="M382" s="104" t="s">
        <v>851</v>
      </c>
      <c r="N382" s="58">
        <f>VLOOKUP(E382,订单号!B:C,2,0)</f>
        <v>0</v>
      </c>
      <c r="O382" s="35" t="e">
        <f>VLOOKUP(C382,领导干部!B:B,1,0)</f>
        <v>#N/A</v>
      </c>
    </row>
    <row r="383" customHeight="1" spans="1:15">
      <c r="A383" s="47">
        <f t="shared" si="10"/>
        <v>382</v>
      </c>
      <c r="B383" s="63" t="s">
        <v>689</v>
      </c>
      <c r="C383" s="49">
        <f>IFERROR(VLOOKUP(B383,[1]工程研发事业部人员名单!B:D,2,0),"")</f>
        <v>23481</v>
      </c>
      <c r="D383" s="50" t="str">
        <f>IFERROR(VLOOKUP(B383,[1]工程研发事业部人员名单!B:D,3,0),"")</f>
        <v>总体室</v>
      </c>
      <c r="E383" s="98" t="s">
        <v>195</v>
      </c>
      <c r="F383" s="52">
        <f t="shared" si="11"/>
        <v>20</v>
      </c>
      <c r="G383" s="53"/>
      <c r="H383" s="53"/>
      <c r="I383" s="63">
        <v>20</v>
      </c>
      <c r="J383" s="53"/>
      <c r="K383" s="57"/>
      <c r="L383" s="57"/>
      <c r="M383" s="104" t="s">
        <v>851</v>
      </c>
      <c r="N383" s="58">
        <f>VLOOKUP(E383,订单号!B:C,2,0)</f>
        <v>0</v>
      </c>
      <c r="O383" s="35" t="e">
        <f>VLOOKUP(C383,领导干部!B:B,1,0)</f>
        <v>#N/A</v>
      </c>
    </row>
    <row r="384" customHeight="1" spans="1:15">
      <c r="A384" s="47">
        <f t="shared" si="10"/>
        <v>383</v>
      </c>
      <c r="B384" s="63" t="s">
        <v>400</v>
      </c>
      <c r="C384" s="49">
        <f>IFERROR(VLOOKUP(B384,[1]工程研发事业部人员名单!B:D,2,0),"")</f>
        <v>17725</v>
      </c>
      <c r="D384" s="50" t="str">
        <f>IFERROR(VLOOKUP(B384,[1]工程研发事业部人员名单!B:D,3,0),"")</f>
        <v>总体室</v>
      </c>
      <c r="E384" s="98" t="s">
        <v>195</v>
      </c>
      <c r="F384" s="52">
        <f t="shared" si="11"/>
        <v>160</v>
      </c>
      <c r="G384" s="53"/>
      <c r="H384" s="53"/>
      <c r="I384" s="63">
        <v>160</v>
      </c>
      <c r="J384" s="53"/>
      <c r="K384" s="57"/>
      <c r="L384" s="57"/>
      <c r="M384" s="105" t="s">
        <v>852</v>
      </c>
      <c r="N384" s="58">
        <f>VLOOKUP(E384,订单号!B:C,2,0)</f>
        <v>0</v>
      </c>
      <c r="O384" s="35" t="e">
        <f>VLOOKUP(C384,领导干部!B:B,1,0)</f>
        <v>#N/A</v>
      </c>
    </row>
    <row r="385" customHeight="1" spans="1:15">
      <c r="A385" s="47">
        <f t="shared" si="10"/>
        <v>384</v>
      </c>
      <c r="B385" s="63" t="s">
        <v>234</v>
      </c>
      <c r="C385" s="49">
        <f>IFERROR(VLOOKUP(B385,[1]工程研发事业部人员名单!B:D,2,0),"")</f>
        <v>50281</v>
      </c>
      <c r="D385" s="50" t="str">
        <f>IFERROR(VLOOKUP(B385,[1]工程研发事业部人员名单!B:D,3,0),"")</f>
        <v>结构一室</v>
      </c>
      <c r="E385" s="98" t="s">
        <v>195</v>
      </c>
      <c r="F385" s="52">
        <f t="shared" si="11"/>
        <v>24</v>
      </c>
      <c r="G385" s="53"/>
      <c r="H385" s="53"/>
      <c r="I385" s="63">
        <v>24</v>
      </c>
      <c r="J385" s="53"/>
      <c r="K385" s="57"/>
      <c r="L385" s="57"/>
      <c r="M385" s="104" t="s">
        <v>853</v>
      </c>
      <c r="N385" s="58">
        <f>VLOOKUP(E385,订单号!B:C,2,0)</f>
        <v>0</v>
      </c>
      <c r="O385" s="35" t="e">
        <f>VLOOKUP(C385,领导干部!B:B,1,0)</f>
        <v>#N/A</v>
      </c>
    </row>
    <row r="386" customHeight="1" spans="1:15">
      <c r="A386" s="47">
        <f t="shared" ref="A386:A449" si="12">ROW()-1</f>
        <v>385</v>
      </c>
      <c r="B386" s="63" t="s">
        <v>445</v>
      </c>
      <c r="C386" s="49">
        <f>IFERROR(VLOOKUP(B386,[1]工程研发事业部人员名单!B:D,2,0),"")</f>
        <v>51194</v>
      </c>
      <c r="D386" s="50" t="str">
        <f>IFERROR(VLOOKUP(B386,[1]工程研发事业部人员名单!B:D,3,0),"")</f>
        <v>强度室</v>
      </c>
      <c r="E386" s="98" t="s">
        <v>195</v>
      </c>
      <c r="F386" s="52">
        <f t="shared" ref="F386:F449" si="13">G386+H386+I386+J386</f>
        <v>15</v>
      </c>
      <c r="G386" s="53"/>
      <c r="H386" s="53"/>
      <c r="I386" s="63">
        <v>15</v>
      </c>
      <c r="J386" s="53"/>
      <c r="K386" s="57"/>
      <c r="L386" s="57"/>
      <c r="M386" s="104" t="s">
        <v>854</v>
      </c>
      <c r="N386" s="58">
        <f>VLOOKUP(E386,订单号!B:C,2,0)</f>
        <v>0</v>
      </c>
      <c r="O386" s="35" t="e">
        <f>VLOOKUP(C386,领导干部!B:B,1,0)</f>
        <v>#N/A</v>
      </c>
    </row>
    <row r="387" customHeight="1" spans="1:15">
      <c r="A387" s="47">
        <f t="shared" si="12"/>
        <v>386</v>
      </c>
      <c r="B387" s="63" t="s">
        <v>380</v>
      </c>
      <c r="C387" s="49">
        <f>IFERROR(VLOOKUP(B387,[1]工程研发事业部人员名单!B:D,2,0),"")</f>
        <v>50722</v>
      </c>
      <c r="D387" s="50" t="str">
        <f>IFERROR(VLOOKUP(B387,[1]工程研发事业部人员名单!B:D,3,0),"")</f>
        <v>强度室</v>
      </c>
      <c r="E387" s="98" t="s">
        <v>195</v>
      </c>
      <c r="F387" s="52">
        <f t="shared" si="13"/>
        <v>15</v>
      </c>
      <c r="G387" s="53"/>
      <c r="H387" s="53"/>
      <c r="I387" s="63">
        <v>15</v>
      </c>
      <c r="J387" s="53"/>
      <c r="K387" s="57"/>
      <c r="L387" s="57"/>
      <c r="M387" s="104" t="s">
        <v>855</v>
      </c>
      <c r="N387" s="58">
        <f>VLOOKUP(E387,订单号!B:C,2,0)</f>
        <v>0</v>
      </c>
      <c r="O387" s="35" t="e">
        <f>VLOOKUP(C387,领导干部!B:B,1,0)</f>
        <v>#N/A</v>
      </c>
    </row>
    <row r="388" customHeight="1" spans="1:15">
      <c r="A388" s="47">
        <f t="shared" si="12"/>
        <v>387</v>
      </c>
      <c r="B388" s="63" t="s">
        <v>286</v>
      </c>
      <c r="C388" s="49">
        <f>IFERROR(VLOOKUP(B388,[1]工程研发事业部人员名单!B:D,2,0),"")</f>
        <v>51158</v>
      </c>
      <c r="D388" s="50" t="str">
        <f>IFERROR(VLOOKUP(B388,[1]工程研发事业部人员名单!B:D,3,0),"")</f>
        <v>强度室</v>
      </c>
      <c r="E388" s="98" t="s">
        <v>195</v>
      </c>
      <c r="F388" s="52">
        <f t="shared" si="13"/>
        <v>15</v>
      </c>
      <c r="G388" s="53"/>
      <c r="H388" s="53"/>
      <c r="I388" s="63">
        <v>15</v>
      </c>
      <c r="J388" s="53"/>
      <c r="K388" s="57"/>
      <c r="L388" s="57"/>
      <c r="M388" s="104" t="s">
        <v>856</v>
      </c>
      <c r="N388" s="58">
        <f>VLOOKUP(E388,订单号!B:C,2,0)</f>
        <v>0</v>
      </c>
      <c r="O388" s="35" t="e">
        <f>VLOOKUP(C388,领导干部!B:B,1,0)</f>
        <v>#N/A</v>
      </c>
    </row>
    <row r="389" customHeight="1" spans="1:15">
      <c r="A389" s="47">
        <f t="shared" si="12"/>
        <v>388</v>
      </c>
      <c r="B389" s="63" t="s">
        <v>305</v>
      </c>
      <c r="C389" s="49">
        <f>IFERROR(VLOOKUP(B389,[1]工程研发事业部人员名单!B:D,2,0),"")</f>
        <v>51389</v>
      </c>
      <c r="D389" s="50" t="str">
        <f>IFERROR(VLOOKUP(B389,[1]工程研发事业部人员名单!B:D,3,0),"")</f>
        <v>系统室</v>
      </c>
      <c r="E389" s="98" t="s">
        <v>195</v>
      </c>
      <c r="F389" s="52">
        <f t="shared" si="13"/>
        <v>8</v>
      </c>
      <c r="G389" s="53"/>
      <c r="H389" s="53"/>
      <c r="I389" s="63">
        <v>8</v>
      </c>
      <c r="J389" s="53"/>
      <c r="K389" s="57"/>
      <c r="L389" s="57"/>
      <c r="M389" s="104" t="s">
        <v>857</v>
      </c>
      <c r="N389" s="58">
        <f>VLOOKUP(E389,订单号!B:C,2,0)</f>
        <v>0</v>
      </c>
      <c r="O389" s="35" t="e">
        <f>VLOOKUP(C389,领导干部!B:B,1,0)</f>
        <v>#N/A</v>
      </c>
    </row>
    <row r="390" customHeight="1" spans="1:15">
      <c r="A390" s="47">
        <f t="shared" si="12"/>
        <v>389</v>
      </c>
      <c r="B390" s="63" t="s">
        <v>358</v>
      </c>
      <c r="C390" s="49">
        <f>IFERROR(VLOOKUP(B390,[1]工程研发事业部人员名单!B:D,2,0),"")</f>
        <v>51387</v>
      </c>
      <c r="D390" s="50" t="str">
        <f>IFERROR(VLOOKUP(B390,[1]工程研发事业部人员名单!B:D,3,0),"")</f>
        <v>系统室</v>
      </c>
      <c r="E390" s="98" t="s">
        <v>195</v>
      </c>
      <c r="F390" s="52">
        <f t="shared" si="13"/>
        <v>8</v>
      </c>
      <c r="G390" s="53"/>
      <c r="H390" s="53"/>
      <c r="I390" s="63">
        <v>8</v>
      </c>
      <c r="J390" s="53"/>
      <c r="K390" s="57"/>
      <c r="L390" s="57"/>
      <c r="M390" s="104" t="s">
        <v>857</v>
      </c>
      <c r="N390" s="58">
        <f>VLOOKUP(E390,订单号!B:C,2,0)</f>
        <v>0</v>
      </c>
      <c r="O390" s="35" t="e">
        <f>VLOOKUP(C390,领导干部!B:B,1,0)</f>
        <v>#N/A</v>
      </c>
    </row>
    <row r="391" customHeight="1" spans="1:15">
      <c r="A391" s="47">
        <f t="shared" si="12"/>
        <v>390</v>
      </c>
      <c r="B391" s="63" t="s">
        <v>384</v>
      </c>
      <c r="C391" s="49">
        <f>IFERROR(VLOOKUP(B391,[1]工程研发事业部人员名单!B:D,2,0),"")</f>
        <v>50710</v>
      </c>
      <c r="D391" s="50" t="str">
        <f>IFERROR(VLOOKUP(B391,[1]工程研发事业部人员名单!B:D,3,0),"")</f>
        <v>结构二室</v>
      </c>
      <c r="E391" s="98" t="s">
        <v>195</v>
      </c>
      <c r="F391" s="52">
        <f t="shared" si="13"/>
        <v>8</v>
      </c>
      <c r="G391" s="53"/>
      <c r="H391" s="53"/>
      <c r="I391" s="63">
        <v>8</v>
      </c>
      <c r="J391" s="53"/>
      <c r="K391" s="57"/>
      <c r="L391" s="57"/>
      <c r="M391" s="104" t="s">
        <v>858</v>
      </c>
      <c r="N391" s="58">
        <f>VLOOKUP(E391,订单号!B:C,2,0)</f>
        <v>0</v>
      </c>
      <c r="O391" s="35" t="e">
        <f>VLOOKUP(C391,领导干部!B:B,1,0)</f>
        <v>#N/A</v>
      </c>
    </row>
    <row r="392" customHeight="1" spans="1:15">
      <c r="A392" s="47">
        <f t="shared" si="12"/>
        <v>391</v>
      </c>
      <c r="B392" s="63" t="s">
        <v>493</v>
      </c>
      <c r="C392" s="49">
        <f>IFERROR(VLOOKUP(B392,[1]工程研发事业部人员名单!B:D,2,0),"")</f>
        <v>51397</v>
      </c>
      <c r="D392" s="50" t="str">
        <f>IFERROR(VLOOKUP(B392,[1]工程研发事业部人员名单!B:D,3,0),"")</f>
        <v>结构二室</v>
      </c>
      <c r="E392" s="98" t="s">
        <v>195</v>
      </c>
      <c r="F392" s="52">
        <f t="shared" si="13"/>
        <v>8</v>
      </c>
      <c r="G392" s="53"/>
      <c r="H392" s="53"/>
      <c r="I392" s="63">
        <v>8</v>
      </c>
      <c r="J392" s="53"/>
      <c r="K392" s="57"/>
      <c r="L392" s="57"/>
      <c r="M392" s="104" t="s">
        <v>859</v>
      </c>
      <c r="N392" s="58">
        <f>VLOOKUP(E392,订单号!B:C,2,0)</f>
        <v>0</v>
      </c>
      <c r="O392" s="35" t="e">
        <f>VLOOKUP(C392,领导干部!B:B,1,0)</f>
        <v>#N/A</v>
      </c>
    </row>
    <row r="393" customHeight="1" spans="1:15">
      <c r="A393" s="47">
        <f t="shared" si="12"/>
        <v>392</v>
      </c>
      <c r="B393" s="63" t="s">
        <v>410</v>
      </c>
      <c r="C393" s="49">
        <f>IFERROR(VLOOKUP(B393,[1]工程研发事业部人员名单!B:D,2,0),"")</f>
        <v>51196</v>
      </c>
      <c r="D393" s="50" t="str">
        <f>IFERROR(VLOOKUP(B393,[1]工程研发事业部人员名单!B:D,3,0),"")</f>
        <v>强度室</v>
      </c>
      <c r="E393" s="98" t="s">
        <v>195</v>
      </c>
      <c r="F393" s="52">
        <f t="shared" si="13"/>
        <v>8</v>
      </c>
      <c r="G393" s="53"/>
      <c r="H393" s="53"/>
      <c r="I393" s="63">
        <v>8</v>
      </c>
      <c r="J393" s="53"/>
      <c r="K393" s="57"/>
      <c r="L393" s="57"/>
      <c r="M393" s="104" t="s">
        <v>860</v>
      </c>
      <c r="N393" s="58">
        <f>VLOOKUP(E393,订单号!B:C,2,0)</f>
        <v>0</v>
      </c>
      <c r="O393" s="35" t="e">
        <f>VLOOKUP(C393,领导干部!B:B,1,0)</f>
        <v>#N/A</v>
      </c>
    </row>
    <row r="394" ht="15.95" customHeight="1" spans="1:15">
      <c r="A394" s="47">
        <f t="shared" si="12"/>
        <v>393</v>
      </c>
      <c r="B394" s="63" t="s">
        <v>388</v>
      </c>
      <c r="C394" s="49">
        <f>IFERROR(VLOOKUP(B394,[1]工程研发事业部人员名单!B:D,2,0),"")</f>
        <v>50864</v>
      </c>
      <c r="D394" s="50" t="str">
        <f>IFERROR(VLOOKUP(B394,[1]工程研发事业部人员名单!B:D,3,0),"")</f>
        <v>综合技术室</v>
      </c>
      <c r="E394" s="98" t="s">
        <v>194</v>
      </c>
      <c r="F394" s="52">
        <f t="shared" si="13"/>
        <v>60</v>
      </c>
      <c r="G394" s="53"/>
      <c r="H394" s="53"/>
      <c r="I394" s="63">
        <v>60</v>
      </c>
      <c r="J394" s="53"/>
      <c r="K394" s="57"/>
      <c r="L394" s="57"/>
      <c r="M394" s="81" t="s">
        <v>861</v>
      </c>
      <c r="N394" s="58">
        <f>VLOOKUP(E394,订单号!B:C,2,0)</f>
        <v>0</v>
      </c>
      <c r="O394" s="35" t="e">
        <f>VLOOKUP(C394,领导干部!B:B,1,0)</f>
        <v>#N/A</v>
      </c>
    </row>
    <row r="395" customHeight="1" spans="1:15">
      <c r="A395" s="47">
        <f t="shared" si="12"/>
        <v>394</v>
      </c>
      <c r="B395" s="63" t="s">
        <v>691</v>
      </c>
      <c r="C395" s="49">
        <f>IFERROR(VLOOKUP(B395,[1]工程研发事业部人员名单!B:D,2,0),"")</f>
        <v>52027</v>
      </c>
      <c r="D395" s="50" t="str">
        <f>IFERROR(VLOOKUP(B395,[1]工程研发事业部人员名单!B:D,3,0),"")</f>
        <v>综合技术室</v>
      </c>
      <c r="E395" s="98" t="s">
        <v>194</v>
      </c>
      <c r="F395" s="52">
        <f t="shared" si="13"/>
        <v>70</v>
      </c>
      <c r="G395" s="53"/>
      <c r="H395" s="53"/>
      <c r="I395" s="63">
        <v>70</v>
      </c>
      <c r="J395" s="53"/>
      <c r="K395" s="57"/>
      <c r="L395" s="57"/>
      <c r="M395" s="81" t="s">
        <v>861</v>
      </c>
      <c r="N395" s="58">
        <f>VLOOKUP(E395,订单号!B:C,2,0)</f>
        <v>0</v>
      </c>
      <c r="O395" s="35" t="e">
        <f>VLOOKUP(C395,领导干部!B:B,1,0)</f>
        <v>#N/A</v>
      </c>
    </row>
    <row r="396" customHeight="1" spans="1:15">
      <c r="A396" s="47">
        <f t="shared" si="12"/>
        <v>395</v>
      </c>
      <c r="B396" s="63" t="s">
        <v>400</v>
      </c>
      <c r="C396" s="49">
        <f>IFERROR(VLOOKUP(B396,[1]工程研发事业部人员名单!B:D,2,0),"")</f>
        <v>17725</v>
      </c>
      <c r="D396" s="50" t="str">
        <f>IFERROR(VLOOKUP(B396,[1]工程研发事业部人员名单!B:D,3,0),"")</f>
        <v>总体室</v>
      </c>
      <c r="E396" s="98" t="s">
        <v>194</v>
      </c>
      <c r="F396" s="52">
        <f t="shared" si="13"/>
        <v>60</v>
      </c>
      <c r="G396" s="53"/>
      <c r="H396" s="53"/>
      <c r="I396" s="63">
        <v>60</v>
      </c>
      <c r="J396" s="53"/>
      <c r="K396" s="57"/>
      <c r="L396" s="57"/>
      <c r="M396" s="81" t="s">
        <v>861</v>
      </c>
      <c r="N396" s="58">
        <f>VLOOKUP(E396,订单号!B:C,2,0)</f>
        <v>0</v>
      </c>
      <c r="O396" s="35" t="e">
        <f>VLOOKUP(C396,领导干部!B:B,1,0)</f>
        <v>#N/A</v>
      </c>
    </row>
    <row r="397" customHeight="1" spans="1:15">
      <c r="A397" s="47">
        <f t="shared" si="12"/>
        <v>396</v>
      </c>
      <c r="B397" s="93" t="s">
        <v>693</v>
      </c>
      <c r="C397" s="49" t="str">
        <f>IFERROR(VLOOKUP(B397,[1]工程研发事业部人员名单!B:D,2,0),"")</f>
        <v>01728</v>
      </c>
      <c r="D397" s="50" t="str">
        <f>IFERROR(VLOOKUP(B397,[1]工程研发事业部人员名单!B:D,3,0),"")</f>
        <v>联络工程室</v>
      </c>
      <c r="E397" s="98" t="s">
        <v>191</v>
      </c>
      <c r="F397" s="52">
        <f t="shared" si="13"/>
        <v>0</v>
      </c>
      <c r="G397" s="53"/>
      <c r="H397" s="53"/>
      <c r="I397" s="70">
        <v>0</v>
      </c>
      <c r="J397" s="108"/>
      <c r="K397" s="73" t="s">
        <v>191</v>
      </c>
      <c r="L397" s="73" t="s">
        <v>862</v>
      </c>
      <c r="M397" s="81" t="s">
        <v>863</v>
      </c>
      <c r="N397" s="58">
        <f>VLOOKUP(E397,订单号!B:C,2,0)</f>
        <v>10502</v>
      </c>
      <c r="O397" s="35" t="e">
        <f>VLOOKUP(C397,领导干部!B:B,1,0)</f>
        <v>#N/A</v>
      </c>
    </row>
    <row r="398" customHeight="1" spans="1:15">
      <c r="A398" s="47">
        <f t="shared" si="12"/>
        <v>397</v>
      </c>
      <c r="B398" s="106" t="s">
        <v>253</v>
      </c>
      <c r="C398" s="49">
        <f>IFERROR(VLOOKUP(B398,[1]工程研发事业部人员名单!B:D,2,0),"")</f>
        <v>17732</v>
      </c>
      <c r="D398" s="50" t="str">
        <f>IFERROR(VLOOKUP(B398,[1]工程研发事业部人员名单!B:D,3,0),"")</f>
        <v>联络工程室</v>
      </c>
      <c r="E398" s="98" t="s">
        <v>191</v>
      </c>
      <c r="F398" s="52">
        <f t="shared" si="13"/>
        <v>226.46</v>
      </c>
      <c r="G398" s="53"/>
      <c r="H398" s="53"/>
      <c r="I398" s="70">
        <v>226.46</v>
      </c>
      <c r="J398" s="102"/>
      <c r="K398" s="73" t="s">
        <v>191</v>
      </c>
      <c r="L398" s="73" t="s">
        <v>864</v>
      </c>
      <c r="M398" s="81"/>
      <c r="N398" s="58">
        <f>VLOOKUP(E398,订单号!B:C,2,0)</f>
        <v>10502</v>
      </c>
      <c r="O398" s="35" t="e">
        <f>VLOOKUP(C398,领导干部!B:B,1,0)</f>
        <v>#N/A</v>
      </c>
    </row>
    <row r="399" customHeight="1" spans="1:15">
      <c r="A399" s="47">
        <f t="shared" si="12"/>
        <v>398</v>
      </c>
      <c r="B399" s="106" t="s">
        <v>427</v>
      </c>
      <c r="C399" s="49">
        <f>IFERROR(VLOOKUP(B399,[1]工程研发事业部人员名单!B:D,2,0),"")</f>
        <v>18672</v>
      </c>
      <c r="D399" s="50" t="str">
        <f>IFERROR(VLOOKUP(B399,[1]工程研发事业部人员名单!B:D,3,0),"")</f>
        <v>联络工程室</v>
      </c>
      <c r="E399" s="98" t="s">
        <v>191</v>
      </c>
      <c r="F399" s="52">
        <f t="shared" si="13"/>
        <v>379.72</v>
      </c>
      <c r="G399" s="53"/>
      <c r="H399" s="53"/>
      <c r="I399" s="70">
        <v>379.72</v>
      </c>
      <c r="J399" s="102"/>
      <c r="K399" s="73" t="s">
        <v>191</v>
      </c>
      <c r="L399" s="73" t="s">
        <v>864</v>
      </c>
      <c r="M399" s="81"/>
      <c r="N399" s="58">
        <f>VLOOKUP(E399,订单号!B:C,2,0)</f>
        <v>10502</v>
      </c>
      <c r="O399" s="35" t="e">
        <f>VLOOKUP(C399,领导干部!B:B,1,0)</f>
        <v>#N/A</v>
      </c>
    </row>
    <row r="400" customHeight="1" spans="1:15">
      <c r="A400" s="47">
        <f t="shared" si="12"/>
        <v>399</v>
      </c>
      <c r="B400" s="106" t="s">
        <v>307</v>
      </c>
      <c r="C400" s="49">
        <f>IFERROR(VLOOKUP(B400,[1]工程研发事业部人员名单!B:D,2,0),"")</f>
        <v>50019</v>
      </c>
      <c r="D400" s="50" t="str">
        <f>IFERROR(VLOOKUP(B400,[1]工程研发事业部人员名单!B:D,3,0),"")</f>
        <v>联络工程室</v>
      </c>
      <c r="E400" s="98" t="s">
        <v>191</v>
      </c>
      <c r="F400" s="52">
        <f t="shared" si="13"/>
        <v>287.92</v>
      </c>
      <c r="G400" s="53"/>
      <c r="H400" s="53"/>
      <c r="I400" s="70">
        <v>287.92</v>
      </c>
      <c r="J400" s="102"/>
      <c r="K400" s="73" t="s">
        <v>191</v>
      </c>
      <c r="L400" s="73" t="s">
        <v>864</v>
      </c>
      <c r="M400" s="81"/>
      <c r="N400" s="58">
        <f>VLOOKUP(E400,订单号!B:C,2,0)</f>
        <v>10502</v>
      </c>
      <c r="O400" s="35" t="e">
        <f>VLOOKUP(C400,领导干部!B:B,1,0)</f>
        <v>#N/A</v>
      </c>
    </row>
    <row r="401" customHeight="1" spans="1:15">
      <c r="A401" s="47">
        <f t="shared" si="12"/>
        <v>400</v>
      </c>
      <c r="B401" s="106" t="s">
        <v>261</v>
      </c>
      <c r="C401" s="49">
        <f>IFERROR(VLOOKUP(B401,[1]工程研发事业部人员名单!B:D,2,0),"")</f>
        <v>50027</v>
      </c>
      <c r="D401" s="50" t="str">
        <f>IFERROR(VLOOKUP(B401,[1]工程研发事业部人员名单!B:D,3,0),"")</f>
        <v>联络工程室</v>
      </c>
      <c r="E401" s="98" t="s">
        <v>191</v>
      </c>
      <c r="F401" s="52">
        <f t="shared" si="13"/>
        <v>336.65</v>
      </c>
      <c r="G401" s="53"/>
      <c r="H401" s="53"/>
      <c r="I401" s="70">
        <v>336.65</v>
      </c>
      <c r="J401" s="102"/>
      <c r="K401" s="73" t="s">
        <v>191</v>
      </c>
      <c r="L401" s="73" t="s">
        <v>865</v>
      </c>
      <c r="M401" s="81"/>
      <c r="N401" s="58">
        <f>VLOOKUP(E401,订单号!B:C,2,0)</f>
        <v>10502</v>
      </c>
      <c r="O401" s="35" t="e">
        <f>VLOOKUP(C401,领导干部!B:B,1,0)</f>
        <v>#N/A</v>
      </c>
    </row>
    <row r="402" customHeight="1" spans="1:15">
      <c r="A402" s="47">
        <f t="shared" si="12"/>
        <v>401</v>
      </c>
      <c r="B402" s="106" t="s">
        <v>316</v>
      </c>
      <c r="C402" s="49">
        <f>IFERROR(VLOOKUP(B402,[1]工程研发事业部人员名单!B:D,2,0),"")</f>
        <v>50316</v>
      </c>
      <c r="D402" s="50" t="str">
        <f>IFERROR(VLOOKUP(B402,[1]工程研发事业部人员名单!B:D,3,0),"")</f>
        <v>联络工程室</v>
      </c>
      <c r="E402" s="98" t="s">
        <v>191</v>
      </c>
      <c r="F402" s="52">
        <f t="shared" si="13"/>
        <v>393.37</v>
      </c>
      <c r="G402" s="53"/>
      <c r="H402" s="53"/>
      <c r="I402" s="70">
        <v>393.37</v>
      </c>
      <c r="J402" s="102"/>
      <c r="K402" s="73" t="s">
        <v>191</v>
      </c>
      <c r="L402" s="73" t="s">
        <v>865</v>
      </c>
      <c r="M402" s="81"/>
      <c r="N402" s="58">
        <f>VLOOKUP(E402,订单号!B:C,2,0)</f>
        <v>10502</v>
      </c>
      <c r="O402" s="35" t="e">
        <f>VLOOKUP(C402,领导干部!B:B,1,0)</f>
        <v>#N/A</v>
      </c>
    </row>
    <row r="403" customHeight="1" spans="1:15">
      <c r="A403" s="47">
        <f t="shared" si="12"/>
        <v>402</v>
      </c>
      <c r="B403" s="106" t="s">
        <v>479</v>
      </c>
      <c r="C403" s="49">
        <f>IFERROR(VLOOKUP(B403,[1]工程研发事业部人员名单!B:D,2,0),"")</f>
        <v>50323</v>
      </c>
      <c r="D403" s="50" t="str">
        <f>IFERROR(VLOOKUP(B403,[1]工程研发事业部人员名单!B:D,3,0),"")</f>
        <v>联络工程室</v>
      </c>
      <c r="E403" s="98" t="s">
        <v>191</v>
      </c>
      <c r="F403" s="52">
        <f t="shared" si="13"/>
        <v>170.7</v>
      </c>
      <c r="G403" s="53"/>
      <c r="H403" s="53"/>
      <c r="I403" s="70">
        <v>170.7</v>
      </c>
      <c r="J403" s="102"/>
      <c r="K403" s="73" t="s">
        <v>191</v>
      </c>
      <c r="L403" s="73" t="s">
        <v>864</v>
      </c>
      <c r="M403" s="81" t="s">
        <v>866</v>
      </c>
      <c r="N403" s="58">
        <f>VLOOKUP(E403,订单号!B:C,2,0)</f>
        <v>10502</v>
      </c>
      <c r="O403" s="35" t="e">
        <f>VLOOKUP(C403,领导干部!B:B,1,0)</f>
        <v>#N/A</v>
      </c>
    </row>
    <row r="404" customHeight="1" spans="1:15">
      <c r="A404" s="47">
        <f t="shared" si="12"/>
        <v>403</v>
      </c>
      <c r="B404" s="106" t="s">
        <v>482</v>
      </c>
      <c r="C404" s="49">
        <f>IFERROR(VLOOKUP(B404,[1]工程研发事业部人员名单!B:D,2,0),"")</f>
        <v>50832</v>
      </c>
      <c r="D404" s="50" t="str">
        <f>IFERROR(VLOOKUP(B404,[1]工程研发事业部人员名单!B:D,3,0),"")</f>
        <v>联络工程室</v>
      </c>
      <c r="E404" s="98" t="s">
        <v>191</v>
      </c>
      <c r="F404" s="52">
        <f t="shared" si="13"/>
        <v>372.13</v>
      </c>
      <c r="G404" s="53"/>
      <c r="H404" s="53"/>
      <c r="I404" s="70">
        <v>372.13</v>
      </c>
      <c r="J404" s="102"/>
      <c r="K404" s="48" t="s">
        <v>191</v>
      </c>
      <c r="L404" s="73" t="s">
        <v>867</v>
      </c>
      <c r="M404" s="81"/>
      <c r="N404" s="58">
        <f>VLOOKUP(E404,订单号!B:C,2,0)</f>
        <v>10502</v>
      </c>
      <c r="O404" s="35" t="e">
        <f>VLOOKUP(C404,领导干部!B:B,1,0)</f>
        <v>#N/A</v>
      </c>
    </row>
    <row r="405" customHeight="1" spans="1:15">
      <c r="A405" s="47">
        <f t="shared" si="12"/>
        <v>404</v>
      </c>
      <c r="B405" s="106" t="s">
        <v>353</v>
      </c>
      <c r="C405" s="49">
        <f>IFERROR(VLOOKUP(B405,[1]工程研发事业部人员名单!B:D,2,0),"")</f>
        <v>51395</v>
      </c>
      <c r="D405" s="50" t="str">
        <f>IFERROR(VLOOKUP(B405,[1]工程研发事业部人员名单!B:D,3,0),"")</f>
        <v>联络工程室</v>
      </c>
      <c r="E405" s="98" t="s">
        <v>191</v>
      </c>
      <c r="F405" s="52">
        <f t="shared" si="13"/>
        <v>326.1</v>
      </c>
      <c r="G405" s="53"/>
      <c r="H405" s="53"/>
      <c r="I405" s="70">
        <v>326.1</v>
      </c>
      <c r="J405" s="102"/>
      <c r="K405" s="48" t="s">
        <v>191</v>
      </c>
      <c r="L405" s="73" t="s">
        <v>868</v>
      </c>
      <c r="M405" s="81"/>
      <c r="N405" s="58">
        <f>VLOOKUP(E405,订单号!B:C,2,0)</f>
        <v>10502</v>
      </c>
      <c r="O405" s="35" t="e">
        <f>VLOOKUP(C405,领导干部!B:B,1,0)</f>
        <v>#N/A</v>
      </c>
    </row>
    <row r="406" customHeight="1" spans="1:15">
      <c r="A406" s="47">
        <f t="shared" si="12"/>
        <v>405</v>
      </c>
      <c r="B406" s="106" t="s">
        <v>419</v>
      </c>
      <c r="C406" s="49">
        <f>IFERROR(VLOOKUP(B406,[1]工程研发事业部人员名单!B:D,2,0),"")</f>
        <v>51396</v>
      </c>
      <c r="D406" s="50" t="str">
        <f>IFERROR(VLOOKUP(B406,[1]工程研发事业部人员名单!B:D,3,0),"")</f>
        <v>联络工程室</v>
      </c>
      <c r="E406" s="98" t="s">
        <v>191</v>
      </c>
      <c r="F406" s="52">
        <f t="shared" si="13"/>
        <v>343.09</v>
      </c>
      <c r="G406" s="53"/>
      <c r="H406" s="53"/>
      <c r="I406" s="70">
        <v>343.09</v>
      </c>
      <c r="J406" s="102"/>
      <c r="K406" s="48" t="s">
        <v>191</v>
      </c>
      <c r="L406" s="73" t="s">
        <v>865</v>
      </c>
      <c r="M406" s="81"/>
      <c r="N406" s="58">
        <f>VLOOKUP(E406,订单号!B:C,2,0)</f>
        <v>10502</v>
      </c>
      <c r="O406" s="35" t="e">
        <f>VLOOKUP(C406,领导干部!B:B,1,0)</f>
        <v>#N/A</v>
      </c>
    </row>
    <row r="407" customHeight="1" spans="1:15">
      <c r="A407" s="47">
        <f t="shared" si="12"/>
        <v>406</v>
      </c>
      <c r="B407" s="106" t="s">
        <v>244</v>
      </c>
      <c r="C407" s="49">
        <f>IFERROR(VLOOKUP(B407,[1]工程研发事业部人员名单!B:D,2,0),"")</f>
        <v>51555</v>
      </c>
      <c r="D407" s="50" t="str">
        <f>IFERROR(VLOOKUP(B407,[1]工程研发事业部人员名单!B:D,3,0),"")</f>
        <v>联络工程室</v>
      </c>
      <c r="E407" s="98" t="s">
        <v>191</v>
      </c>
      <c r="F407" s="52">
        <f t="shared" si="13"/>
        <v>0</v>
      </c>
      <c r="G407" s="53"/>
      <c r="H407" s="53"/>
      <c r="I407" s="70">
        <v>0</v>
      </c>
      <c r="J407" s="102"/>
      <c r="K407" s="48" t="s">
        <v>191</v>
      </c>
      <c r="L407" s="73" t="s">
        <v>864</v>
      </c>
      <c r="M407" s="81" t="s">
        <v>866</v>
      </c>
      <c r="N407" s="58">
        <f>VLOOKUP(E407,订单号!B:C,2,0)</f>
        <v>10502</v>
      </c>
      <c r="O407" s="35" t="e">
        <f>VLOOKUP(C407,领导干部!B:B,1,0)</f>
        <v>#N/A</v>
      </c>
    </row>
    <row r="408" customHeight="1" spans="1:15">
      <c r="A408" s="47">
        <f t="shared" si="12"/>
        <v>407</v>
      </c>
      <c r="B408" s="106" t="s">
        <v>271</v>
      </c>
      <c r="C408" s="49">
        <f>IFERROR(VLOOKUP(B408,[1]工程研发事业部人员名单!B:D,2,0),"")</f>
        <v>51941</v>
      </c>
      <c r="D408" s="50" t="str">
        <f>IFERROR(VLOOKUP(B408,[1]工程研发事业部人员名单!B:D,3,0),"")</f>
        <v>联络工程室</v>
      </c>
      <c r="E408" s="98" t="s">
        <v>191</v>
      </c>
      <c r="F408" s="52">
        <f t="shared" si="13"/>
        <v>393.65</v>
      </c>
      <c r="G408" s="53"/>
      <c r="H408" s="53"/>
      <c r="I408" s="70">
        <v>393.65</v>
      </c>
      <c r="J408" s="102"/>
      <c r="K408" s="48" t="s">
        <v>191</v>
      </c>
      <c r="L408" s="73" t="s">
        <v>864</v>
      </c>
      <c r="M408" s="81"/>
      <c r="N408" s="58">
        <f>VLOOKUP(E408,订单号!B:C,2,0)</f>
        <v>10502</v>
      </c>
      <c r="O408" s="35" t="e">
        <f>VLOOKUP(C408,领导干部!B:B,1,0)</f>
        <v>#N/A</v>
      </c>
    </row>
    <row r="409" customHeight="1" spans="1:15">
      <c r="A409" s="47">
        <f t="shared" si="12"/>
        <v>408</v>
      </c>
      <c r="B409" s="106" t="s">
        <v>474</v>
      </c>
      <c r="C409" s="49">
        <f>IFERROR(VLOOKUP(B409,[1]工程研发事业部人员名单!B:D,2,0),"")</f>
        <v>50853</v>
      </c>
      <c r="D409" s="50" t="str">
        <f>IFERROR(VLOOKUP(B409,[1]工程研发事业部人员名单!B:D,3,0),"")</f>
        <v>联络工程室</v>
      </c>
      <c r="E409" s="98" t="s">
        <v>191</v>
      </c>
      <c r="F409" s="52">
        <f t="shared" si="13"/>
        <v>470.58</v>
      </c>
      <c r="G409" s="53"/>
      <c r="H409" s="53"/>
      <c r="I409" s="70">
        <v>470.58</v>
      </c>
      <c r="J409" s="102"/>
      <c r="K409" s="48" t="s">
        <v>191</v>
      </c>
      <c r="L409" s="73" t="s">
        <v>865</v>
      </c>
      <c r="M409" s="81"/>
      <c r="N409" s="58">
        <f>VLOOKUP(E409,订单号!B:C,2,0)</f>
        <v>10502</v>
      </c>
      <c r="O409" s="35" t="e">
        <f>VLOOKUP(C409,领导干部!B:B,1,0)</f>
        <v>#N/A</v>
      </c>
    </row>
    <row r="410" customHeight="1" spans="1:15">
      <c r="A410" s="47">
        <f t="shared" si="12"/>
        <v>409</v>
      </c>
      <c r="B410" s="106" t="s">
        <v>462</v>
      </c>
      <c r="C410" s="49">
        <f>IFERROR(VLOOKUP(B410,[1]工程研发事业部人员名单!B:D,2,0),"")</f>
        <v>51428</v>
      </c>
      <c r="D410" s="50" t="str">
        <f>IFERROR(VLOOKUP(B410,[1]工程研发事业部人员名单!B:D,3,0),"")</f>
        <v>联络工程室</v>
      </c>
      <c r="E410" s="98" t="s">
        <v>191</v>
      </c>
      <c r="F410" s="52">
        <f t="shared" si="13"/>
        <v>278.585</v>
      </c>
      <c r="G410" s="53"/>
      <c r="H410" s="53"/>
      <c r="I410" s="70">
        <v>278.585</v>
      </c>
      <c r="J410" s="102"/>
      <c r="K410" s="48" t="s">
        <v>191</v>
      </c>
      <c r="L410" s="73" t="s">
        <v>865</v>
      </c>
      <c r="M410" s="81"/>
      <c r="N410" s="58">
        <f>VLOOKUP(E410,订单号!B:C,2,0)</f>
        <v>10502</v>
      </c>
      <c r="O410" s="35" t="e">
        <f>VLOOKUP(C410,领导干部!B:B,1,0)</f>
        <v>#N/A</v>
      </c>
    </row>
    <row r="411" customHeight="1" spans="1:15">
      <c r="A411" s="47">
        <f t="shared" si="12"/>
        <v>410</v>
      </c>
      <c r="B411" s="106" t="s">
        <v>688</v>
      </c>
      <c r="C411" s="49">
        <f>IFERROR(VLOOKUP(B411,[1]工程研发事业部人员名单!B:D,2,0),"")</f>
        <v>52161</v>
      </c>
      <c r="D411" s="50" t="str">
        <f>IFERROR(VLOOKUP(B411,[1]工程研发事业部人员名单!B:D,3,0),"")</f>
        <v>联络工程室</v>
      </c>
      <c r="E411" s="98" t="s">
        <v>191</v>
      </c>
      <c r="F411" s="52">
        <f t="shared" si="13"/>
        <v>457.69</v>
      </c>
      <c r="G411" s="53"/>
      <c r="H411" s="53"/>
      <c r="I411" s="70">
        <v>457.69</v>
      </c>
      <c r="J411" s="102"/>
      <c r="K411" s="48" t="s">
        <v>191</v>
      </c>
      <c r="L411" s="73" t="s">
        <v>865</v>
      </c>
      <c r="M411" s="81"/>
      <c r="N411" s="58">
        <f>VLOOKUP(E411,订单号!B:C,2,0)</f>
        <v>10502</v>
      </c>
      <c r="O411" s="35" t="e">
        <f>VLOOKUP(C411,领导干部!B:B,1,0)</f>
        <v>#N/A</v>
      </c>
    </row>
    <row r="412" customHeight="1" spans="1:15">
      <c r="A412" s="47">
        <f t="shared" si="12"/>
        <v>411</v>
      </c>
      <c r="B412" s="106" t="s">
        <v>424</v>
      </c>
      <c r="C412" s="49">
        <f>IFERROR(VLOOKUP(B412,[1]工程研发事业部人员名单!B:D,2,0),"")</f>
        <v>50317</v>
      </c>
      <c r="D412" s="50" t="str">
        <f>IFERROR(VLOOKUP(B412,[1]工程研发事业部人员名单!B:D,3,0),"")</f>
        <v>联络工程室</v>
      </c>
      <c r="E412" s="98" t="s">
        <v>191</v>
      </c>
      <c r="F412" s="52">
        <f t="shared" si="13"/>
        <v>331.564</v>
      </c>
      <c r="G412" s="53"/>
      <c r="H412" s="53"/>
      <c r="I412" s="70">
        <v>331.564</v>
      </c>
      <c r="J412" s="102"/>
      <c r="K412" s="48" t="s">
        <v>191</v>
      </c>
      <c r="L412" s="73" t="s">
        <v>865</v>
      </c>
      <c r="M412" s="81"/>
      <c r="N412" s="58">
        <f>VLOOKUP(E412,订单号!B:C,2,0)</f>
        <v>10502</v>
      </c>
      <c r="O412" s="35" t="e">
        <f>VLOOKUP(C412,领导干部!B:B,1,0)</f>
        <v>#N/A</v>
      </c>
    </row>
    <row r="413" customHeight="1" spans="1:15">
      <c r="A413" s="47">
        <f t="shared" si="12"/>
        <v>412</v>
      </c>
      <c r="B413" s="106" t="s">
        <v>369</v>
      </c>
      <c r="C413" s="49">
        <f>IFERROR(VLOOKUP(B413,[1]工程研发事业部人员名单!B:D,2,0),"")</f>
        <v>51665</v>
      </c>
      <c r="D413" s="50" t="str">
        <f>IFERROR(VLOOKUP(B413,[1]工程研发事业部人员名单!B:D,3,0),"")</f>
        <v>联络工程室</v>
      </c>
      <c r="E413" s="98" t="s">
        <v>191</v>
      </c>
      <c r="F413" s="52">
        <f t="shared" si="13"/>
        <v>224.55</v>
      </c>
      <c r="G413" s="53"/>
      <c r="H413" s="53"/>
      <c r="I413" s="70">
        <v>224.55</v>
      </c>
      <c r="J413" s="102"/>
      <c r="K413" s="48" t="s">
        <v>191</v>
      </c>
      <c r="L413" s="73" t="s">
        <v>869</v>
      </c>
      <c r="M413" s="81"/>
      <c r="N413" s="58">
        <f>VLOOKUP(E413,订单号!B:C,2,0)</f>
        <v>10502</v>
      </c>
      <c r="O413" s="35" t="e">
        <f>VLOOKUP(C413,领导干部!B:B,1,0)</f>
        <v>#N/A</v>
      </c>
    </row>
    <row r="414" customHeight="1" spans="1:15">
      <c r="A414" s="47">
        <f t="shared" si="12"/>
        <v>413</v>
      </c>
      <c r="B414" s="106" t="s">
        <v>450</v>
      </c>
      <c r="C414" s="49">
        <f>IFERROR(VLOOKUP(B414,[1]工程研发事业部人员名单!B:D,2,0),"")</f>
        <v>51570</v>
      </c>
      <c r="D414" s="50" t="str">
        <f>IFERROR(VLOOKUP(B414,[1]工程研发事业部人员名单!B:D,3,0),"")</f>
        <v>联络工程室</v>
      </c>
      <c r="E414" s="98" t="s">
        <v>191</v>
      </c>
      <c r="F414" s="52">
        <f t="shared" si="13"/>
        <v>270.25</v>
      </c>
      <c r="G414" s="53"/>
      <c r="H414" s="53"/>
      <c r="I414" s="70">
        <v>270.25</v>
      </c>
      <c r="J414" s="102"/>
      <c r="K414" s="48" t="s">
        <v>191</v>
      </c>
      <c r="L414" s="73" t="s">
        <v>869</v>
      </c>
      <c r="M414" s="81"/>
      <c r="N414" s="58">
        <f>VLOOKUP(E414,订单号!B:C,2,0)</f>
        <v>10502</v>
      </c>
      <c r="O414" s="35" t="e">
        <f>VLOOKUP(C414,领导干部!B:B,1,0)</f>
        <v>#N/A</v>
      </c>
    </row>
    <row r="415" customHeight="1" spans="1:15">
      <c r="A415" s="47">
        <f t="shared" si="12"/>
        <v>414</v>
      </c>
      <c r="B415" s="106" t="s">
        <v>222</v>
      </c>
      <c r="C415" s="49">
        <f>IFERROR(VLOOKUP(B415,[1]工程研发事业部人员名单!B:D,2,0),"")</f>
        <v>51576</v>
      </c>
      <c r="D415" s="50" t="str">
        <f>IFERROR(VLOOKUP(B415,[1]工程研发事业部人员名单!B:D,3,0),"")</f>
        <v>联络工程室</v>
      </c>
      <c r="E415" s="98" t="s">
        <v>191</v>
      </c>
      <c r="F415" s="52">
        <f t="shared" si="13"/>
        <v>227.25</v>
      </c>
      <c r="G415" s="53"/>
      <c r="H415" s="53"/>
      <c r="I415" s="70">
        <v>227.25</v>
      </c>
      <c r="J415" s="102"/>
      <c r="K415" s="48" t="s">
        <v>191</v>
      </c>
      <c r="L415" s="73" t="s">
        <v>869</v>
      </c>
      <c r="M415" s="81"/>
      <c r="N415" s="58">
        <f>VLOOKUP(E415,订单号!B:C,2,0)</f>
        <v>10502</v>
      </c>
      <c r="O415" s="35" t="e">
        <f>VLOOKUP(C415,领导干部!B:B,1,0)</f>
        <v>#N/A</v>
      </c>
    </row>
    <row r="416" customHeight="1" spans="1:15">
      <c r="A416" s="47">
        <f t="shared" si="12"/>
        <v>415</v>
      </c>
      <c r="B416" s="106" t="s">
        <v>432</v>
      </c>
      <c r="C416" s="49">
        <f>IFERROR(VLOOKUP(B416,[1]工程研发事业部人员名单!B:D,2,0),"")</f>
        <v>25599</v>
      </c>
      <c r="D416" s="50" t="str">
        <f>IFERROR(VLOOKUP(B416,[1]工程研发事业部人员名单!B:D,3,0),"")</f>
        <v>联络工程室</v>
      </c>
      <c r="E416" s="98" t="s">
        <v>191</v>
      </c>
      <c r="F416" s="52">
        <f t="shared" si="13"/>
        <v>376.21</v>
      </c>
      <c r="G416" s="53"/>
      <c r="H416" s="53"/>
      <c r="I416" s="70">
        <v>376.21</v>
      </c>
      <c r="J416" s="102"/>
      <c r="K416" s="48" t="s">
        <v>191</v>
      </c>
      <c r="L416" s="73" t="s">
        <v>862</v>
      </c>
      <c r="M416" s="81"/>
      <c r="N416" s="58">
        <f>VLOOKUP(E416,订单号!B:C,2,0)</f>
        <v>10502</v>
      </c>
      <c r="O416" s="35" t="e">
        <f>VLOOKUP(C416,领导干部!B:B,1,0)</f>
        <v>#N/A</v>
      </c>
    </row>
    <row r="417" customHeight="1" spans="1:15">
      <c r="A417" s="47">
        <f t="shared" si="12"/>
        <v>416</v>
      </c>
      <c r="B417" s="106" t="s">
        <v>690</v>
      </c>
      <c r="C417" s="49">
        <f>IFERROR(VLOOKUP(B417,[1]工程研发事业部人员名单!B:D,2,0),"")</f>
        <v>27680</v>
      </c>
      <c r="D417" s="50" t="str">
        <f>IFERROR(VLOOKUP(B417,[1]工程研发事业部人员名单!B:D,3,0),"")</f>
        <v>联络工程室</v>
      </c>
      <c r="E417" s="98" t="s">
        <v>191</v>
      </c>
      <c r="F417" s="52">
        <f t="shared" si="13"/>
        <v>384.4</v>
      </c>
      <c r="G417" s="53"/>
      <c r="H417" s="53"/>
      <c r="I417" s="70">
        <v>384.4</v>
      </c>
      <c r="J417" s="102"/>
      <c r="K417" s="48" t="s">
        <v>191</v>
      </c>
      <c r="L417" s="73" t="s">
        <v>862</v>
      </c>
      <c r="M417" s="81"/>
      <c r="N417" s="58">
        <f>VLOOKUP(E417,订单号!B:C,2,0)</f>
        <v>10502</v>
      </c>
      <c r="O417" s="35" t="e">
        <f>VLOOKUP(C417,领导干部!B:B,1,0)</f>
        <v>#N/A</v>
      </c>
    </row>
    <row r="418" customHeight="1" spans="1:15">
      <c r="A418" s="47">
        <f t="shared" si="12"/>
        <v>417</v>
      </c>
      <c r="B418" s="106" t="s">
        <v>242</v>
      </c>
      <c r="C418" s="49">
        <f>IFERROR(VLOOKUP(B418,[1]工程研发事业部人员名单!B:D,2,0),"")</f>
        <v>25549</v>
      </c>
      <c r="D418" s="50" t="str">
        <f>IFERROR(VLOOKUP(B418,[1]工程研发事业部人员名单!B:D,3,0),"")</f>
        <v>联络工程室</v>
      </c>
      <c r="E418" s="98" t="s">
        <v>191</v>
      </c>
      <c r="F418" s="52">
        <f t="shared" si="13"/>
        <v>384.69</v>
      </c>
      <c r="G418" s="53"/>
      <c r="H418" s="53"/>
      <c r="I418" s="70">
        <v>384.69</v>
      </c>
      <c r="J418" s="102"/>
      <c r="K418" s="48" t="s">
        <v>191</v>
      </c>
      <c r="L418" s="73" t="s">
        <v>862</v>
      </c>
      <c r="M418" s="81"/>
      <c r="N418" s="58">
        <f>VLOOKUP(E418,订单号!B:C,2,0)</f>
        <v>10502</v>
      </c>
      <c r="O418" s="35" t="e">
        <f>VLOOKUP(C418,领导干部!B:B,1,0)</f>
        <v>#N/A</v>
      </c>
    </row>
    <row r="419" customHeight="1" spans="1:15">
      <c r="A419" s="47">
        <f t="shared" si="12"/>
        <v>418</v>
      </c>
      <c r="B419" s="106" t="s">
        <v>409</v>
      </c>
      <c r="C419" s="49">
        <f>IFERROR(VLOOKUP(B419,[1]工程研发事业部人员名单!B:D,2,0),"")</f>
        <v>26621</v>
      </c>
      <c r="D419" s="50" t="str">
        <f>IFERROR(VLOOKUP(B419,[1]工程研发事业部人员名单!B:D,3,0),"")</f>
        <v>联络工程室</v>
      </c>
      <c r="E419" s="98" t="s">
        <v>191</v>
      </c>
      <c r="F419" s="52">
        <f t="shared" si="13"/>
        <v>366.72</v>
      </c>
      <c r="G419" s="53"/>
      <c r="H419" s="53"/>
      <c r="I419" s="70">
        <v>366.72</v>
      </c>
      <c r="J419" s="102"/>
      <c r="K419" s="48" t="s">
        <v>191</v>
      </c>
      <c r="L419" s="73" t="s">
        <v>862</v>
      </c>
      <c r="M419" s="81"/>
      <c r="N419" s="58">
        <f>VLOOKUP(E419,订单号!B:C,2,0)</f>
        <v>10502</v>
      </c>
      <c r="O419" s="35">
        <f>VLOOKUP(C419,领导干部!B:B,1,0)</f>
        <v>26621</v>
      </c>
    </row>
    <row r="420" customHeight="1" spans="1:15">
      <c r="A420" s="47">
        <f t="shared" si="12"/>
        <v>419</v>
      </c>
      <c r="B420" s="106" t="s">
        <v>412</v>
      </c>
      <c r="C420" s="49">
        <f>IFERROR(VLOOKUP(B420,[1]工程研发事业部人员名单!B:D,2,0),"")</f>
        <v>22250</v>
      </c>
      <c r="D420" s="50" t="str">
        <f>IFERROR(VLOOKUP(B420,[1]工程研发事业部人员名单!B:D,3,0),"")</f>
        <v>联络工程室</v>
      </c>
      <c r="E420" s="98" t="s">
        <v>191</v>
      </c>
      <c r="F420" s="52">
        <f t="shared" si="13"/>
        <v>358.92</v>
      </c>
      <c r="G420" s="53"/>
      <c r="H420" s="53"/>
      <c r="I420" s="70">
        <v>358.92</v>
      </c>
      <c r="J420" s="102"/>
      <c r="K420" s="48" t="s">
        <v>191</v>
      </c>
      <c r="L420" s="73" t="s">
        <v>862</v>
      </c>
      <c r="M420" s="81"/>
      <c r="N420" s="58">
        <f>VLOOKUP(E420,订单号!B:C,2,0)</f>
        <v>10502</v>
      </c>
      <c r="O420" s="35" t="e">
        <f>VLOOKUP(C420,领导干部!B:B,1,0)</f>
        <v>#N/A</v>
      </c>
    </row>
    <row r="421" customHeight="1" spans="1:15">
      <c r="A421" s="47">
        <f t="shared" si="12"/>
        <v>420</v>
      </c>
      <c r="B421" s="106" t="s">
        <v>232</v>
      </c>
      <c r="C421" s="49">
        <f>IFERROR(VLOOKUP(B421,[1]工程研发事业部人员名单!B:D,2,0),"")</f>
        <v>22253</v>
      </c>
      <c r="D421" s="50" t="str">
        <f>IFERROR(VLOOKUP(B421,[1]工程研发事业部人员名单!B:D,3,0),"")</f>
        <v>联络工程室</v>
      </c>
      <c r="E421" s="98" t="s">
        <v>191</v>
      </c>
      <c r="F421" s="52">
        <f t="shared" si="13"/>
        <v>293.6</v>
      </c>
      <c r="G421" s="53"/>
      <c r="H421" s="53"/>
      <c r="I421" s="70">
        <v>293.6</v>
      </c>
      <c r="J421" s="102"/>
      <c r="K421" s="48" t="s">
        <v>191</v>
      </c>
      <c r="L421" s="73" t="s">
        <v>862</v>
      </c>
      <c r="M421" s="81"/>
      <c r="N421" s="58">
        <f>VLOOKUP(E421,订单号!B:C,2,0)</f>
        <v>10502</v>
      </c>
      <c r="O421" s="35" t="e">
        <f>VLOOKUP(C421,领导干部!B:B,1,0)</f>
        <v>#N/A</v>
      </c>
    </row>
    <row r="422" customHeight="1" spans="1:15">
      <c r="A422" s="47">
        <f t="shared" si="12"/>
        <v>421</v>
      </c>
      <c r="B422" s="106" t="s">
        <v>248</v>
      </c>
      <c r="C422" s="49">
        <f>IFERROR(VLOOKUP(B422,[1]工程研发事业部人员名单!B:D,2,0),"")</f>
        <v>26688</v>
      </c>
      <c r="D422" s="50" t="str">
        <f>IFERROR(VLOOKUP(B422,[1]工程研发事业部人员名单!B:D,3,0),"")</f>
        <v>联络工程室</v>
      </c>
      <c r="E422" s="98" t="s">
        <v>191</v>
      </c>
      <c r="F422" s="52">
        <f t="shared" si="13"/>
        <v>378.85</v>
      </c>
      <c r="G422" s="53"/>
      <c r="H422" s="53"/>
      <c r="I422" s="70">
        <v>378.85</v>
      </c>
      <c r="J422" s="102"/>
      <c r="K422" s="48" t="s">
        <v>191</v>
      </c>
      <c r="L422" s="73" t="s">
        <v>862</v>
      </c>
      <c r="M422" s="81"/>
      <c r="N422" s="58">
        <f>VLOOKUP(E422,订单号!B:C,2,0)</f>
        <v>10502</v>
      </c>
      <c r="O422" s="35" t="e">
        <f>VLOOKUP(C422,领导干部!B:B,1,0)</f>
        <v>#N/A</v>
      </c>
    </row>
    <row r="423" customHeight="1" spans="1:15">
      <c r="A423" s="47">
        <f t="shared" si="12"/>
        <v>422</v>
      </c>
      <c r="B423" s="106" t="s">
        <v>417</v>
      </c>
      <c r="C423" s="49">
        <f>IFERROR(VLOOKUP(B423,[1]工程研发事业部人员名单!B:D,2,0),"")</f>
        <v>27106</v>
      </c>
      <c r="D423" s="50" t="str">
        <f>IFERROR(VLOOKUP(B423,[1]工程研发事业部人员名单!B:D,3,0),"")</f>
        <v>联络工程室</v>
      </c>
      <c r="E423" s="98" t="s">
        <v>191</v>
      </c>
      <c r="F423" s="52">
        <f t="shared" si="13"/>
        <v>375.81</v>
      </c>
      <c r="G423" s="53"/>
      <c r="H423" s="53"/>
      <c r="I423" s="70">
        <v>375.81</v>
      </c>
      <c r="J423" s="102"/>
      <c r="K423" s="48" t="s">
        <v>191</v>
      </c>
      <c r="L423" s="73" t="s">
        <v>862</v>
      </c>
      <c r="M423" s="81"/>
      <c r="N423" s="58">
        <f>VLOOKUP(E423,订单号!B:C,2,0)</f>
        <v>10502</v>
      </c>
      <c r="O423" s="35" t="e">
        <f>VLOOKUP(C423,领导干部!B:B,1,0)</f>
        <v>#N/A</v>
      </c>
    </row>
    <row r="424" customHeight="1" spans="1:15">
      <c r="A424" s="47">
        <f t="shared" si="12"/>
        <v>423</v>
      </c>
      <c r="B424" s="106" t="s">
        <v>318</v>
      </c>
      <c r="C424" s="49">
        <f>IFERROR(VLOOKUP(B424,[1]工程研发事业部人员名单!B:D,2,0),"")</f>
        <v>25603</v>
      </c>
      <c r="D424" s="50" t="str">
        <f>IFERROR(VLOOKUP(B424,[1]工程研发事业部人员名单!B:D,3,0),"")</f>
        <v>联络工程室</v>
      </c>
      <c r="E424" s="98" t="s">
        <v>191</v>
      </c>
      <c r="F424" s="52">
        <f t="shared" si="13"/>
        <v>291.5</v>
      </c>
      <c r="G424" s="53"/>
      <c r="H424" s="53"/>
      <c r="I424" s="70">
        <v>291.5</v>
      </c>
      <c r="J424" s="102"/>
      <c r="K424" s="48" t="s">
        <v>191</v>
      </c>
      <c r="L424" s="73" t="s">
        <v>862</v>
      </c>
      <c r="M424" s="81"/>
      <c r="N424" s="58">
        <f>VLOOKUP(E424,订单号!B:C,2,0)</f>
        <v>10502</v>
      </c>
      <c r="O424" s="35" t="e">
        <f>VLOOKUP(C424,领导干部!B:B,1,0)</f>
        <v>#N/A</v>
      </c>
    </row>
    <row r="425" customHeight="1" spans="1:15">
      <c r="A425" s="47">
        <f t="shared" si="12"/>
        <v>424</v>
      </c>
      <c r="B425" s="106" t="s">
        <v>386</v>
      </c>
      <c r="C425" s="49">
        <f>IFERROR(VLOOKUP(B425,[1]工程研发事业部人员名单!B:D,2,0),"")</f>
        <v>17090</v>
      </c>
      <c r="D425" s="50" t="str">
        <f>IFERROR(VLOOKUP(B425,[1]工程研发事业部人员名单!B:D,3,0),"")</f>
        <v>联络工程室</v>
      </c>
      <c r="E425" s="98" t="s">
        <v>191</v>
      </c>
      <c r="F425" s="52">
        <f t="shared" si="13"/>
        <v>292</v>
      </c>
      <c r="G425" s="53"/>
      <c r="H425" s="53"/>
      <c r="I425" s="70">
        <v>292</v>
      </c>
      <c r="J425" s="102"/>
      <c r="K425" s="48" t="s">
        <v>191</v>
      </c>
      <c r="L425" s="73" t="s">
        <v>862</v>
      </c>
      <c r="M425" s="81"/>
      <c r="N425" s="58">
        <f>VLOOKUP(E425,订单号!B:C,2,0)</f>
        <v>10502</v>
      </c>
      <c r="O425" s="35" t="e">
        <f>VLOOKUP(C425,领导干部!B:B,1,0)</f>
        <v>#N/A</v>
      </c>
    </row>
    <row r="426" customHeight="1" spans="1:15">
      <c r="A426" s="47">
        <f t="shared" si="12"/>
        <v>425</v>
      </c>
      <c r="B426" s="106" t="s">
        <v>258</v>
      </c>
      <c r="C426" s="49">
        <f>IFERROR(VLOOKUP(B426,[1]工程研发事业部人员名单!B:D,2,0),"")</f>
        <v>25601</v>
      </c>
      <c r="D426" s="50" t="str">
        <f>IFERROR(VLOOKUP(B426,[1]工程研发事业部人员名单!B:D,3,0),"")</f>
        <v>联络工程室</v>
      </c>
      <c r="E426" s="98" t="s">
        <v>191</v>
      </c>
      <c r="F426" s="52">
        <f t="shared" si="13"/>
        <v>0</v>
      </c>
      <c r="G426" s="53"/>
      <c r="H426" s="53"/>
      <c r="I426" s="70">
        <v>0</v>
      </c>
      <c r="J426" s="102"/>
      <c r="K426" s="48" t="s">
        <v>191</v>
      </c>
      <c r="L426" s="73" t="s">
        <v>862</v>
      </c>
      <c r="M426" s="81"/>
      <c r="N426" s="58">
        <f>VLOOKUP(E426,订单号!B:C,2,0)</f>
        <v>10502</v>
      </c>
      <c r="O426" s="35" t="e">
        <f>VLOOKUP(C426,领导干部!B:B,1,0)</f>
        <v>#N/A</v>
      </c>
    </row>
    <row r="427" customHeight="1" spans="1:15">
      <c r="A427" s="47">
        <f t="shared" si="12"/>
        <v>426</v>
      </c>
      <c r="B427" s="106" t="s">
        <v>421</v>
      </c>
      <c r="C427" s="49">
        <f>IFERROR(VLOOKUP(B427,[1]工程研发事业部人员名单!B:D,2,0),"")</f>
        <v>26654</v>
      </c>
      <c r="D427" s="50" t="str">
        <f>IFERROR(VLOOKUP(B427,[1]工程研发事业部人员名单!B:D,3,0),"")</f>
        <v>联络工程室</v>
      </c>
      <c r="E427" s="98" t="s">
        <v>191</v>
      </c>
      <c r="F427" s="52">
        <f t="shared" si="13"/>
        <v>0</v>
      </c>
      <c r="G427" s="53"/>
      <c r="H427" s="53"/>
      <c r="I427" s="70">
        <v>0</v>
      </c>
      <c r="J427" s="102"/>
      <c r="K427" s="48" t="s">
        <v>191</v>
      </c>
      <c r="L427" s="73" t="s">
        <v>862</v>
      </c>
      <c r="M427" s="81" t="s">
        <v>870</v>
      </c>
      <c r="N427" s="58">
        <f>VLOOKUP(E427,订单号!B:C,2,0)</f>
        <v>10502</v>
      </c>
      <c r="O427" s="35" t="e">
        <f>VLOOKUP(C427,领导干部!B:B,1,0)</f>
        <v>#N/A</v>
      </c>
    </row>
    <row r="428" customHeight="1" spans="1:15">
      <c r="A428" s="47">
        <f t="shared" si="12"/>
        <v>427</v>
      </c>
      <c r="B428" s="106" t="s">
        <v>451</v>
      </c>
      <c r="C428" s="49">
        <f>IFERROR(VLOOKUP(B428,[1]工程研发事业部人员名单!B:D,2,0),"")</f>
        <v>50245</v>
      </c>
      <c r="D428" s="50" t="str">
        <f>IFERROR(VLOOKUP(B428,[1]工程研发事业部人员名单!B:D,3,0),"")</f>
        <v>综合技术室</v>
      </c>
      <c r="E428" s="98" t="s">
        <v>191</v>
      </c>
      <c r="F428" s="52">
        <f t="shared" si="13"/>
        <v>150</v>
      </c>
      <c r="G428" s="53"/>
      <c r="H428" s="53"/>
      <c r="I428" s="64">
        <v>150</v>
      </c>
      <c r="J428" s="53"/>
      <c r="K428" s="57"/>
      <c r="L428" s="57"/>
      <c r="M428" s="58" t="s">
        <v>871</v>
      </c>
      <c r="N428" s="58">
        <f>VLOOKUP(E428,订单号!B:C,2,0)</f>
        <v>10502</v>
      </c>
      <c r="O428" s="35" t="e">
        <f>VLOOKUP(C428,领导干部!B:B,1,0)</f>
        <v>#N/A</v>
      </c>
    </row>
    <row r="429" customHeight="1" spans="1:15">
      <c r="A429" s="47">
        <f t="shared" si="12"/>
        <v>428</v>
      </c>
      <c r="B429" s="106" t="s">
        <v>687</v>
      </c>
      <c r="C429" s="49" t="str">
        <f>IFERROR(VLOOKUP(B429,[1]工程研发事业部人员名单!B:D,2,0),"")</f>
        <v>02501</v>
      </c>
      <c r="D429" s="50" t="str">
        <f>IFERROR(VLOOKUP(B429,[1]工程研发事业部人员名单!B:D,3,0),"")</f>
        <v>综合技术室</v>
      </c>
      <c r="E429" s="98" t="s">
        <v>191</v>
      </c>
      <c r="F429" s="52">
        <f t="shared" si="13"/>
        <v>157.5</v>
      </c>
      <c r="G429" s="53"/>
      <c r="H429" s="53"/>
      <c r="I429" s="64">
        <v>157.5</v>
      </c>
      <c r="J429" s="53"/>
      <c r="K429" s="57"/>
      <c r="L429" s="57"/>
      <c r="M429" s="59" t="s">
        <v>872</v>
      </c>
      <c r="N429" s="58">
        <f>VLOOKUP(E429,订单号!B:C,2,0)</f>
        <v>10502</v>
      </c>
      <c r="O429" s="35" t="e">
        <f>VLOOKUP(C429,领导干部!B:B,1,0)</f>
        <v>#N/A</v>
      </c>
    </row>
    <row r="430" customHeight="1" spans="1:15">
      <c r="A430" s="47">
        <f t="shared" si="12"/>
        <v>429</v>
      </c>
      <c r="B430" s="106" t="s">
        <v>514</v>
      </c>
      <c r="C430" s="49">
        <f>IFERROR(VLOOKUP(B430,[1]工程研发事业部人员名单!B:D,2,0),"")</f>
        <v>17787</v>
      </c>
      <c r="D430" s="50" t="str">
        <f>IFERROR(VLOOKUP(B430,[1]工程研发事业部人员名单!B:D,3,0),"")</f>
        <v>综合技术室</v>
      </c>
      <c r="E430" s="98" t="s">
        <v>191</v>
      </c>
      <c r="F430" s="52">
        <f t="shared" si="13"/>
        <v>145.5</v>
      </c>
      <c r="G430" s="53"/>
      <c r="H430" s="53"/>
      <c r="I430" s="64">
        <v>145.5</v>
      </c>
      <c r="J430" s="53"/>
      <c r="K430" s="57"/>
      <c r="L430" s="57"/>
      <c r="M430" s="59" t="s">
        <v>873</v>
      </c>
      <c r="N430" s="58">
        <f>VLOOKUP(E430,订单号!B:C,2,0)</f>
        <v>10502</v>
      </c>
      <c r="O430" s="35" t="e">
        <f>VLOOKUP(C430,领导干部!B:B,1,0)</f>
        <v>#N/A</v>
      </c>
    </row>
    <row r="431" customHeight="1" spans="1:15">
      <c r="A431" s="47">
        <f t="shared" si="12"/>
        <v>430</v>
      </c>
      <c r="B431" s="106" t="s">
        <v>389</v>
      </c>
      <c r="C431" s="49">
        <f>IFERROR(VLOOKUP(B431,[1]工程研发事业部人员名单!B:D,2,0),"")</f>
        <v>22291</v>
      </c>
      <c r="D431" s="50" t="str">
        <f>IFERROR(VLOOKUP(B431,[1]工程研发事业部人员名单!B:D,3,0),"")</f>
        <v>综合技术室</v>
      </c>
      <c r="E431" s="98" t="s">
        <v>191</v>
      </c>
      <c r="F431" s="52">
        <f t="shared" si="13"/>
        <v>34.7</v>
      </c>
      <c r="G431" s="53"/>
      <c r="H431" s="53"/>
      <c r="I431" s="64">
        <v>34.7</v>
      </c>
      <c r="J431" s="53"/>
      <c r="K431" s="57"/>
      <c r="L431" s="57"/>
      <c r="M431" s="59" t="s">
        <v>874</v>
      </c>
      <c r="N431" s="58">
        <f>VLOOKUP(E431,订单号!B:C,2,0)</f>
        <v>10502</v>
      </c>
      <c r="O431" s="35" t="e">
        <f>VLOOKUP(C431,领导干部!B:B,1,0)</f>
        <v>#N/A</v>
      </c>
    </row>
    <row r="432" customHeight="1" spans="1:15">
      <c r="A432" s="47">
        <f t="shared" si="12"/>
        <v>431</v>
      </c>
      <c r="B432" s="107" t="s">
        <v>674</v>
      </c>
      <c r="C432" s="49">
        <f>IFERROR(VLOOKUP(B432,[1]工程研发事业部人员名单!B:D,2,0),"")</f>
        <v>51202</v>
      </c>
      <c r="D432" s="50" t="str">
        <f>IFERROR(VLOOKUP(B432,[1]工程研发事业部人员名单!B:D,3,0),"")</f>
        <v>综合技术室</v>
      </c>
      <c r="E432" s="98" t="s">
        <v>191</v>
      </c>
      <c r="F432" s="52">
        <f t="shared" si="13"/>
        <v>150.5</v>
      </c>
      <c r="G432" s="53"/>
      <c r="H432" s="53"/>
      <c r="I432" s="64">
        <v>150.5</v>
      </c>
      <c r="J432" s="53"/>
      <c r="K432" s="57"/>
      <c r="L432" s="57"/>
      <c r="M432" s="59" t="s">
        <v>874</v>
      </c>
      <c r="N432" s="58">
        <f>VLOOKUP(E432,订单号!B:C,2,0)</f>
        <v>10502</v>
      </c>
      <c r="O432" s="35">
        <f>VLOOKUP(C432,领导干部!B:B,1,0)</f>
        <v>51202</v>
      </c>
    </row>
    <row r="433" customHeight="1" spans="1:15">
      <c r="A433" s="47">
        <f t="shared" si="12"/>
        <v>432</v>
      </c>
      <c r="B433" s="107" t="s">
        <v>429</v>
      </c>
      <c r="C433" s="49">
        <f>IFERROR(VLOOKUP(B433,[1]工程研发事业部人员名单!B:D,2,0),"")</f>
        <v>51226</v>
      </c>
      <c r="D433" s="50" t="str">
        <f>IFERROR(VLOOKUP(B433,[1]工程研发事业部人员名单!B:D,3,0),"")</f>
        <v>综合技术室</v>
      </c>
      <c r="E433" s="98" t="s">
        <v>191</v>
      </c>
      <c r="F433" s="52">
        <f t="shared" si="13"/>
        <v>154</v>
      </c>
      <c r="G433" s="53"/>
      <c r="H433" s="53"/>
      <c r="I433" s="64">
        <v>154</v>
      </c>
      <c r="J433" s="53"/>
      <c r="K433" s="57"/>
      <c r="L433" s="57"/>
      <c r="M433" s="59" t="s">
        <v>875</v>
      </c>
      <c r="N433" s="58">
        <f>VLOOKUP(E433,订单号!B:C,2,0)</f>
        <v>10502</v>
      </c>
      <c r="O433" s="35" t="e">
        <f>VLOOKUP(C433,领导干部!B:B,1,0)</f>
        <v>#N/A</v>
      </c>
    </row>
    <row r="434" customHeight="1" spans="1:15">
      <c r="A434" s="47">
        <f t="shared" si="12"/>
        <v>433</v>
      </c>
      <c r="B434" s="107" t="s">
        <v>691</v>
      </c>
      <c r="C434" s="49">
        <f>IFERROR(VLOOKUP(B434,[1]工程研发事业部人员名单!B:D,2,0),"")</f>
        <v>52027</v>
      </c>
      <c r="D434" s="50" t="str">
        <f>IFERROR(VLOOKUP(B434,[1]工程研发事业部人员名单!B:D,3,0),"")</f>
        <v>综合技术室</v>
      </c>
      <c r="E434" s="98" t="s">
        <v>191</v>
      </c>
      <c r="F434" s="52">
        <f t="shared" si="13"/>
        <v>146</v>
      </c>
      <c r="G434" s="53"/>
      <c r="H434" s="53"/>
      <c r="I434" s="64">
        <v>146</v>
      </c>
      <c r="J434" s="53"/>
      <c r="K434" s="57"/>
      <c r="L434" s="57"/>
      <c r="M434" s="59" t="s">
        <v>875</v>
      </c>
      <c r="N434" s="58">
        <f>VLOOKUP(E434,订单号!B:C,2,0)</f>
        <v>10502</v>
      </c>
      <c r="O434" s="35" t="e">
        <f>VLOOKUP(C434,领导干部!B:B,1,0)</f>
        <v>#N/A</v>
      </c>
    </row>
    <row r="435" customHeight="1" spans="1:15">
      <c r="A435" s="47">
        <f t="shared" si="12"/>
        <v>434</v>
      </c>
      <c r="B435" s="107" t="s">
        <v>388</v>
      </c>
      <c r="C435" s="49">
        <f>IFERROR(VLOOKUP(B435,[1]工程研发事业部人员名单!B:D,2,0),"")</f>
        <v>50864</v>
      </c>
      <c r="D435" s="50" t="str">
        <f>IFERROR(VLOOKUP(B435,[1]工程研发事业部人员名单!B:D,3,0),"")</f>
        <v>综合技术室</v>
      </c>
      <c r="E435" s="98" t="s">
        <v>191</v>
      </c>
      <c r="F435" s="52">
        <f t="shared" si="13"/>
        <v>58</v>
      </c>
      <c r="G435" s="53"/>
      <c r="H435" s="53"/>
      <c r="I435" s="64">
        <v>58</v>
      </c>
      <c r="J435" s="53"/>
      <c r="K435" s="57"/>
      <c r="L435" s="57"/>
      <c r="M435" s="59" t="s">
        <v>876</v>
      </c>
      <c r="N435" s="58">
        <f>VLOOKUP(E435,订单号!B:C,2,0)</f>
        <v>10502</v>
      </c>
      <c r="O435" s="35" t="e">
        <f>VLOOKUP(C435,领导干部!B:B,1,0)</f>
        <v>#N/A</v>
      </c>
    </row>
    <row r="436" customHeight="1" spans="1:15">
      <c r="A436" s="47">
        <f t="shared" si="12"/>
        <v>435</v>
      </c>
      <c r="B436" s="107" t="s">
        <v>453</v>
      </c>
      <c r="C436" s="49">
        <f>IFERROR(VLOOKUP(B436,[1]工程研发事业部人员名单!B:D,2,0),"")</f>
        <v>26828</v>
      </c>
      <c r="D436" s="50" t="str">
        <f>IFERROR(VLOOKUP(B436,[1]工程研发事业部人员名单!B:D,3,0),"")</f>
        <v>综合技术室</v>
      </c>
      <c r="E436" s="98" t="s">
        <v>191</v>
      </c>
      <c r="F436" s="52">
        <f t="shared" si="13"/>
        <v>67.5</v>
      </c>
      <c r="G436" s="53"/>
      <c r="H436" s="53"/>
      <c r="I436" s="64">
        <v>67.5</v>
      </c>
      <c r="J436" s="53"/>
      <c r="K436" s="57"/>
      <c r="L436" s="57"/>
      <c r="M436" s="59" t="s">
        <v>877</v>
      </c>
      <c r="N436" s="58">
        <f>VLOOKUP(E436,订单号!B:C,2,0)</f>
        <v>10502</v>
      </c>
      <c r="O436" s="35" t="e">
        <f>VLOOKUP(C436,领导干部!B:B,1,0)</f>
        <v>#N/A</v>
      </c>
    </row>
    <row r="437" customHeight="1" spans="1:15">
      <c r="A437" s="47">
        <f t="shared" si="12"/>
        <v>436</v>
      </c>
      <c r="B437" s="107" t="s">
        <v>399</v>
      </c>
      <c r="C437" s="49">
        <f>IFERROR(VLOOKUP(B437,[1]工程研发事业部人员名单!B:D,2,0),"")</f>
        <v>27100</v>
      </c>
      <c r="D437" s="50" t="str">
        <f>IFERROR(VLOOKUP(B437,[1]工程研发事业部人员名单!B:D,3,0),"")</f>
        <v>综合技术室</v>
      </c>
      <c r="E437" s="98" t="s">
        <v>191</v>
      </c>
      <c r="F437" s="52">
        <f t="shared" si="13"/>
        <v>64.5</v>
      </c>
      <c r="G437" s="53"/>
      <c r="H437" s="53"/>
      <c r="I437" s="64">
        <v>64.5</v>
      </c>
      <c r="J437" s="53"/>
      <c r="K437" s="57"/>
      <c r="L437" s="57"/>
      <c r="M437" s="59" t="s">
        <v>877</v>
      </c>
      <c r="N437" s="58">
        <f>VLOOKUP(E437,订单号!B:C,2,0)</f>
        <v>10502</v>
      </c>
      <c r="O437" s="35" t="e">
        <f>VLOOKUP(C437,领导干部!B:B,1,0)</f>
        <v>#N/A</v>
      </c>
    </row>
    <row r="438" customHeight="1" spans="1:15">
      <c r="A438" s="47">
        <f t="shared" si="12"/>
        <v>437</v>
      </c>
      <c r="B438" s="107" t="s">
        <v>405</v>
      </c>
      <c r="C438" s="49">
        <f>IFERROR(VLOOKUP(B438,[1]工程研发事业部人员名单!B:D,2,0),"")</f>
        <v>50686</v>
      </c>
      <c r="D438" s="50" t="str">
        <f>IFERROR(VLOOKUP(B438,[1]工程研发事业部人员名单!B:D,3,0),"")</f>
        <v>综合技术室</v>
      </c>
      <c r="E438" s="98" t="s">
        <v>191</v>
      </c>
      <c r="F438" s="52">
        <f t="shared" si="13"/>
        <v>157</v>
      </c>
      <c r="G438" s="53"/>
      <c r="H438" s="53"/>
      <c r="I438" s="64">
        <v>157</v>
      </c>
      <c r="J438" s="53"/>
      <c r="K438" s="57"/>
      <c r="L438" s="57"/>
      <c r="M438" s="59" t="s">
        <v>875</v>
      </c>
      <c r="N438" s="58">
        <f>VLOOKUP(E438,订单号!B:C,2,0)</f>
        <v>10502</v>
      </c>
      <c r="O438" s="35" t="e">
        <f>VLOOKUP(C438,领导干部!B:B,1,0)</f>
        <v>#N/A</v>
      </c>
    </row>
    <row r="439" customHeight="1" spans="1:15">
      <c r="A439" s="47">
        <f t="shared" si="12"/>
        <v>438</v>
      </c>
      <c r="B439" s="107" t="s">
        <v>249</v>
      </c>
      <c r="C439" s="49">
        <f>IFERROR(VLOOKUP(B439,[1]工程研发事业部人员名单!B:D,2,0),"")</f>
        <v>51160</v>
      </c>
      <c r="D439" s="50" t="str">
        <f>IFERROR(VLOOKUP(B439,[1]工程研发事业部人员名单!B:D,3,0),"")</f>
        <v>综合技术室</v>
      </c>
      <c r="E439" s="98" t="s">
        <v>191</v>
      </c>
      <c r="F439" s="52">
        <f t="shared" si="13"/>
        <v>149</v>
      </c>
      <c r="G439" s="53"/>
      <c r="H439" s="53"/>
      <c r="I439" s="64">
        <v>149</v>
      </c>
      <c r="J439" s="53"/>
      <c r="K439" s="57"/>
      <c r="L439" s="57"/>
      <c r="M439" s="59" t="s">
        <v>875</v>
      </c>
      <c r="N439" s="58">
        <f>VLOOKUP(E439,订单号!B:C,2,0)</f>
        <v>10502</v>
      </c>
      <c r="O439" s="35" t="e">
        <f>VLOOKUP(C439,领导干部!B:B,1,0)</f>
        <v>#N/A</v>
      </c>
    </row>
    <row r="440" customHeight="1" spans="1:15">
      <c r="A440" s="47">
        <f t="shared" si="12"/>
        <v>439</v>
      </c>
      <c r="B440" s="107" t="s">
        <v>332</v>
      </c>
      <c r="C440" s="49">
        <f>IFERROR(VLOOKUP(B440,[1]工程研发事业部人员名单!B:D,2,0),"")</f>
        <v>51151</v>
      </c>
      <c r="D440" s="50" t="str">
        <f>IFERROR(VLOOKUP(B440,[1]工程研发事业部人员名单!B:D,3,0),"")</f>
        <v>综合技术室</v>
      </c>
      <c r="E440" s="98" t="s">
        <v>191</v>
      </c>
      <c r="F440" s="52">
        <f t="shared" si="13"/>
        <v>127</v>
      </c>
      <c r="G440" s="53"/>
      <c r="H440" s="53"/>
      <c r="I440" s="64">
        <v>127</v>
      </c>
      <c r="J440" s="53"/>
      <c r="K440" s="57"/>
      <c r="L440" s="57"/>
      <c r="M440" s="59" t="s">
        <v>875</v>
      </c>
      <c r="N440" s="58">
        <f>VLOOKUP(E440,订单号!B:C,2,0)</f>
        <v>10502</v>
      </c>
      <c r="O440" s="35" t="e">
        <f>VLOOKUP(C440,领导干部!B:B,1,0)</f>
        <v>#N/A</v>
      </c>
    </row>
    <row r="441" customHeight="1" spans="1:15">
      <c r="A441" s="47">
        <f t="shared" si="12"/>
        <v>440</v>
      </c>
      <c r="B441" s="107" t="s">
        <v>300</v>
      </c>
      <c r="C441" s="49">
        <f>IFERROR(VLOOKUP(B441,[1]工程研发事业部人员名单!B:D,2,0),"")</f>
        <v>51429</v>
      </c>
      <c r="D441" s="50" t="str">
        <f>IFERROR(VLOOKUP(B441,[1]工程研发事业部人员名单!B:D,3,0),"")</f>
        <v>综合技术室</v>
      </c>
      <c r="E441" s="98" t="s">
        <v>191</v>
      </c>
      <c r="F441" s="52">
        <f t="shared" si="13"/>
        <v>150.5</v>
      </c>
      <c r="G441" s="53"/>
      <c r="H441" s="53"/>
      <c r="I441" s="64">
        <v>150.5</v>
      </c>
      <c r="J441" s="53"/>
      <c r="K441" s="57"/>
      <c r="L441" s="57"/>
      <c r="M441" s="59" t="s">
        <v>874</v>
      </c>
      <c r="N441" s="58">
        <f>VLOOKUP(E441,订单号!B:C,2,0)</f>
        <v>10502</v>
      </c>
      <c r="O441" s="35" t="e">
        <f>VLOOKUP(C441,领导干部!B:B,1,0)</f>
        <v>#N/A</v>
      </c>
    </row>
    <row r="442" customHeight="1" spans="1:15">
      <c r="A442" s="47">
        <f t="shared" si="12"/>
        <v>441</v>
      </c>
      <c r="B442" s="107" t="s">
        <v>220</v>
      </c>
      <c r="C442" s="49">
        <f>IFERROR(VLOOKUP(B442,[1]工程研发事业部人员名单!B:D,2,0),"")</f>
        <v>51405</v>
      </c>
      <c r="D442" s="50" t="str">
        <f>IFERROR(VLOOKUP(B442,[1]工程研发事业部人员名单!B:D,3,0),"")</f>
        <v>综合技术室</v>
      </c>
      <c r="E442" s="98" t="s">
        <v>191</v>
      </c>
      <c r="F442" s="52">
        <f t="shared" si="13"/>
        <v>138.17</v>
      </c>
      <c r="G442" s="53"/>
      <c r="H442" s="53"/>
      <c r="I442" s="64">
        <v>138.17</v>
      </c>
      <c r="J442" s="53"/>
      <c r="K442" s="57"/>
      <c r="L442" s="57"/>
      <c r="M442" s="59" t="s">
        <v>874</v>
      </c>
      <c r="N442" s="58">
        <f>VLOOKUP(E442,订单号!B:C,2,0)</f>
        <v>10502</v>
      </c>
      <c r="O442" s="35" t="e">
        <f>VLOOKUP(C442,领导干部!B:B,1,0)</f>
        <v>#N/A</v>
      </c>
    </row>
    <row r="443" customHeight="1" spans="1:15">
      <c r="A443" s="47">
        <f t="shared" si="12"/>
        <v>442</v>
      </c>
      <c r="B443" s="107" t="s">
        <v>669</v>
      </c>
      <c r="C443" s="49">
        <f>IFERROR(VLOOKUP(B443,[1]工程研发事业部人员名单!B:D,2,0),"")</f>
        <v>50029</v>
      </c>
      <c r="D443" s="50" t="str">
        <f>IFERROR(VLOOKUP(B443,[1]工程研发事业部人员名单!B:D,3,0),"")</f>
        <v>综合技术室</v>
      </c>
      <c r="E443" s="98" t="s">
        <v>191</v>
      </c>
      <c r="F443" s="52">
        <f t="shared" si="13"/>
        <v>157.5</v>
      </c>
      <c r="G443" s="53"/>
      <c r="H443" s="53"/>
      <c r="I443" s="64">
        <v>157.5</v>
      </c>
      <c r="J443" s="53"/>
      <c r="K443" s="57"/>
      <c r="L443" s="57"/>
      <c r="M443" s="59" t="s">
        <v>878</v>
      </c>
      <c r="N443" s="58">
        <f>VLOOKUP(E443,订单号!B:C,2,0)</f>
        <v>10502</v>
      </c>
      <c r="O443" s="35" t="e">
        <f>VLOOKUP(C443,领导干部!B:B,1,0)</f>
        <v>#N/A</v>
      </c>
    </row>
    <row r="444" customHeight="1" spans="1:15">
      <c r="A444" s="47">
        <f t="shared" si="12"/>
        <v>443</v>
      </c>
      <c r="B444" s="48" t="s">
        <v>681</v>
      </c>
      <c r="C444" s="49">
        <f>IFERROR(VLOOKUP(B444,[1]工程研发事业部人员名单!B:D,2,0),"")</f>
        <v>51188</v>
      </c>
      <c r="D444" s="50" t="str">
        <f>IFERROR(VLOOKUP(B444,[1]工程研发事业部人员名单!B:D,3,0),"")</f>
        <v>强度室</v>
      </c>
      <c r="E444" s="98" t="s">
        <v>187</v>
      </c>
      <c r="F444" s="52">
        <f t="shared" si="13"/>
        <v>284.4</v>
      </c>
      <c r="G444" s="53"/>
      <c r="H444" s="53"/>
      <c r="I444" s="53">
        <v>284.4</v>
      </c>
      <c r="J444" s="53"/>
      <c r="K444" s="57"/>
      <c r="L444" s="57"/>
      <c r="M444" s="81"/>
      <c r="N444" s="58" t="e">
        <f>VLOOKUP(E444,订单号!B:C,2,0)</f>
        <v>#N/A</v>
      </c>
      <c r="O444" s="35">
        <f>VLOOKUP(C444,领导干部!B:B,1,0)</f>
        <v>51188</v>
      </c>
    </row>
    <row r="445" customHeight="1" spans="1:15">
      <c r="A445" s="47">
        <f t="shared" si="12"/>
        <v>444</v>
      </c>
      <c r="B445" s="48" t="s">
        <v>228</v>
      </c>
      <c r="C445" s="49">
        <f>IFERROR(VLOOKUP(B445,[1]工程研发事业部人员名单!B:D,2,0),"")</f>
        <v>51181</v>
      </c>
      <c r="D445" s="50" t="str">
        <f>IFERROR(VLOOKUP(B445,[1]工程研发事业部人员名单!B:D,3,0),"")</f>
        <v>强度室</v>
      </c>
      <c r="E445" s="98" t="s">
        <v>187</v>
      </c>
      <c r="F445" s="52">
        <f t="shared" si="13"/>
        <v>50</v>
      </c>
      <c r="G445" s="53"/>
      <c r="H445" s="53"/>
      <c r="I445" s="53">
        <v>50</v>
      </c>
      <c r="J445" s="53"/>
      <c r="K445" s="57"/>
      <c r="L445" s="57"/>
      <c r="M445" s="81"/>
      <c r="N445" s="58" t="e">
        <f>VLOOKUP(E445,订单号!B:C,2,0)</f>
        <v>#N/A</v>
      </c>
      <c r="O445" s="35" t="e">
        <f>VLOOKUP(C445,领导干部!B:B,1,0)</f>
        <v>#N/A</v>
      </c>
    </row>
    <row r="446" customHeight="1" spans="1:15">
      <c r="A446" s="47">
        <f t="shared" si="12"/>
        <v>445</v>
      </c>
      <c r="B446" s="48" t="s">
        <v>453</v>
      </c>
      <c r="C446" s="49">
        <f>IFERROR(VLOOKUP(B446,[1]工程研发事业部人员名单!B:D,2,0),"")</f>
        <v>26828</v>
      </c>
      <c r="D446" s="50" t="str">
        <f>IFERROR(VLOOKUP(B446,[1]工程研发事业部人员名单!B:D,3,0),"")</f>
        <v>综合技术室</v>
      </c>
      <c r="E446" s="98" t="s">
        <v>187</v>
      </c>
      <c r="F446" s="52">
        <f t="shared" si="13"/>
        <v>15</v>
      </c>
      <c r="G446" s="53"/>
      <c r="H446" s="53"/>
      <c r="I446" s="53">
        <v>15</v>
      </c>
      <c r="J446" s="53"/>
      <c r="K446" s="57"/>
      <c r="L446" s="57"/>
      <c r="M446" s="81"/>
      <c r="N446" s="58" t="e">
        <f>VLOOKUP(E446,订单号!B:C,2,0)</f>
        <v>#N/A</v>
      </c>
      <c r="O446" s="35" t="e">
        <f>VLOOKUP(C446,领导干部!B:B,1,0)</f>
        <v>#N/A</v>
      </c>
    </row>
    <row r="447" customHeight="1" spans="1:15">
      <c r="A447" s="47">
        <f t="shared" si="12"/>
        <v>446</v>
      </c>
      <c r="B447" s="57" t="s">
        <v>430</v>
      </c>
      <c r="C447" s="49">
        <f>IFERROR(VLOOKUP(B447,[1]工程研发事业部人员名单!B:D,2,0),"")</f>
        <v>25071</v>
      </c>
      <c r="D447" s="50" t="str">
        <f>IFERROR(VLOOKUP(B447,[1]工程研发事业部人员名单!B:D,3,0),"")</f>
        <v>结构一室</v>
      </c>
      <c r="E447" s="98" t="s">
        <v>187</v>
      </c>
      <c r="F447" s="52">
        <f t="shared" si="13"/>
        <v>221.5</v>
      </c>
      <c r="G447" s="53"/>
      <c r="H447" s="53"/>
      <c r="I447" s="53">
        <v>221.5</v>
      </c>
      <c r="J447" s="53"/>
      <c r="K447" s="57"/>
      <c r="L447" s="57"/>
      <c r="M447" s="81"/>
      <c r="N447" s="58" t="e">
        <f>VLOOKUP(E447,订单号!B:C,2,0)</f>
        <v>#N/A</v>
      </c>
      <c r="O447" s="35" t="e">
        <f>VLOOKUP(C447,领导干部!B:B,1,0)</f>
        <v>#N/A</v>
      </c>
    </row>
    <row r="448" customHeight="1" spans="1:15">
      <c r="A448" s="47">
        <f t="shared" si="12"/>
        <v>447</v>
      </c>
      <c r="B448" s="57" t="s">
        <v>336</v>
      </c>
      <c r="C448" s="49">
        <f>IFERROR(VLOOKUP(B448,[1]工程研发事业部人员名单!B:D,2,0),"")</f>
        <v>18550</v>
      </c>
      <c r="D448" s="50" t="str">
        <f>IFERROR(VLOOKUP(B448,[1]工程研发事业部人员名单!B:D,3,0),"")</f>
        <v>总体室</v>
      </c>
      <c r="E448" s="98" t="s">
        <v>187</v>
      </c>
      <c r="F448" s="52">
        <f t="shared" si="13"/>
        <v>218.3</v>
      </c>
      <c r="G448" s="53"/>
      <c r="H448" s="53"/>
      <c r="I448" s="53">
        <v>218.3</v>
      </c>
      <c r="J448" s="53"/>
      <c r="K448" s="57"/>
      <c r="L448" s="57"/>
      <c r="M448" s="81"/>
      <c r="N448" s="58" t="e">
        <f>VLOOKUP(E448,订单号!B:C,2,0)</f>
        <v>#N/A</v>
      </c>
      <c r="O448" s="35" t="e">
        <f>VLOOKUP(C448,领导干部!B:B,1,0)</f>
        <v>#N/A</v>
      </c>
    </row>
    <row r="449" customHeight="1" spans="1:15">
      <c r="A449" s="47">
        <f t="shared" si="12"/>
        <v>448</v>
      </c>
      <c r="B449" s="57" t="s">
        <v>327</v>
      </c>
      <c r="C449" s="49">
        <f>IFERROR(VLOOKUP(B449,[1]工程研发事业部人员名单!B:D,2,0),"")</f>
        <v>17243</v>
      </c>
      <c r="D449" s="50" t="str">
        <f>IFERROR(VLOOKUP(B449,[1]工程研发事业部人员名单!B:D,3,0),"")</f>
        <v>总体室</v>
      </c>
      <c r="E449" s="98" t="s">
        <v>187</v>
      </c>
      <c r="F449" s="52">
        <f t="shared" si="13"/>
        <v>205.3</v>
      </c>
      <c r="G449" s="53"/>
      <c r="H449" s="53"/>
      <c r="I449" s="53">
        <v>205.3</v>
      </c>
      <c r="J449" s="53"/>
      <c r="K449" s="57"/>
      <c r="L449" s="57"/>
      <c r="M449" s="81"/>
      <c r="N449" s="58" t="e">
        <f>VLOOKUP(E449,订单号!B:C,2,0)</f>
        <v>#N/A</v>
      </c>
      <c r="O449" s="35" t="e">
        <f>VLOOKUP(C449,领导干部!B:B,1,0)</f>
        <v>#N/A</v>
      </c>
    </row>
    <row r="450" customHeight="1" spans="1:15">
      <c r="A450" s="47">
        <f t="shared" ref="A450:A464" si="14">ROW()-1</f>
        <v>449</v>
      </c>
      <c r="B450" s="57" t="s">
        <v>421</v>
      </c>
      <c r="C450" s="49">
        <f>IFERROR(VLOOKUP(B450,[1]工程研发事业部人员名单!B:D,2,0),"")</f>
        <v>26654</v>
      </c>
      <c r="D450" s="50" t="str">
        <f>IFERROR(VLOOKUP(B450,[1]工程研发事业部人员名单!B:D,3,0),"")</f>
        <v>联络工程室</v>
      </c>
      <c r="E450" s="98" t="s">
        <v>187</v>
      </c>
      <c r="F450" s="52">
        <f t="shared" ref="F450:F464" si="15">G450+H450+I450+J450</f>
        <v>343.7</v>
      </c>
      <c r="G450" s="53"/>
      <c r="H450" s="53"/>
      <c r="I450" s="53">
        <v>343.7</v>
      </c>
      <c r="J450" s="53"/>
      <c r="K450" s="57"/>
      <c r="L450" s="57"/>
      <c r="M450" s="81"/>
      <c r="N450" s="58" t="e">
        <f>VLOOKUP(E450,订单号!B:C,2,0)</f>
        <v>#N/A</v>
      </c>
      <c r="O450" s="35" t="e">
        <f>VLOOKUP(C450,领导干部!B:B,1,0)</f>
        <v>#N/A</v>
      </c>
    </row>
    <row r="451" customHeight="1" spans="1:15">
      <c r="A451" s="47">
        <f t="shared" si="14"/>
        <v>450</v>
      </c>
      <c r="B451" s="57" t="s">
        <v>428</v>
      </c>
      <c r="C451" s="49">
        <f>IFERROR(VLOOKUP(B451,[1]工程研发事业部人员名单!B:D,2,0),"")</f>
        <v>25762</v>
      </c>
      <c r="D451" s="50" t="str">
        <f>IFERROR(VLOOKUP(B451,[1]工程研发事业部人员名单!B:D,3,0),"")</f>
        <v>结构二室</v>
      </c>
      <c r="E451" s="98" t="s">
        <v>187</v>
      </c>
      <c r="F451" s="52">
        <f t="shared" si="15"/>
        <v>261.6</v>
      </c>
      <c r="G451" s="53"/>
      <c r="H451" s="53"/>
      <c r="I451" s="53">
        <v>261.6</v>
      </c>
      <c r="J451" s="53"/>
      <c r="K451" s="57"/>
      <c r="L451" s="57"/>
      <c r="M451" s="81"/>
      <c r="N451" s="58" t="e">
        <f>VLOOKUP(E451,订单号!B:C,2,0)</f>
        <v>#N/A</v>
      </c>
      <c r="O451" s="35" t="e">
        <f>VLOOKUP(C451,领导干部!B:B,1,0)</f>
        <v>#N/A</v>
      </c>
    </row>
    <row r="452" customHeight="1" spans="1:15">
      <c r="A452" s="47">
        <f t="shared" si="14"/>
        <v>451</v>
      </c>
      <c r="B452" s="57" t="s">
        <v>223</v>
      </c>
      <c r="C452" s="49">
        <f>IFERROR(VLOOKUP(B452,[1]工程研发事业部人员名单!B:D,2,0),"")</f>
        <v>51166</v>
      </c>
      <c r="D452" s="50" t="str">
        <f>IFERROR(VLOOKUP(B452,[1]工程研发事业部人员名单!B:D,3,0),"")</f>
        <v>工程项目室</v>
      </c>
      <c r="E452" s="98" t="s">
        <v>187</v>
      </c>
      <c r="F452" s="52">
        <f t="shared" si="15"/>
        <v>284.6</v>
      </c>
      <c r="G452" s="53"/>
      <c r="H452" s="53"/>
      <c r="I452" s="53">
        <v>284.6</v>
      </c>
      <c r="J452" s="53"/>
      <c r="K452" s="57"/>
      <c r="L452" s="57"/>
      <c r="M452" s="109"/>
      <c r="N452" s="58" t="e">
        <f>VLOOKUP(E452,订单号!B:C,2,0)</f>
        <v>#N/A</v>
      </c>
      <c r="O452" s="35" t="e">
        <f>VLOOKUP(C452,领导干部!B:B,1,0)</f>
        <v>#N/A</v>
      </c>
    </row>
    <row r="453" customHeight="1" spans="1:15">
      <c r="A453" s="47">
        <f t="shared" si="14"/>
        <v>452</v>
      </c>
      <c r="B453" s="48" t="s">
        <v>689</v>
      </c>
      <c r="C453" s="49">
        <f>IFERROR(VLOOKUP(B453,[1]工程研发事业部人员名单!B:D,2,0),"")</f>
        <v>23481</v>
      </c>
      <c r="D453" s="50" t="str">
        <f>IFERROR(VLOOKUP(B453,[1]工程研发事业部人员名单!B:D,3,0),"")</f>
        <v>总体室</v>
      </c>
      <c r="E453" s="98" t="s">
        <v>187</v>
      </c>
      <c r="F453" s="52">
        <f t="shared" si="15"/>
        <v>278.1</v>
      </c>
      <c r="G453" s="53"/>
      <c r="H453" s="53"/>
      <c r="I453" s="53">
        <v>278.1</v>
      </c>
      <c r="J453" s="53"/>
      <c r="K453" s="57"/>
      <c r="L453" s="57"/>
      <c r="M453" s="81"/>
      <c r="N453" s="58" t="e">
        <f>VLOOKUP(E453,订单号!B:C,2,0)</f>
        <v>#N/A</v>
      </c>
      <c r="O453" s="35" t="e">
        <f>VLOOKUP(C453,领导干部!B:B,1,0)</f>
        <v>#N/A</v>
      </c>
    </row>
    <row r="454" customHeight="1" spans="1:15">
      <c r="A454" s="47">
        <f t="shared" si="14"/>
        <v>453</v>
      </c>
      <c r="B454" s="48" t="s">
        <v>326</v>
      </c>
      <c r="C454" s="49">
        <f>IFERROR(VLOOKUP(B454,[1]工程研发事业部人员名单!B:D,2,0),"")</f>
        <v>52018</v>
      </c>
      <c r="D454" s="50" t="str">
        <f>IFERROR(VLOOKUP(B454,[1]工程研发事业部人员名单!B:D,3,0),"")</f>
        <v>总体室</v>
      </c>
      <c r="E454" s="98" t="s">
        <v>187</v>
      </c>
      <c r="F454" s="52">
        <f t="shared" si="15"/>
        <v>222.9</v>
      </c>
      <c r="G454" s="53"/>
      <c r="H454" s="53"/>
      <c r="I454" s="53">
        <v>222.9</v>
      </c>
      <c r="J454" s="53"/>
      <c r="K454" s="57"/>
      <c r="L454" s="57"/>
      <c r="M454" s="81"/>
      <c r="N454" s="58" t="e">
        <f>VLOOKUP(E454,订单号!B:C,2,0)</f>
        <v>#N/A</v>
      </c>
      <c r="O454" s="35" t="e">
        <f>VLOOKUP(C454,领导干部!B:B,1,0)</f>
        <v>#N/A</v>
      </c>
    </row>
    <row r="455" customHeight="1" spans="1:15">
      <c r="A455" s="47">
        <f t="shared" si="14"/>
        <v>454</v>
      </c>
      <c r="B455" s="48" t="s">
        <v>414</v>
      </c>
      <c r="C455" s="49">
        <f>IFERROR(VLOOKUP(B455,[1]工程研发事业部人员名单!B:D,2,0),"")</f>
        <v>51162</v>
      </c>
      <c r="D455" s="50" t="str">
        <f>IFERROR(VLOOKUP(B455,[1]工程研发事业部人员名单!B:D,3,0),"")</f>
        <v>工程项目室</v>
      </c>
      <c r="E455" s="98" t="s">
        <v>187</v>
      </c>
      <c r="F455" s="52">
        <f t="shared" si="15"/>
        <v>40</v>
      </c>
      <c r="G455" s="53"/>
      <c r="H455" s="53"/>
      <c r="I455" s="53">
        <v>40</v>
      </c>
      <c r="J455" s="53"/>
      <c r="K455" s="57"/>
      <c r="L455" s="57"/>
      <c r="M455" s="81"/>
      <c r="N455" s="58" t="e">
        <f>VLOOKUP(E455,订单号!B:C,2,0)</f>
        <v>#N/A</v>
      </c>
      <c r="O455" s="35">
        <f>VLOOKUP(C455,领导干部!B:B,1,0)</f>
        <v>51162</v>
      </c>
    </row>
    <row r="456" customHeight="1" spans="1:15">
      <c r="A456" s="47">
        <f t="shared" si="14"/>
        <v>455</v>
      </c>
      <c r="B456" s="48" t="s">
        <v>305</v>
      </c>
      <c r="C456" s="49">
        <f>IFERROR(VLOOKUP(B456,[1]工程研发事业部人员名单!B:D,2,0),"")</f>
        <v>51389</v>
      </c>
      <c r="D456" s="50" t="str">
        <f>IFERROR(VLOOKUP(B456,[1]工程研发事业部人员名单!B:D,3,0),"")</f>
        <v>系统室</v>
      </c>
      <c r="E456" s="98" t="s">
        <v>187</v>
      </c>
      <c r="F456" s="52">
        <f t="shared" si="15"/>
        <v>127</v>
      </c>
      <c r="G456" s="53"/>
      <c r="H456" s="53"/>
      <c r="I456" s="53">
        <v>127</v>
      </c>
      <c r="J456" s="53"/>
      <c r="K456" s="57"/>
      <c r="L456" s="57"/>
      <c r="M456" s="81"/>
      <c r="N456" s="58" t="e">
        <f>VLOOKUP(E456,订单号!B:C,2,0)</f>
        <v>#N/A</v>
      </c>
      <c r="O456" s="35" t="e">
        <f>VLOOKUP(C456,领导干部!B:B,1,0)</f>
        <v>#N/A</v>
      </c>
    </row>
    <row r="457" customHeight="1" spans="1:15">
      <c r="A457" s="47">
        <f t="shared" si="14"/>
        <v>456</v>
      </c>
      <c r="B457" s="48" t="s">
        <v>360</v>
      </c>
      <c r="C457" s="49">
        <f>IFERROR(VLOOKUP(B457,[1]工程研发事业部人员名单!B:D,2,0),"")</f>
        <v>50713</v>
      </c>
      <c r="D457" s="50" t="str">
        <f>IFERROR(VLOOKUP(B457,[1]工程研发事业部人员名单!B:D,3,0),"")</f>
        <v>系统室</v>
      </c>
      <c r="E457" s="98" t="s">
        <v>187</v>
      </c>
      <c r="F457" s="52">
        <f t="shared" si="15"/>
        <v>115</v>
      </c>
      <c r="G457" s="53"/>
      <c r="H457" s="53"/>
      <c r="I457" s="53">
        <v>115</v>
      </c>
      <c r="J457" s="53"/>
      <c r="K457" s="57"/>
      <c r="L457" s="57"/>
      <c r="M457" s="81"/>
      <c r="N457" s="58" t="e">
        <f>VLOOKUP(E457,订单号!B:C,2,0)</f>
        <v>#N/A</v>
      </c>
      <c r="O457" s="35" t="e">
        <f>VLOOKUP(C457,领导干部!B:B,1,0)</f>
        <v>#N/A</v>
      </c>
    </row>
    <row r="458" customHeight="1" spans="1:15">
      <c r="A458" s="47">
        <f t="shared" si="14"/>
        <v>457</v>
      </c>
      <c r="B458" s="100" t="s">
        <v>321</v>
      </c>
      <c r="C458" s="49">
        <f>IFERROR(VLOOKUP(B458,[1]工程研发事业部人员名单!B:D,2,0),"")</f>
        <v>51430</v>
      </c>
      <c r="D458" s="50" t="str">
        <f>IFERROR(VLOOKUP(B458,[1]工程研发事业部人员名单!B:D,3,0),"")</f>
        <v>系统室</v>
      </c>
      <c r="E458" s="98" t="s">
        <v>187</v>
      </c>
      <c r="F458" s="52">
        <f t="shared" si="15"/>
        <v>90</v>
      </c>
      <c r="G458" s="97"/>
      <c r="H458" s="97"/>
      <c r="I458" s="97">
        <v>90</v>
      </c>
      <c r="J458" s="97"/>
      <c r="K458" s="98"/>
      <c r="L458" s="98"/>
      <c r="M458" s="28"/>
      <c r="N458" s="58" t="e">
        <f>VLOOKUP(E458,订单号!B:C,2,0)</f>
        <v>#N/A</v>
      </c>
      <c r="O458" s="35" t="e">
        <f>VLOOKUP(C458,领导干部!B:B,1,0)</f>
        <v>#N/A</v>
      </c>
    </row>
    <row r="459" customHeight="1" spans="1:15">
      <c r="A459" s="47">
        <f t="shared" si="14"/>
        <v>458</v>
      </c>
      <c r="B459" s="100" t="s">
        <v>292</v>
      </c>
      <c r="C459" s="49">
        <f>IFERROR(VLOOKUP(B459,[1]工程研发事业部人员名单!B:D,2,0),"")</f>
        <v>51385</v>
      </c>
      <c r="D459" s="50" t="str">
        <f>IFERROR(VLOOKUP(B459,[1]工程研发事业部人员名单!B:D,3,0),"")</f>
        <v>系统室</v>
      </c>
      <c r="E459" s="98" t="s">
        <v>187</v>
      </c>
      <c r="F459" s="52">
        <f t="shared" si="15"/>
        <v>123</v>
      </c>
      <c r="G459" s="97"/>
      <c r="H459" s="97"/>
      <c r="I459" s="97">
        <v>123</v>
      </c>
      <c r="J459" s="97"/>
      <c r="K459" s="98"/>
      <c r="L459" s="98"/>
      <c r="M459" s="28"/>
      <c r="N459" s="58" t="e">
        <f>VLOOKUP(E459,订单号!B:C,2,0)</f>
        <v>#N/A</v>
      </c>
      <c r="O459" s="35" t="e">
        <f>VLOOKUP(C459,领导干部!B:B,1,0)</f>
        <v>#N/A</v>
      </c>
    </row>
    <row r="460" customHeight="1" spans="1:15">
      <c r="A460" s="47">
        <f t="shared" si="14"/>
        <v>459</v>
      </c>
      <c r="B460" s="100" t="s">
        <v>400</v>
      </c>
      <c r="C460" s="49">
        <f>IFERROR(VLOOKUP(B460,[1]工程研发事业部人员名单!B:D,2,0),"")</f>
        <v>17725</v>
      </c>
      <c r="D460" s="50" t="str">
        <f>IFERROR(VLOOKUP(B460,[1]工程研发事业部人员名单!B:D,3,0),"")</f>
        <v>总体室</v>
      </c>
      <c r="E460" s="98" t="s">
        <v>187</v>
      </c>
      <c r="F460" s="52">
        <f t="shared" si="15"/>
        <v>80</v>
      </c>
      <c r="G460" s="97"/>
      <c r="H460" s="97"/>
      <c r="I460" s="97">
        <v>80</v>
      </c>
      <c r="J460" s="97"/>
      <c r="K460" s="98"/>
      <c r="L460" s="98"/>
      <c r="M460" s="28"/>
      <c r="N460" s="58" t="e">
        <f>VLOOKUP(E460,订单号!B:C,2,0)</f>
        <v>#N/A</v>
      </c>
      <c r="O460" s="35" t="e">
        <f>VLOOKUP(C460,领导干部!B:B,1,0)</f>
        <v>#N/A</v>
      </c>
    </row>
    <row r="461" customHeight="1" spans="1:15">
      <c r="A461" s="47">
        <f t="shared" si="14"/>
        <v>460</v>
      </c>
      <c r="B461" s="100" t="s">
        <v>219</v>
      </c>
      <c r="C461" s="49">
        <f>IFERROR(VLOOKUP(B461,[1]工程研发事业部人员名单!B:D,2,0),"")</f>
        <v>25600</v>
      </c>
      <c r="D461" s="50" t="str">
        <f>IFERROR(VLOOKUP(B461,[1]工程研发事业部人员名单!B:D,3,0),"")</f>
        <v>结构二室</v>
      </c>
      <c r="E461" s="98" t="s">
        <v>195</v>
      </c>
      <c r="F461" s="52">
        <f t="shared" si="15"/>
        <v>37.5</v>
      </c>
      <c r="G461" s="97"/>
      <c r="H461" s="97"/>
      <c r="I461" s="97">
        <v>37.5</v>
      </c>
      <c r="J461" s="97"/>
      <c r="K461" s="98"/>
      <c r="L461" s="98"/>
      <c r="M461" s="110" t="s">
        <v>879</v>
      </c>
      <c r="N461" s="58">
        <f>VLOOKUP(E461,订单号!B:C,2,0)</f>
        <v>0</v>
      </c>
      <c r="O461" s="35" t="e">
        <f>VLOOKUP(C461,领导干部!B:B,1,0)</f>
        <v>#N/A</v>
      </c>
    </row>
    <row r="462" customHeight="1" spans="1:15">
      <c r="A462" s="47">
        <f t="shared" si="14"/>
        <v>461</v>
      </c>
      <c r="B462" s="100" t="s">
        <v>308</v>
      </c>
      <c r="C462" s="49">
        <f>IFERROR(VLOOKUP(B462,[1]工程研发事业部人员名单!B:D,2,0),"")</f>
        <v>50022</v>
      </c>
      <c r="D462" s="50" t="str">
        <f>IFERROR(VLOOKUP(B462,[1]工程研发事业部人员名单!B:D,3,0),"")</f>
        <v>结构二室</v>
      </c>
      <c r="E462" s="98" t="s">
        <v>195</v>
      </c>
      <c r="F462" s="52">
        <f t="shared" si="15"/>
        <v>58</v>
      </c>
      <c r="G462" s="97"/>
      <c r="H462" s="97"/>
      <c r="I462" s="97">
        <v>58</v>
      </c>
      <c r="J462" s="97"/>
      <c r="K462" s="98"/>
      <c r="L462" s="98"/>
      <c r="M462" s="110" t="s">
        <v>879</v>
      </c>
      <c r="N462" s="58">
        <f>VLOOKUP(E462,订单号!B:C,2,0)</f>
        <v>0</v>
      </c>
      <c r="O462" s="35" t="e">
        <f>VLOOKUP(C462,领导干部!B:B,1,0)</f>
        <v>#N/A</v>
      </c>
    </row>
    <row r="463" customHeight="1" spans="1:15">
      <c r="A463" s="47">
        <f t="shared" si="14"/>
        <v>462</v>
      </c>
      <c r="B463" s="100" t="s">
        <v>384</v>
      </c>
      <c r="C463" s="49">
        <f>IFERROR(VLOOKUP(B463,[1]工程研发事业部人员名单!B:D,2,0),"")</f>
        <v>50710</v>
      </c>
      <c r="D463" s="50" t="str">
        <f>IFERROR(VLOOKUP(B463,[1]工程研发事业部人员名单!B:D,3,0),"")</f>
        <v>结构二室</v>
      </c>
      <c r="E463" s="98" t="s">
        <v>195</v>
      </c>
      <c r="F463" s="52">
        <f t="shared" si="15"/>
        <v>50</v>
      </c>
      <c r="G463" s="97"/>
      <c r="H463" s="97"/>
      <c r="I463" s="97">
        <v>50</v>
      </c>
      <c r="J463" s="97"/>
      <c r="K463" s="98"/>
      <c r="L463" s="98"/>
      <c r="M463" s="111" t="s">
        <v>880</v>
      </c>
      <c r="N463" s="58">
        <f>VLOOKUP(E463,订单号!B:C,2,0)</f>
        <v>0</v>
      </c>
      <c r="O463" s="35" t="e">
        <f>VLOOKUP(C463,领导干部!B:B,1,0)</f>
        <v>#N/A</v>
      </c>
    </row>
    <row r="464" customHeight="1" spans="1:15">
      <c r="A464" s="47">
        <f t="shared" si="14"/>
        <v>463</v>
      </c>
      <c r="B464" s="100" t="s">
        <v>280</v>
      </c>
      <c r="C464" s="49">
        <f>IFERROR(VLOOKUP(B464,[1]工程研发事业部人员名单!B:D,2,0),"")</f>
        <v>52131</v>
      </c>
      <c r="D464" s="50" t="str">
        <f>IFERROR(VLOOKUP(B464,[1]工程研发事业部人员名单!B:D,3,0),"")</f>
        <v>结构二室</v>
      </c>
      <c r="E464" s="98" t="s">
        <v>195</v>
      </c>
      <c r="F464" s="52">
        <f t="shared" si="15"/>
        <v>20</v>
      </c>
      <c r="G464" s="97"/>
      <c r="H464" s="97"/>
      <c r="I464" s="97">
        <v>20</v>
      </c>
      <c r="J464" s="97"/>
      <c r="K464" s="98"/>
      <c r="L464" s="98"/>
      <c r="M464" s="111" t="s">
        <v>880</v>
      </c>
      <c r="N464" s="58">
        <f>VLOOKUP(E464,订单号!B:C,2,0)</f>
        <v>0</v>
      </c>
      <c r="O464" s="35" t="e">
        <f>VLOOKUP(C464,领导干部!B:B,1,0)</f>
        <v>#N/A</v>
      </c>
    </row>
  </sheetData>
  <sheetProtection formatCells="0" formatColumns="0" formatRows="0" insertRows="0" insertColumns="0" insertHyperlinks="0" deleteColumns="0" deleteRows="0" sort="0" autoFilter="0" pivotTables="0"/>
  <autoFilter ref="A1:O464">
    <filterColumn colId="14">
      <customFilters>
        <customFilter operator="equal" val="#N/A"/>
      </customFilters>
    </filterColumn>
    <extLst/>
  </autoFilter>
  <conditionalFormatting sqref="B263:B301">
    <cfRule type="duplicateValues" dxfId="1" priority="2"/>
    <cfRule type="duplicateValues" dxfId="1" priority="1"/>
  </conditionalFormatting>
  <conditionalFormatting sqref="B349:B386">
    <cfRule type="duplicateValues" dxfId="0" priority="3"/>
  </conditionalFormatting>
  <dataValidations count="32">
    <dataValidation type="list" allowBlank="1" showInputMessage="1" showErrorMessage="1" sqref="E205">
      <formula1>[12]项目简称!#REF!</formula1>
    </dataValidation>
    <dataValidation type="list" allowBlank="1" showInputMessage="1" showErrorMessage="1" sqref="E159">
      <formula1>[5]项目简称!#REF!</formula1>
    </dataValidation>
    <dataValidation type="list" allowBlank="1" showInputMessage="1" showErrorMessage="1" sqref="E160">
      <formula1>[8]项目简称!#REF!</formula1>
    </dataValidation>
    <dataValidation type="list" allowBlank="1" showInputMessage="1" showErrorMessage="1" sqref="E249">
      <formula1>[7]项目简称!#REF!</formula1>
    </dataValidation>
    <dataValidation type="list" allowBlank="1" showInputMessage="1" showErrorMessage="1" sqref="E230">
      <formula1>[14]项目简称!#REF!</formula1>
    </dataValidation>
    <dataValidation type="list" allowBlank="1" showInputMessage="1" showErrorMessage="1" sqref="E161">
      <formula1>[9]项目简称!#REF!</formula1>
    </dataValidation>
    <dataValidation type="list" allowBlank="1" showInputMessage="1" showErrorMessage="1" sqref="E166">
      <formula1>[3]项目简称!#REF!</formula1>
    </dataValidation>
    <dataValidation type="list" allowBlank="1" showInputMessage="1" showErrorMessage="1" sqref="E194">
      <formula1>[11]项目简称!#REF!</formula1>
    </dataValidation>
    <dataValidation type="list" allowBlank="1" showInputMessage="1" showErrorMessage="1" sqref="J346 J68:J71 J74:J98 J250:J251 J254:J260 K2:K320 K344:K396 K428:K460 J321:K343">
      <formula1>"结构,强度,五性,TPUB,系统,PMO,工程支持,材料及工艺,构型管理,标准,适航,其他"</formula1>
    </dataValidation>
    <dataValidation type="list" allowBlank="1" showInputMessage="1" showErrorMessage="1" sqref="D2:D464">
      <formula1>" 总体室,结构一室,结构二室,强度室,系统室,工程项目室,综合技术室,联络工程室"</formula1>
    </dataValidation>
    <dataValidation type="list" allowBlank="1" showInputMessage="1" showErrorMessage="1" sqref="E167:E169">
      <formula1>[10]项目简称!#REF!</formula1>
    </dataValidation>
    <dataValidation type="list" allowBlank="1" showInputMessage="1" showErrorMessage="1" sqref="E2:E66">
      <formula1>[15]项目简称!#REF!</formula1>
    </dataValidation>
    <dataValidation type="list" allowBlank="1" showInputMessage="1" showErrorMessage="1" sqref="E235:E241">
      <formula1>[21]项目简称!#REF!</formula1>
    </dataValidation>
    <dataValidation type="list" allowBlank="1" showInputMessage="1" showErrorMessage="1" sqref="E67:E109 E369:E464">
      <formula1>[16]项目简称!#REF!</formula1>
    </dataValidation>
    <dataValidation type="list" allowBlank="1" showInputMessage="1" showErrorMessage="1" sqref="E110:E158">
      <formula1>[4]项目简称!#REF!</formula1>
    </dataValidation>
    <dataValidation type="list" allowBlank="1" showInputMessage="1" showErrorMessage="1" sqref="E162:E165">
      <formula1>[17]项目简称!#REF!</formula1>
    </dataValidation>
    <dataValidation type="list" allowBlank="1" showInputMessage="1" showErrorMessage="1" sqref="E170:E180">
      <formula1>[18]项目简称!#REF!</formula1>
    </dataValidation>
    <dataValidation type="list" allowBlank="1" showInputMessage="1" showErrorMessage="1" sqref="E181:E193">
      <formula1>[19]项目简称!#REF!</formula1>
    </dataValidation>
    <dataValidation type="list" allowBlank="1" showInputMessage="1" showErrorMessage="1" sqref="E195:E202">
      <formula1>[22]项目简称!#REF!</formula1>
    </dataValidation>
    <dataValidation type="list" allowBlank="1" showInputMessage="1" showErrorMessage="1" sqref="E203:E204">
      <formula1>[23]项目简称!#REF!</formula1>
    </dataValidation>
    <dataValidation type="list" allowBlank="1" showInputMessage="1" showErrorMessage="1" sqref="E206:E210">
      <formula1>[25]项目简称!#REF!</formula1>
    </dataValidation>
    <dataValidation type="list" allowBlank="1" showInputMessage="1" showErrorMessage="1" sqref="E250:E260">
      <formula1>[20]项目简称!#REF!</formula1>
    </dataValidation>
    <dataValidation type="list" allowBlank="1" showInputMessage="1" showErrorMessage="1" sqref="E211:E220">
      <formula1>[2]项目简称!#REF!</formula1>
    </dataValidation>
    <dataValidation type="list" allowBlank="1" showInputMessage="1" showErrorMessage="1" sqref="E221:E229">
      <formula1>[13]项目简称!#REF!</formula1>
    </dataValidation>
    <dataValidation type="list" allowBlank="1" showInputMessage="1" showErrorMessage="1" sqref="E231:E234 K397:K427 L231:L233">
      <formula1>"CR929设计（2021年上飞院）,CR929设计（2021年复材中心）,C919设计（2020年上飞院）,C919设计（2021年上飞院）,C919设计（2020年复材中心）,ARJ21基本型设计（2020年上飞院）,ARJ21货运型设计（2021年上飞院）,ARJ21货运型设计（2022年上飞院）,ARJ上飞装备,6号（2021年）,301EWIS,SAC功能附件,星际荣耀,航天一院,增材课题,工程支持,临时工程支持,党建工作"</formula1>
    </dataValidation>
    <dataValidation type="list" allowBlank="1" showInputMessage="1" showErrorMessage="1" sqref="E242:E248">
      <formula1>[26]项目简称!#REF!</formula1>
    </dataValidation>
    <dataValidation type="list" allowBlank="1" showInputMessage="1" showErrorMessage="1" sqref="E261:E262">
      <formula1>[27]项目简称!#REF!</formula1>
    </dataValidation>
    <dataValidation type="list" allowBlank="1" showInputMessage="1" showErrorMessage="1" sqref="E263:E301">
      <formula1>[28]项目简称!#REF!</formula1>
    </dataValidation>
    <dataValidation type="list" allowBlank="1" showInputMessage="1" showErrorMessage="1" sqref="E302:E313">
      <formula1>[24]项目简称!#REF!</formula1>
    </dataValidation>
    <dataValidation type="list" allowBlank="1" showInputMessage="1" showErrorMessage="1" sqref="E314:E320">
      <formula1>[6]项目简称!#REF!</formula1>
    </dataValidation>
    <dataValidation type="list" allowBlank="1" showInputMessage="1" showErrorMessage="1" sqref="E321:E368">
      <formula1>[29]项目简称!#REF!</formula1>
    </dataValidation>
    <dataValidation type="list" allowBlank="1" showInputMessage="1" showErrorMessage="1" sqref="L68:L76 L98:L102 L250:L256">
      <formula1>"CR929设计（2021年上飞院）,CR929设计（2021年复材中心）,C919设计（2020年上飞院）,C919设计（2021年上飞院）,C919设计（2020年复材中心）,ARJ21基本型设计（2020年上飞院）,ARJ21货运型设计（2021年上飞院）,ARJ21货运型设计（2022年上飞院）,ARJ上飞装备,6号（2021年）,301EWIS,SAC功能附件,星际荣耀,航天一院,增材课题,工程支持,临时工程支持,党建工作,设计制造一体化体系建设"</formula1>
    </dataValidation>
  </dataValidations>
  <pageMargins left="0.7" right="0.7" top="0.75" bottom="0.75" header="0.3" footer="0.3"/>
  <pageSetup paperSize="9" orientation="portrait" horizontalDpi="2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27"/>
  <sheetViews>
    <sheetView workbookViewId="0">
      <selection activeCell="C13" sqref="C13"/>
    </sheetView>
  </sheetViews>
  <sheetFormatPr defaultColWidth="9" defaultRowHeight="13.5" outlineLevelCol="2"/>
  <cols>
    <col min="3" max="3" width="14.5" customWidth="1"/>
  </cols>
  <sheetData>
    <row r="1" spans="2:3">
      <c r="B1" t="s">
        <v>198</v>
      </c>
      <c r="C1" t="s">
        <v>197</v>
      </c>
    </row>
    <row r="2" ht="14.25" spans="2:3">
      <c r="B2" s="26">
        <v>22287</v>
      </c>
      <c r="C2" s="27" t="s">
        <v>881</v>
      </c>
    </row>
    <row r="3" ht="14.25" spans="2:3">
      <c r="B3" s="26">
        <v>17242</v>
      </c>
      <c r="C3" s="27" t="s">
        <v>436</v>
      </c>
    </row>
    <row r="4" ht="14.25" spans="2:3">
      <c r="B4" s="140" t="s">
        <v>882</v>
      </c>
      <c r="C4" s="27" t="s">
        <v>883</v>
      </c>
    </row>
    <row r="5" ht="14.25" spans="2:3">
      <c r="B5" s="26"/>
      <c r="C5" s="27"/>
    </row>
    <row r="6" ht="14.25" spans="2:3">
      <c r="B6" s="26">
        <v>51184</v>
      </c>
      <c r="C6" s="27" t="s">
        <v>475</v>
      </c>
    </row>
    <row r="7" ht="14.25" spans="2:3">
      <c r="B7" s="26">
        <v>22296</v>
      </c>
      <c r="C7" s="29" t="s">
        <v>460</v>
      </c>
    </row>
    <row r="8" ht="14.25" spans="2:3">
      <c r="B8" s="26">
        <v>51188</v>
      </c>
      <c r="C8" s="27" t="s">
        <v>681</v>
      </c>
    </row>
    <row r="9" ht="14.25" spans="2:3">
      <c r="B9" s="26">
        <v>51202</v>
      </c>
      <c r="C9" s="30" t="s">
        <v>674</v>
      </c>
    </row>
    <row r="10" ht="14.25" spans="2:3">
      <c r="B10" s="26">
        <v>50709</v>
      </c>
      <c r="C10" s="27" t="s">
        <v>441</v>
      </c>
    </row>
    <row r="11" ht="14.25" spans="2:3">
      <c r="B11" s="31">
        <v>22260</v>
      </c>
      <c r="C11" s="32" t="s">
        <v>884</v>
      </c>
    </row>
    <row r="12" ht="14.25" spans="2:3">
      <c r="B12" s="26">
        <v>51162</v>
      </c>
      <c r="C12" s="27" t="s">
        <v>414</v>
      </c>
    </row>
    <row r="13" ht="14.25" spans="2:3">
      <c r="B13" s="31">
        <v>26621</v>
      </c>
      <c r="C13" s="33" t="s">
        <v>409</v>
      </c>
    </row>
    <row r="14" ht="14.25" spans="2:3">
      <c r="B14" s="26"/>
      <c r="C14" s="33"/>
    </row>
    <row r="15" ht="14.25" spans="2:3">
      <c r="B15" s="26"/>
      <c r="C15" s="34"/>
    </row>
    <row r="16" ht="14.25" spans="2:3">
      <c r="B16" s="26"/>
      <c r="C16" s="30"/>
    </row>
    <row r="17" ht="14.25" spans="2:3">
      <c r="B17" s="26"/>
      <c r="C17" s="30"/>
    </row>
    <row r="18" ht="14.25" spans="2:3">
      <c r="B18" s="31"/>
      <c r="C18" s="27"/>
    </row>
    <row r="19" ht="14.25" spans="2:3">
      <c r="B19" s="26"/>
      <c r="C19" s="27"/>
    </row>
    <row r="20" ht="14.25" spans="2:3">
      <c r="B20" s="26"/>
      <c r="C20" s="27"/>
    </row>
    <row r="21" ht="14.25" spans="2:3">
      <c r="B21" s="26"/>
      <c r="C21" s="27"/>
    </row>
    <row r="22" ht="14.25" spans="2:3">
      <c r="B22" s="26"/>
      <c r="C22" s="27"/>
    </row>
    <row r="23" ht="14.25" spans="2:3">
      <c r="B23" s="26"/>
      <c r="C23" s="27"/>
    </row>
    <row r="24" ht="14.25" spans="2:3">
      <c r="B24" s="26"/>
      <c r="C24" s="27"/>
    </row>
    <row r="25" ht="14.25" spans="2:3">
      <c r="B25" s="26"/>
      <c r="C25" s="27"/>
    </row>
    <row r="26" ht="14.25" spans="2:3">
      <c r="B26" s="26"/>
      <c r="C26" s="27"/>
    </row>
    <row r="27" ht="14.25" spans="2:3">
      <c r="B27" s="26"/>
      <c r="C27" s="27"/>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42"/>
  <sheetViews>
    <sheetView workbookViewId="0">
      <selection activeCell="B28" sqref="B28"/>
    </sheetView>
  </sheetViews>
  <sheetFormatPr defaultColWidth="9" defaultRowHeight="13.5" outlineLevelCol="2"/>
  <cols>
    <col min="2" max="2" width="41.75" style="16" customWidth="1"/>
    <col min="3" max="3" width="14.125" style="16" customWidth="1"/>
  </cols>
  <sheetData>
    <row r="1" ht="15.75" spans="2:3">
      <c r="B1" s="17" t="s">
        <v>885</v>
      </c>
      <c r="C1" s="18" t="s">
        <v>886</v>
      </c>
    </row>
    <row r="2" ht="15.75" spans="2:3">
      <c r="B2" s="17" t="s">
        <v>887</v>
      </c>
      <c r="C2" s="18" t="s">
        <v>888</v>
      </c>
    </row>
    <row r="3" ht="15.75" spans="2:3">
      <c r="B3" s="19" t="s">
        <v>889</v>
      </c>
      <c r="C3" s="18" t="s">
        <v>890</v>
      </c>
    </row>
    <row r="4" ht="15.75" spans="2:3">
      <c r="B4" s="19" t="s">
        <v>891</v>
      </c>
      <c r="C4" s="18" t="s">
        <v>892</v>
      </c>
    </row>
    <row r="5" ht="15.75" spans="2:3">
      <c r="B5" s="19" t="s">
        <v>893</v>
      </c>
      <c r="C5" s="18" t="s">
        <v>894</v>
      </c>
    </row>
    <row r="6" ht="15.75" spans="2:3">
      <c r="B6" s="19" t="s">
        <v>895</v>
      </c>
      <c r="C6" s="18" t="s">
        <v>896</v>
      </c>
    </row>
    <row r="7" ht="15.75" spans="2:3">
      <c r="B7" s="19" t="s">
        <v>897</v>
      </c>
      <c r="C7" s="18" t="s">
        <v>898</v>
      </c>
    </row>
    <row r="8" ht="15.75" spans="2:3">
      <c r="B8" s="17" t="s">
        <v>899</v>
      </c>
      <c r="C8" s="18" t="s">
        <v>900</v>
      </c>
    </row>
    <row r="9" ht="15.75" spans="2:3">
      <c r="B9" s="20" t="s">
        <v>901</v>
      </c>
      <c r="C9" s="18" t="s">
        <v>902</v>
      </c>
    </row>
    <row r="10" ht="15.75" spans="2:3">
      <c r="B10" s="19" t="s">
        <v>903</v>
      </c>
      <c r="C10" s="18" t="s">
        <v>904</v>
      </c>
    </row>
    <row r="11" ht="15.75" spans="2:3">
      <c r="B11" s="20" t="s">
        <v>237</v>
      </c>
      <c r="C11" s="18" t="s">
        <v>905</v>
      </c>
    </row>
    <row r="12" ht="15.75" spans="2:3">
      <c r="B12" s="20" t="s">
        <v>510</v>
      </c>
      <c r="C12" s="18" t="s">
        <v>905</v>
      </c>
    </row>
    <row r="13" ht="15.75" spans="2:3">
      <c r="B13" s="21" t="s">
        <v>906</v>
      </c>
      <c r="C13" s="18" t="s">
        <v>907</v>
      </c>
    </row>
    <row r="14" ht="15.75" spans="2:3">
      <c r="B14" s="21" t="s">
        <v>908</v>
      </c>
      <c r="C14" s="18" t="s">
        <v>909</v>
      </c>
    </row>
    <row r="15" ht="15.75" spans="2:3">
      <c r="B15" s="21" t="s">
        <v>910</v>
      </c>
      <c r="C15" s="18" t="s">
        <v>911</v>
      </c>
    </row>
    <row r="16" ht="15.75" spans="2:3">
      <c r="B16" s="17" t="s">
        <v>912</v>
      </c>
      <c r="C16" s="18" t="s">
        <v>913</v>
      </c>
    </row>
    <row r="17" ht="15.75" spans="2:3">
      <c r="B17" s="17" t="s">
        <v>914</v>
      </c>
      <c r="C17" s="18" t="s">
        <v>915</v>
      </c>
    </row>
    <row r="18" ht="15.75" spans="2:3">
      <c r="B18" s="19" t="s">
        <v>916</v>
      </c>
      <c r="C18" s="18" t="s">
        <v>917</v>
      </c>
    </row>
    <row r="19" ht="15.75" spans="2:3">
      <c r="B19" s="19" t="s">
        <v>918</v>
      </c>
      <c r="C19" s="18" t="s">
        <v>917</v>
      </c>
    </row>
    <row r="20" ht="15.75" spans="2:3">
      <c r="B20" s="17" t="s">
        <v>919</v>
      </c>
      <c r="C20" s="22" t="s">
        <v>920</v>
      </c>
    </row>
    <row r="21" ht="15.75" spans="2:3">
      <c r="B21" s="17" t="s">
        <v>921</v>
      </c>
      <c r="C21" s="22" t="s">
        <v>922</v>
      </c>
    </row>
    <row r="22" ht="15.75" spans="2:3">
      <c r="B22" s="17" t="s">
        <v>923</v>
      </c>
      <c r="C22" s="22" t="s">
        <v>924</v>
      </c>
    </row>
    <row r="23" ht="15.75" spans="2:3">
      <c r="B23" s="17" t="s">
        <v>925</v>
      </c>
      <c r="C23" s="22" t="s">
        <v>926</v>
      </c>
    </row>
    <row r="24" ht="15.75" spans="2:3">
      <c r="B24" s="17" t="s">
        <v>927</v>
      </c>
      <c r="C24" s="22" t="s">
        <v>928</v>
      </c>
    </row>
    <row r="25" ht="15.75" spans="2:3">
      <c r="B25" s="17" t="s">
        <v>929</v>
      </c>
      <c r="C25" s="22" t="s">
        <v>930</v>
      </c>
    </row>
    <row r="26" ht="15.75" spans="2:3">
      <c r="B26" s="17" t="s">
        <v>931</v>
      </c>
      <c r="C26" s="22" t="s">
        <v>932</v>
      </c>
    </row>
    <row r="27" ht="15.75" spans="2:3">
      <c r="B27" s="23" t="s">
        <v>381</v>
      </c>
      <c r="C27" s="22" t="s">
        <v>933</v>
      </c>
    </row>
    <row r="28" ht="15.75" spans="2:3">
      <c r="B28" s="23" t="s">
        <v>643</v>
      </c>
      <c r="C28" s="22" t="s">
        <v>934</v>
      </c>
    </row>
    <row r="29" ht="15.75" spans="2:3">
      <c r="B29" s="23" t="s">
        <v>935</v>
      </c>
      <c r="C29" s="22" t="s">
        <v>936</v>
      </c>
    </row>
    <row r="30" ht="15.75" spans="2:3">
      <c r="B30" s="24" t="s">
        <v>401</v>
      </c>
      <c r="C30" s="22" t="s">
        <v>937</v>
      </c>
    </row>
    <row r="31" ht="15.75" spans="2:3">
      <c r="B31" s="24" t="s">
        <v>938</v>
      </c>
      <c r="C31" s="22" t="s">
        <v>939</v>
      </c>
    </row>
    <row r="32" ht="15.75" spans="2:3">
      <c r="B32" s="19" t="s">
        <v>940</v>
      </c>
      <c r="C32" s="18" t="s">
        <v>941</v>
      </c>
    </row>
    <row r="33" ht="15.75" spans="2:3">
      <c r="B33" s="19" t="s">
        <v>942</v>
      </c>
      <c r="C33" s="18">
        <v>10502</v>
      </c>
    </row>
    <row r="34" ht="15.75" spans="2:3">
      <c r="B34" s="19" t="s">
        <v>943</v>
      </c>
      <c r="C34" s="18" t="s">
        <v>944</v>
      </c>
    </row>
    <row r="35" ht="15.75" spans="2:3">
      <c r="B35" s="19" t="s">
        <v>945</v>
      </c>
      <c r="C35" s="18" t="s">
        <v>946</v>
      </c>
    </row>
    <row r="36" ht="15.75" spans="2:3">
      <c r="B36" s="25" t="s">
        <v>947</v>
      </c>
      <c r="C36" s="18"/>
    </row>
    <row r="37" customFormat="1" ht="15.75" spans="2:3">
      <c r="B37" s="17" t="s">
        <v>948</v>
      </c>
      <c r="C37" s="18" t="s">
        <v>949</v>
      </c>
    </row>
    <row r="38" customFormat="1" ht="15.75" spans="2:3">
      <c r="B38" s="24" t="s">
        <v>950</v>
      </c>
      <c r="C38" s="18" t="s">
        <v>905</v>
      </c>
    </row>
    <row r="39" ht="15.75" spans="2:3">
      <c r="B39" s="19" t="s">
        <v>192</v>
      </c>
      <c r="C39" s="19"/>
    </row>
    <row r="40" ht="15.75" spans="2:3">
      <c r="B40" s="19" t="s">
        <v>193</v>
      </c>
      <c r="C40" s="19"/>
    </row>
    <row r="41" ht="15.75" spans="2:3">
      <c r="B41" s="19" t="s">
        <v>194</v>
      </c>
      <c r="C41" s="19"/>
    </row>
    <row r="42" ht="15.75" spans="2:3">
      <c r="B42" s="19" t="s">
        <v>195</v>
      </c>
      <c r="C42" s="19"/>
    </row>
  </sheetData>
  <conditionalFormatting sqref="B10">
    <cfRule type="duplicateValues" dxfId="1" priority="5"/>
  </conditionalFormatting>
  <conditionalFormatting sqref="B37:B38">
    <cfRule type="duplicateValues" dxfId="1" priority="4"/>
  </conditionalFormatting>
  <conditionalFormatting sqref="B1:B9 B11:B36 B43:B1048576">
    <cfRule type="duplicateValues" dxfId="1" priority="6"/>
  </conditionalFormatting>
  <conditionalFormatting sqref="B39:C42">
    <cfRule type="duplicateValues" dxfId="1" priority="1"/>
  </conditionalFormatting>
  <dataValidations count="1">
    <dataValidation type="list" allowBlank="1" showInputMessage="1" showErrorMessage="1" sqref="B32">
      <formula1>[30]项目简称!$A$1:$A$18</formula1>
    </dataValidation>
  </dataValidation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J152"/>
  <sheetViews>
    <sheetView tabSelected="1" workbookViewId="0">
      <selection activeCell="G121" sqref="G121"/>
    </sheetView>
  </sheetViews>
  <sheetFormatPr defaultColWidth="9" defaultRowHeight="13.5"/>
  <cols>
    <col min="1" max="2" width="7.125" style="1" customWidth="1"/>
    <col min="3" max="3" width="11" style="1" customWidth="1"/>
    <col min="4" max="4" width="33.375" style="1" customWidth="1"/>
    <col min="5" max="5" width="13.875" style="1" customWidth="1"/>
    <col min="6" max="6" width="19.25" style="1" customWidth="1"/>
    <col min="7" max="16384" width="9" style="2"/>
  </cols>
  <sheetData>
    <row r="1" spans="1:6">
      <c r="A1" s="3" t="s">
        <v>197</v>
      </c>
      <c r="B1" s="3" t="s">
        <v>198</v>
      </c>
      <c r="C1" s="3" t="s">
        <v>199</v>
      </c>
      <c r="D1" s="3" t="s">
        <v>200</v>
      </c>
      <c r="E1" s="3" t="s">
        <v>209</v>
      </c>
      <c r="F1" s="3" t="s">
        <v>951</v>
      </c>
    </row>
    <row r="2" spans="1:10">
      <c r="A2" s="4" t="s">
        <v>217</v>
      </c>
      <c r="B2" s="3">
        <v>51944</v>
      </c>
      <c r="C2" s="3" t="s">
        <v>33</v>
      </c>
      <c r="D2" s="3" t="s">
        <v>642</v>
      </c>
      <c r="E2" s="3" t="s">
        <v>932</v>
      </c>
      <c r="F2" s="3" t="e">
        <f>VLOOKUP(B2,领导干部!B:B,1,0)</f>
        <v>#N/A</v>
      </c>
      <c r="J2" s="9"/>
    </row>
    <row r="3" spans="1:10">
      <c r="A3" s="4" t="s">
        <v>219</v>
      </c>
      <c r="B3" s="3">
        <v>25600</v>
      </c>
      <c r="C3" s="3" t="s">
        <v>97</v>
      </c>
      <c r="D3" s="3" t="s">
        <v>510</v>
      </c>
      <c r="E3" s="3" t="s">
        <v>905</v>
      </c>
      <c r="F3" s="3" t="e">
        <f>VLOOKUP(B3,领导干部!B:B,1,0)</f>
        <v>#N/A</v>
      </c>
      <c r="J3" s="9"/>
    </row>
    <row r="4" spans="1:10">
      <c r="A4" s="4" t="s">
        <v>222</v>
      </c>
      <c r="B4" s="4">
        <v>51576</v>
      </c>
      <c r="C4" s="3" t="s">
        <v>142</v>
      </c>
      <c r="D4" s="3" t="s">
        <v>191</v>
      </c>
      <c r="E4" s="3" t="s">
        <v>936</v>
      </c>
      <c r="F4" s="3" t="e">
        <f>VLOOKUP(B4,领导干部!B:B,1,0)</f>
        <v>#N/A</v>
      </c>
      <c r="J4" s="9"/>
    </row>
    <row r="5" spans="1:10">
      <c r="A5" s="4" t="s">
        <v>225</v>
      </c>
      <c r="B5" s="3">
        <v>52180</v>
      </c>
      <c r="C5" s="3" t="s">
        <v>64</v>
      </c>
      <c r="D5" s="3" t="s">
        <v>642</v>
      </c>
      <c r="E5" s="3" t="s">
        <v>932</v>
      </c>
      <c r="F5" s="3" t="e">
        <f>VLOOKUP(B5,领导干部!B:B,1,0)</f>
        <v>#N/A</v>
      </c>
      <c r="J5" s="9"/>
    </row>
    <row r="6" spans="1:10">
      <c r="A6" s="4" t="s">
        <v>228</v>
      </c>
      <c r="B6" s="3">
        <v>51181</v>
      </c>
      <c r="C6" s="3" t="s">
        <v>33</v>
      </c>
      <c r="D6" s="3" t="s">
        <v>642</v>
      </c>
      <c r="E6" s="3" t="s">
        <v>932</v>
      </c>
      <c r="F6" s="3" t="e">
        <f>VLOOKUP(B6,领导干部!B:B,1,0)</f>
        <v>#N/A</v>
      </c>
      <c r="J6" s="9"/>
    </row>
    <row r="7" spans="1:10">
      <c r="A7" s="5" t="s">
        <v>230</v>
      </c>
      <c r="B7" s="6">
        <v>50030</v>
      </c>
      <c r="C7" s="6" t="s">
        <v>33</v>
      </c>
      <c r="D7" s="6" t="s">
        <v>935</v>
      </c>
      <c r="E7" s="3" t="s">
        <v>936</v>
      </c>
      <c r="F7" s="6" t="e">
        <f>VLOOKUP(B7,领导干部!B:B,1,0)</f>
        <v>#N/A</v>
      </c>
      <c r="J7" s="9"/>
    </row>
    <row r="8" spans="1:10">
      <c r="A8" s="4" t="s">
        <v>232</v>
      </c>
      <c r="B8" s="4">
        <v>22253</v>
      </c>
      <c r="C8" s="3" t="s">
        <v>142</v>
      </c>
      <c r="D8" s="3" t="s">
        <v>191</v>
      </c>
      <c r="E8" s="3" t="s">
        <v>936</v>
      </c>
      <c r="F8" s="3" t="e">
        <f>VLOOKUP(B8,领导干部!B:B,1,0)</f>
        <v>#N/A</v>
      </c>
      <c r="J8" s="9"/>
    </row>
    <row r="9" spans="1:10">
      <c r="A9" s="4" t="s">
        <v>234</v>
      </c>
      <c r="B9" s="3">
        <v>50281</v>
      </c>
      <c r="C9" s="3" t="s">
        <v>64</v>
      </c>
      <c r="D9" s="3" t="s">
        <v>642</v>
      </c>
      <c r="E9" s="3" t="s">
        <v>932</v>
      </c>
      <c r="F9" s="3" t="e">
        <f>VLOOKUP(B9,领导干部!B:B,1,0)</f>
        <v>#N/A</v>
      </c>
      <c r="J9" s="9"/>
    </row>
    <row r="10" spans="1:10">
      <c r="A10" s="4" t="s">
        <v>236</v>
      </c>
      <c r="B10" s="3">
        <v>51211</v>
      </c>
      <c r="C10" s="3" t="s">
        <v>64</v>
      </c>
      <c r="D10" s="3" t="s">
        <v>510</v>
      </c>
      <c r="E10" s="3" t="s">
        <v>905</v>
      </c>
      <c r="F10" s="3" t="e">
        <f>VLOOKUP(B10,领导干部!B:B,1,0)</f>
        <v>#N/A</v>
      </c>
      <c r="J10" s="9"/>
    </row>
    <row r="11" spans="1:10">
      <c r="A11" s="4" t="s">
        <v>240</v>
      </c>
      <c r="B11" s="3">
        <v>51170</v>
      </c>
      <c r="C11" s="3" t="s">
        <v>97</v>
      </c>
      <c r="D11" s="3" t="s">
        <v>642</v>
      </c>
      <c r="E11" s="3" t="s">
        <v>932</v>
      </c>
      <c r="F11" s="3" t="e">
        <f>VLOOKUP(B11,领导干部!B:B,1,0)</f>
        <v>#N/A</v>
      </c>
      <c r="J11" s="9"/>
    </row>
    <row r="12" spans="1:10">
      <c r="A12" s="4" t="s">
        <v>242</v>
      </c>
      <c r="B12" s="4">
        <v>25549</v>
      </c>
      <c r="C12" s="3" t="s">
        <v>142</v>
      </c>
      <c r="D12" s="3" t="s">
        <v>191</v>
      </c>
      <c r="E12" s="3" t="s">
        <v>936</v>
      </c>
      <c r="F12" s="3" t="e">
        <f>VLOOKUP(B12,领导干部!B:B,1,0)</f>
        <v>#N/A</v>
      </c>
      <c r="J12" s="9"/>
    </row>
    <row r="13" spans="1:10">
      <c r="A13" s="4" t="s">
        <v>244</v>
      </c>
      <c r="B13" s="3">
        <v>51555</v>
      </c>
      <c r="C13" s="3" t="s">
        <v>142</v>
      </c>
      <c r="D13" s="3" t="s">
        <v>938</v>
      </c>
      <c r="E13" s="3" t="s">
        <v>939</v>
      </c>
      <c r="F13" s="3" t="e">
        <f>VLOOKUP(B13,领导干部!B:B,1,0)</f>
        <v>#N/A</v>
      </c>
      <c r="J13" s="9"/>
    </row>
    <row r="14" spans="1:10">
      <c r="A14" s="4" t="s">
        <v>246</v>
      </c>
      <c r="B14" s="3">
        <v>51183</v>
      </c>
      <c r="C14" s="3" t="s">
        <v>64</v>
      </c>
      <c r="D14" s="3" t="s">
        <v>642</v>
      </c>
      <c r="E14" s="3" t="s">
        <v>932</v>
      </c>
      <c r="F14" s="3" t="e">
        <f>VLOOKUP(B14,领导干部!B:B,1,0)</f>
        <v>#N/A</v>
      </c>
      <c r="J14" s="9"/>
    </row>
    <row r="15" spans="1:10">
      <c r="A15" s="4" t="s">
        <v>248</v>
      </c>
      <c r="B15" s="4">
        <v>26688</v>
      </c>
      <c r="C15" s="3" t="s">
        <v>142</v>
      </c>
      <c r="D15" s="3" t="s">
        <v>191</v>
      </c>
      <c r="E15" s="3" t="s">
        <v>936</v>
      </c>
      <c r="F15" s="3" t="e">
        <f>VLOOKUP(B15,领导干部!B:B,1,0)</f>
        <v>#N/A</v>
      </c>
      <c r="J15" s="9"/>
    </row>
    <row r="16" spans="1:6">
      <c r="A16" s="4" t="s">
        <v>253</v>
      </c>
      <c r="B16" s="4">
        <v>17732</v>
      </c>
      <c r="C16" s="3" t="s">
        <v>142</v>
      </c>
      <c r="D16" s="3" t="s">
        <v>191</v>
      </c>
      <c r="E16" s="3" t="s">
        <v>936</v>
      </c>
      <c r="F16" s="3" t="e">
        <f>VLOOKUP(B16,领导干部!B:B,1,0)</f>
        <v>#N/A</v>
      </c>
    </row>
    <row r="17" spans="1:6">
      <c r="A17" s="4" t="s">
        <v>257</v>
      </c>
      <c r="B17" s="3">
        <v>51410</v>
      </c>
      <c r="C17" s="3" t="s">
        <v>64</v>
      </c>
      <c r="D17" s="3" t="s">
        <v>510</v>
      </c>
      <c r="E17" s="3" t="s">
        <v>905</v>
      </c>
      <c r="F17" s="3" t="e">
        <f>VLOOKUP(B17,领导干部!B:B,1,0)</f>
        <v>#N/A</v>
      </c>
    </row>
    <row r="18" spans="1:6">
      <c r="A18" s="4" t="s">
        <v>220</v>
      </c>
      <c r="B18" s="3">
        <v>51405</v>
      </c>
      <c r="C18" s="3" t="s">
        <v>952</v>
      </c>
      <c r="D18" s="3" t="s">
        <v>213</v>
      </c>
      <c r="E18" s="3" t="s">
        <v>924</v>
      </c>
      <c r="F18" s="3" t="e">
        <f>VLOOKUP(B18,领导干部!B:B,1,0)</f>
        <v>#N/A</v>
      </c>
    </row>
    <row r="19" spans="1:6">
      <c r="A19" s="4" t="s">
        <v>261</v>
      </c>
      <c r="B19" s="4">
        <v>50027</v>
      </c>
      <c r="C19" s="3" t="s">
        <v>142</v>
      </c>
      <c r="D19" s="3" t="s">
        <v>191</v>
      </c>
      <c r="E19" s="3" t="s">
        <v>936</v>
      </c>
      <c r="F19" s="3" t="e">
        <f>VLOOKUP(B19,领导干部!B:B,1,0)</f>
        <v>#N/A</v>
      </c>
    </row>
    <row r="20" spans="1:6">
      <c r="A20" s="4" t="s">
        <v>266</v>
      </c>
      <c r="B20" s="3">
        <v>50275</v>
      </c>
      <c r="C20" s="3" t="s">
        <v>64</v>
      </c>
      <c r="D20" s="3" t="s">
        <v>642</v>
      </c>
      <c r="E20" s="3" t="s">
        <v>932</v>
      </c>
      <c r="F20" s="3" t="e">
        <f>VLOOKUP(B20,领导干部!B:B,1,0)</f>
        <v>#N/A</v>
      </c>
    </row>
    <row r="21" spans="1:6">
      <c r="A21" s="4" t="s">
        <v>269</v>
      </c>
      <c r="B21" s="3">
        <v>50871</v>
      </c>
      <c r="C21" s="3" t="s">
        <v>33</v>
      </c>
      <c r="D21" s="3" t="s">
        <v>510</v>
      </c>
      <c r="E21" s="3" t="s">
        <v>905</v>
      </c>
      <c r="F21" s="3" t="e">
        <f>VLOOKUP(B21,领导干部!B:B,1,0)</f>
        <v>#N/A</v>
      </c>
    </row>
    <row r="22" spans="1:6">
      <c r="A22" s="4" t="s">
        <v>271</v>
      </c>
      <c r="B22" s="3">
        <v>51941</v>
      </c>
      <c r="C22" s="3" t="s">
        <v>142</v>
      </c>
      <c r="D22" s="3" t="s">
        <v>390</v>
      </c>
      <c r="E22" s="3" t="s">
        <v>922</v>
      </c>
      <c r="F22" s="3" t="e">
        <f>VLOOKUP(B22,领导干部!B:B,1,0)</f>
        <v>#N/A</v>
      </c>
    </row>
    <row r="23" spans="1:6">
      <c r="A23" s="4" t="s">
        <v>274</v>
      </c>
      <c r="B23" s="3">
        <v>26689</v>
      </c>
      <c r="C23" s="3" t="s">
        <v>33</v>
      </c>
      <c r="D23" s="3" t="s">
        <v>642</v>
      </c>
      <c r="E23" s="3" t="s">
        <v>932</v>
      </c>
      <c r="F23" s="3" t="e">
        <f>VLOOKUP(B23,领导干部!B:B,1,0)</f>
        <v>#N/A</v>
      </c>
    </row>
    <row r="24" spans="1:6">
      <c r="A24" s="4" t="s">
        <v>280</v>
      </c>
      <c r="B24" s="3">
        <v>52131</v>
      </c>
      <c r="C24" s="3" t="s">
        <v>97</v>
      </c>
      <c r="D24" s="3" t="s">
        <v>642</v>
      </c>
      <c r="E24" s="3" t="s">
        <v>932</v>
      </c>
      <c r="F24" s="3" t="e">
        <f>VLOOKUP(B24,领导干部!B:B,1,0)</f>
        <v>#N/A</v>
      </c>
    </row>
    <row r="25" spans="1:6">
      <c r="A25" s="4" t="s">
        <v>282</v>
      </c>
      <c r="B25" s="3">
        <v>52342</v>
      </c>
      <c r="C25" s="3" t="s">
        <v>33</v>
      </c>
      <c r="D25" s="3" t="s">
        <v>510</v>
      </c>
      <c r="E25" s="3" t="s">
        <v>905</v>
      </c>
      <c r="F25" s="3" t="e">
        <f>VLOOKUP(B25,领导干部!B:B,1,0)</f>
        <v>#N/A</v>
      </c>
    </row>
    <row r="26" spans="1:6">
      <c r="A26" s="4" t="s">
        <v>286</v>
      </c>
      <c r="B26" s="3">
        <v>51158</v>
      </c>
      <c r="C26" s="3" t="s">
        <v>33</v>
      </c>
      <c r="D26" s="3" t="s">
        <v>642</v>
      </c>
      <c r="E26" s="3" t="s">
        <v>932</v>
      </c>
      <c r="F26" s="3" t="e">
        <f>VLOOKUP(B26,领导干部!B:B,1,0)</f>
        <v>#N/A</v>
      </c>
    </row>
    <row r="27" spans="1:6">
      <c r="A27" s="4" t="s">
        <v>288</v>
      </c>
      <c r="B27" s="3">
        <v>52132</v>
      </c>
      <c r="C27" s="3" t="s">
        <v>97</v>
      </c>
      <c r="D27" s="3" t="s">
        <v>938</v>
      </c>
      <c r="E27" s="3" t="s">
        <v>939</v>
      </c>
      <c r="F27" s="3" t="e">
        <f>VLOOKUP(B27,领导干部!B:B,1,0)</f>
        <v>#N/A</v>
      </c>
    </row>
    <row r="28" spans="1:6">
      <c r="A28" s="4" t="s">
        <v>291</v>
      </c>
      <c r="B28" s="3">
        <v>25765</v>
      </c>
      <c r="C28" s="3" t="s">
        <v>64</v>
      </c>
      <c r="D28" s="3" t="s">
        <v>642</v>
      </c>
      <c r="E28" s="3" t="s">
        <v>932</v>
      </c>
      <c r="F28" s="3" t="e">
        <f>VLOOKUP(B28,领导干部!B:B,1,0)</f>
        <v>#N/A</v>
      </c>
    </row>
    <row r="29" spans="1:6">
      <c r="A29" s="4" t="s">
        <v>294</v>
      </c>
      <c r="B29" s="3">
        <v>50726</v>
      </c>
      <c r="C29" s="3" t="s">
        <v>33</v>
      </c>
      <c r="D29" s="3" t="s">
        <v>642</v>
      </c>
      <c r="E29" s="3" t="s">
        <v>932</v>
      </c>
      <c r="F29" s="3" t="e">
        <f>VLOOKUP(B29,领导干部!B:B,1,0)</f>
        <v>#N/A</v>
      </c>
    </row>
    <row r="30" spans="1:6">
      <c r="A30" s="4" t="s">
        <v>297</v>
      </c>
      <c r="B30" s="3">
        <v>51227</v>
      </c>
      <c r="C30" s="3" t="s">
        <v>64</v>
      </c>
      <c r="D30" s="3" t="s">
        <v>642</v>
      </c>
      <c r="E30" s="3" t="s">
        <v>932</v>
      </c>
      <c r="F30" s="3" t="e">
        <f>VLOOKUP(B30,领导干部!B:B,1,0)</f>
        <v>#N/A</v>
      </c>
    </row>
    <row r="31" spans="1:6">
      <c r="A31" s="4" t="s">
        <v>300</v>
      </c>
      <c r="B31" s="3">
        <v>51429</v>
      </c>
      <c r="C31" s="3" t="s">
        <v>128</v>
      </c>
      <c r="D31" s="3" t="s">
        <v>510</v>
      </c>
      <c r="E31" s="3" t="s">
        <v>905</v>
      </c>
      <c r="F31" s="3" t="e">
        <f>VLOOKUP(B31,领导干部!B:B,1,0)</f>
        <v>#N/A</v>
      </c>
    </row>
    <row r="32" spans="1:6">
      <c r="A32" s="4" t="s">
        <v>302</v>
      </c>
      <c r="B32" s="3">
        <v>17238</v>
      </c>
      <c r="C32" s="3" t="s">
        <v>97</v>
      </c>
      <c r="D32" s="3" t="s">
        <v>510</v>
      </c>
      <c r="E32" s="3" t="s">
        <v>905</v>
      </c>
      <c r="F32" s="3" t="e">
        <f>VLOOKUP(B32,领导干部!B:B,1,0)</f>
        <v>#N/A</v>
      </c>
    </row>
    <row r="33" spans="1:6">
      <c r="A33" s="4" t="s">
        <v>304</v>
      </c>
      <c r="B33" s="3">
        <v>25763</v>
      </c>
      <c r="C33" s="3" t="s">
        <v>64</v>
      </c>
      <c r="D33" s="3" t="s">
        <v>938</v>
      </c>
      <c r="E33" s="3" t="s">
        <v>939</v>
      </c>
      <c r="F33" s="3" t="e">
        <f>VLOOKUP(B33,领导干部!B:B,1,0)</f>
        <v>#N/A</v>
      </c>
    </row>
    <row r="34" spans="1:6">
      <c r="A34" s="4" t="s">
        <v>307</v>
      </c>
      <c r="B34" s="7">
        <v>50019</v>
      </c>
      <c r="C34" s="3" t="s">
        <v>142</v>
      </c>
      <c r="D34" s="3" t="s">
        <v>191</v>
      </c>
      <c r="E34" s="3" t="s">
        <v>936</v>
      </c>
      <c r="F34" s="3" t="e">
        <f>VLOOKUP(B34,领导干部!B:B,1,0)</f>
        <v>#N/A</v>
      </c>
    </row>
    <row r="35" spans="1:6">
      <c r="A35" s="4" t="s">
        <v>311</v>
      </c>
      <c r="B35" s="3">
        <v>51435</v>
      </c>
      <c r="C35" s="3" t="s">
        <v>19</v>
      </c>
      <c r="D35" s="3" t="s">
        <v>935</v>
      </c>
      <c r="E35" s="3" t="s">
        <v>936</v>
      </c>
      <c r="F35" s="3" t="e">
        <f>VLOOKUP(B35,领导干部!B:B,1,0)</f>
        <v>#N/A</v>
      </c>
    </row>
    <row r="36" spans="1:6">
      <c r="A36" s="4" t="s">
        <v>313</v>
      </c>
      <c r="B36" s="3">
        <v>23524</v>
      </c>
      <c r="C36" s="3" t="s">
        <v>33</v>
      </c>
      <c r="D36" s="3" t="s">
        <v>935</v>
      </c>
      <c r="E36" s="3" t="s">
        <v>936</v>
      </c>
      <c r="F36" s="3" t="e">
        <f>VLOOKUP(B36,领导干部!B:B,1,0)</f>
        <v>#N/A</v>
      </c>
    </row>
    <row r="37" spans="1:6">
      <c r="A37" s="4" t="s">
        <v>316</v>
      </c>
      <c r="B37" s="7">
        <v>50316</v>
      </c>
      <c r="C37" s="3" t="s">
        <v>142</v>
      </c>
      <c r="D37" s="3" t="s">
        <v>191</v>
      </c>
      <c r="E37" s="3" t="s">
        <v>905</v>
      </c>
      <c r="F37" s="3" t="e">
        <f>VLOOKUP(B37,领导干部!B:B,1,0)</f>
        <v>#N/A</v>
      </c>
    </row>
    <row r="38" spans="1:8">
      <c r="A38" s="4" t="s">
        <v>318</v>
      </c>
      <c r="B38" s="4">
        <v>25603</v>
      </c>
      <c r="C38" s="3" t="s">
        <v>142</v>
      </c>
      <c r="D38" s="3" t="s">
        <v>191</v>
      </c>
      <c r="E38" s="3" t="s">
        <v>924</v>
      </c>
      <c r="F38" s="3" t="e">
        <f>VLOOKUP(B38,领导干部!B:B,1,0)</f>
        <v>#N/A</v>
      </c>
      <c r="H38" s="8"/>
    </row>
    <row r="39" spans="1:6">
      <c r="A39" s="4" t="s">
        <v>321</v>
      </c>
      <c r="B39" s="3">
        <v>51430</v>
      </c>
      <c r="C39" s="3" t="s">
        <v>19</v>
      </c>
      <c r="D39" s="3" t="s">
        <v>935</v>
      </c>
      <c r="E39" s="3" t="s">
        <v>936</v>
      </c>
      <c r="F39" s="3" t="e">
        <f>VLOOKUP(B39,领导干部!B:B,1,0)</f>
        <v>#N/A</v>
      </c>
    </row>
    <row r="40" spans="1:6">
      <c r="A40" s="4" t="s">
        <v>324</v>
      </c>
      <c r="B40" s="3">
        <v>51860</v>
      </c>
      <c r="C40" s="3" t="s">
        <v>9</v>
      </c>
      <c r="D40" s="3" t="s">
        <v>935</v>
      </c>
      <c r="E40" s="3" t="s">
        <v>936</v>
      </c>
      <c r="F40" s="3" t="e">
        <f>VLOOKUP(B40,领导干部!B:B,1,0)</f>
        <v>#N/A</v>
      </c>
    </row>
    <row r="41" spans="1:6">
      <c r="A41" s="4" t="s">
        <v>326</v>
      </c>
      <c r="B41" s="3">
        <v>52018</v>
      </c>
      <c r="C41" s="3" t="s">
        <v>9</v>
      </c>
      <c r="D41" s="3" t="s">
        <v>237</v>
      </c>
      <c r="E41" s="3" t="s">
        <v>905</v>
      </c>
      <c r="F41" s="3" t="e">
        <f>VLOOKUP(B41,领导干部!B:B,1,0)</f>
        <v>#N/A</v>
      </c>
    </row>
    <row r="42" spans="1:6">
      <c r="A42" s="4" t="s">
        <v>332</v>
      </c>
      <c r="B42" s="3">
        <v>51151</v>
      </c>
      <c r="C42" s="3" t="s">
        <v>128</v>
      </c>
      <c r="D42" s="3" t="s">
        <v>191</v>
      </c>
      <c r="E42" s="3" t="s">
        <v>933</v>
      </c>
      <c r="F42" s="3" t="e">
        <f>VLOOKUP(B42,领导干部!B:B,1,0)</f>
        <v>#N/A</v>
      </c>
    </row>
    <row r="43" spans="1:6">
      <c r="A43" s="4" t="s">
        <v>335</v>
      </c>
      <c r="B43" s="3">
        <v>51641</v>
      </c>
      <c r="C43" s="3" t="s">
        <v>97</v>
      </c>
      <c r="D43" s="3" t="s">
        <v>510</v>
      </c>
      <c r="E43" s="3" t="s">
        <v>905</v>
      </c>
      <c r="F43" s="3" t="e">
        <f>VLOOKUP(B43,领导干部!B:B,1,0)</f>
        <v>#N/A</v>
      </c>
    </row>
    <row r="44" spans="1:6">
      <c r="A44" s="4" t="s">
        <v>338</v>
      </c>
      <c r="B44" s="3">
        <v>52156</v>
      </c>
      <c r="C44" s="3" t="s">
        <v>19</v>
      </c>
      <c r="D44" s="3" t="s">
        <v>935</v>
      </c>
      <c r="E44" s="3" t="s">
        <v>936</v>
      </c>
      <c r="F44" s="3" t="e">
        <f>VLOOKUP(B44,领导干部!B:B,1,0)</f>
        <v>#N/A</v>
      </c>
    </row>
    <row r="45" spans="1:6">
      <c r="A45" s="4" t="s">
        <v>341</v>
      </c>
      <c r="B45" s="3">
        <v>51793</v>
      </c>
      <c r="C45" s="3" t="s">
        <v>33</v>
      </c>
      <c r="D45" s="3" t="s">
        <v>510</v>
      </c>
      <c r="E45" s="3" t="s">
        <v>905</v>
      </c>
      <c r="F45" s="3" t="e">
        <f>VLOOKUP(B45,领导干部!B:B,1,0)</f>
        <v>#N/A</v>
      </c>
    </row>
    <row r="46" spans="1:6">
      <c r="A46" s="4" t="s">
        <v>339</v>
      </c>
      <c r="B46" s="3">
        <v>50874</v>
      </c>
      <c r="C46" s="3" t="s">
        <v>9</v>
      </c>
      <c r="D46" s="3" t="s">
        <v>935</v>
      </c>
      <c r="E46" s="3" t="s">
        <v>936</v>
      </c>
      <c r="F46" s="3" t="e">
        <f>VLOOKUP(B46,领导干部!B:B,1,0)</f>
        <v>#N/A</v>
      </c>
    </row>
    <row r="47" spans="1:6">
      <c r="A47" s="4" t="s">
        <v>346</v>
      </c>
      <c r="B47" s="3">
        <v>52130</v>
      </c>
      <c r="C47" s="3" t="s">
        <v>33</v>
      </c>
      <c r="D47" s="3" t="s">
        <v>935</v>
      </c>
      <c r="E47" s="3" t="s">
        <v>936</v>
      </c>
      <c r="F47" s="3" t="e">
        <f>VLOOKUP(B47,领导干部!B:B,1,0)</f>
        <v>#N/A</v>
      </c>
    </row>
    <row r="48" spans="1:6">
      <c r="A48" s="4" t="s">
        <v>292</v>
      </c>
      <c r="B48" s="3">
        <v>51385</v>
      </c>
      <c r="C48" s="3" t="s">
        <v>19</v>
      </c>
      <c r="D48" s="3" t="s">
        <v>381</v>
      </c>
      <c r="E48" s="3" t="s">
        <v>933</v>
      </c>
      <c r="F48" s="3" t="e">
        <f>VLOOKUP(B48,领导干部!B:B,1,0)</f>
        <v>#N/A</v>
      </c>
    </row>
    <row r="49" spans="1:6">
      <c r="A49" s="4" t="s">
        <v>351</v>
      </c>
      <c r="B49" s="3">
        <v>51190</v>
      </c>
      <c r="C49" s="3" t="s">
        <v>97</v>
      </c>
      <c r="D49" s="3" t="s">
        <v>510</v>
      </c>
      <c r="E49" s="3" t="s">
        <v>905</v>
      </c>
      <c r="F49" s="3" t="e">
        <f>VLOOKUP(B49,领导干部!B:B,1,0)</f>
        <v>#N/A</v>
      </c>
    </row>
    <row r="50" spans="1:6">
      <c r="A50" s="4" t="s">
        <v>353</v>
      </c>
      <c r="B50" s="4">
        <v>51395</v>
      </c>
      <c r="C50" s="3" t="s">
        <v>142</v>
      </c>
      <c r="D50" s="3" t="s">
        <v>191</v>
      </c>
      <c r="E50" s="3" t="s">
        <v>924</v>
      </c>
      <c r="F50" s="3" t="e">
        <f>VLOOKUP(B50,领导干部!B:B,1,0)</f>
        <v>#N/A</v>
      </c>
    </row>
    <row r="51" spans="1:6">
      <c r="A51" s="4" t="s">
        <v>355</v>
      </c>
      <c r="B51" s="3">
        <v>51844</v>
      </c>
      <c r="C51" s="3" t="s">
        <v>64</v>
      </c>
      <c r="D51" s="3" t="s">
        <v>642</v>
      </c>
      <c r="E51" s="3" t="s">
        <v>932</v>
      </c>
      <c r="F51" s="3" t="e">
        <f>VLOOKUP(B51,领导干部!B:B,1,0)</f>
        <v>#N/A</v>
      </c>
    </row>
    <row r="52" spans="1:6">
      <c r="A52" s="5" t="s">
        <v>357</v>
      </c>
      <c r="B52" s="6">
        <v>51781</v>
      </c>
      <c r="C52" s="6" t="s">
        <v>64</v>
      </c>
      <c r="D52" s="6" t="s">
        <v>510</v>
      </c>
      <c r="E52" s="3" t="s">
        <v>905</v>
      </c>
      <c r="F52" s="6" t="e">
        <f>VLOOKUP(B52,领导干部!B:B,1,0)</f>
        <v>#N/A</v>
      </c>
    </row>
    <row r="53" spans="1:6">
      <c r="A53" s="4" t="s">
        <v>322</v>
      </c>
      <c r="B53" s="3">
        <v>51186</v>
      </c>
      <c r="C53" s="3" t="s">
        <v>97</v>
      </c>
      <c r="D53" s="3" t="s">
        <v>510</v>
      </c>
      <c r="E53" s="3" t="s">
        <v>905</v>
      </c>
      <c r="F53" s="3" t="e">
        <f>VLOOKUP(B53,领导干部!B:B,1,0)</f>
        <v>#N/A</v>
      </c>
    </row>
    <row r="54" spans="1:6">
      <c r="A54" s="4" t="s">
        <v>360</v>
      </c>
      <c r="B54" s="3">
        <v>50713</v>
      </c>
      <c r="C54" s="3" t="s">
        <v>19</v>
      </c>
      <c r="D54" s="3" t="s">
        <v>935</v>
      </c>
      <c r="E54" s="3" t="s">
        <v>936</v>
      </c>
      <c r="F54" s="3" t="e">
        <f>VLOOKUP(B54,领导干部!B:B,1,0)</f>
        <v>#N/A</v>
      </c>
    </row>
    <row r="55" spans="1:6">
      <c r="A55" s="4" t="s">
        <v>249</v>
      </c>
      <c r="B55" s="3">
        <v>51160</v>
      </c>
      <c r="C55" s="3" t="s">
        <v>128</v>
      </c>
      <c r="D55" s="3" t="s">
        <v>510</v>
      </c>
      <c r="E55" s="3" t="s">
        <v>905</v>
      </c>
      <c r="F55" s="3" t="e">
        <f>VLOOKUP(B55,领导干部!B:B,1,0)</f>
        <v>#N/A</v>
      </c>
    </row>
    <row r="56" spans="1:6">
      <c r="A56" s="4" t="s">
        <v>364</v>
      </c>
      <c r="B56" s="3">
        <v>52236</v>
      </c>
      <c r="C56" s="3" t="s">
        <v>64</v>
      </c>
      <c r="D56" s="3" t="s">
        <v>642</v>
      </c>
      <c r="E56" s="3" t="s">
        <v>932</v>
      </c>
      <c r="F56" s="3" t="e">
        <f>VLOOKUP(B56,领导干部!B:B,1,0)</f>
        <v>#N/A</v>
      </c>
    </row>
    <row r="57" spans="1:6">
      <c r="A57" s="4" t="s">
        <v>319</v>
      </c>
      <c r="B57" s="3">
        <v>51642</v>
      </c>
      <c r="C57" s="3" t="s">
        <v>97</v>
      </c>
      <c r="D57" s="3" t="s">
        <v>642</v>
      </c>
      <c r="E57" s="3" t="s">
        <v>932</v>
      </c>
      <c r="F57" s="3" t="e">
        <f>VLOOKUP(B57,领导干部!B:B,1,0)</f>
        <v>#N/A</v>
      </c>
    </row>
    <row r="58" spans="1:6">
      <c r="A58" s="4" t="s">
        <v>56</v>
      </c>
      <c r="B58" s="3">
        <v>52560</v>
      </c>
      <c r="C58" s="3" t="s">
        <v>33</v>
      </c>
      <c r="D58" s="3" t="s">
        <v>642</v>
      </c>
      <c r="E58" s="3" t="s">
        <v>932</v>
      </c>
      <c r="F58" s="3" t="e">
        <f>VLOOKUP(B58,领导干部!B:B,1,0)</f>
        <v>#N/A</v>
      </c>
    </row>
    <row r="59" spans="1:6">
      <c r="A59" s="4" t="s">
        <v>272</v>
      </c>
      <c r="B59" s="3">
        <v>50730</v>
      </c>
      <c r="C59" s="3" t="s">
        <v>64</v>
      </c>
      <c r="D59" s="3" t="s">
        <v>643</v>
      </c>
      <c r="E59" s="3" t="s">
        <v>934</v>
      </c>
      <c r="F59" s="3" t="e">
        <f>VLOOKUP(B59,领导干部!B:B,1,0)</f>
        <v>#N/A</v>
      </c>
    </row>
    <row r="60" spans="1:6">
      <c r="A60" s="4" t="s">
        <v>369</v>
      </c>
      <c r="B60" s="4">
        <v>51665</v>
      </c>
      <c r="C60" s="3" t="s">
        <v>142</v>
      </c>
      <c r="D60" s="3" t="s">
        <v>191</v>
      </c>
      <c r="E60" s="3" t="s">
        <v>905</v>
      </c>
      <c r="F60" s="3" t="e">
        <f>VLOOKUP(B60,领导干部!B:B,1,0)</f>
        <v>#N/A</v>
      </c>
    </row>
    <row r="61" spans="1:6">
      <c r="A61" s="4" t="s">
        <v>371</v>
      </c>
      <c r="B61" s="3">
        <v>51640</v>
      </c>
      <c r="C61" s="3" t="s">
        <v>64</v>
      </c>
      <c r="D61" s="3" t="s">
        <v>643</v>
      </c>
      <c r="E61" s="3" t="s">
        <v>934</v>
      </c>
      <c r="F61" s="3" t="e">
        <f>VLOOKUP(B61,领导干部!B:B,1,0)</f>
        <v>#N/A</v>
      </c>
    </row>
    <row r="62" spans="1:6">
      <c r="A62" s="4" t="s">
        <v>373</v>
      </c>
      <c r="B62" s="3">
        <v>51234</v>
      </c>
      <c r="C62" s="3" t="s">
        <v>97</v>
      </c>
      <c r="D62" s="3" t="s">
        <v>642</v>
      </c>
      <c r="E62" s="3" t="s">
        <v>932</v>
      </c>
      <c r="F62" s="3" t="e">
        <f>VLOOKUP(B62,领导干部!B:B,1,0)</f>
        <v>#N/A</v>
      </c>
    </row>
    <row r="63" spans="1:6">
      <c r="A63" s="4" t="s">
        <v>375</v>
      </c>
      <c r="B63" s="3">
        <v>22298</v>
      </c>
      <c r="C63" s="3" t="s">
        <v>97</v>
      </c>
      <c r="D63" s="3" t="s">
        <v>642</v>
      </c>
      <c r="E63" s="3" t="s">
        <v>932</v>
      </c>
      <c r="F63" s="3" t="e">
        <f>VLOOKUP(B63,领导干部!B:B,1,0)</f>
        <v>#N/A</v>
      </c>
    </row>
    <row r="64" spans="1:6">
      <c r="A64" s="4" t="s">
        <v>380</v>
      </c>
      <c r="B64" s="3">
        <v>50722</v>
      </c>
      <c r="C64" s="3" t="s">
        <v>33</v>
      </c>
      <c r="D64" s="3" t="s">
        <v>642</v>
      </c>
      <c r="E64" s="3" t="s">
        <v>932</v>
      </c>
      <c r="F64" s="3" t="e">
        <f>VLOOKUP(B64,领导干部!B:B,1,0)</f>
        <v>#N/A</v>
      </c>
    </row>
    <row r="65" spans="1:6">
      <c r="A65" s="4" t="s">
        <v>270</v>
      </c>
      <c r="B65" s="3">
        <v>51615</v>
      </c>
      <c r="C65" s="3" t="s">
        <v>64</v>
      </c>
      <c r="D65" s="3" t="s">
        <v>642</v>
      </c>
      <c r="E65" s="3" t="s">
        <v>932</v>
      </c>
      <c r="F65" s="3" t="e">
        <f>VLOOKUP(B65,领导干部!B:B,1,0)</f>
        <v>#N/A</v>
      </c>
    </row>
    <row r="66" spans="1:6">
      <c r="A66" s="4" t="s">
        <v>384</v>
      </c>
      <c r="B66" s="3">
        <v>50710</v>
      </c>
      <c r="C66" s="3" t="s">
        <v>97</v>
      </c>
      <c r="D66" s="3" t="s">
        <v>510</v>
      </c>
      <c r="E66" s="3" t="s">
        <v>905</v>
      </c>
      <c r="F66" s="3" t="e">
        <f>VLOOKUP(B66,领导干部!B:B,1,0)</f>
        <v>#N/A</v>
      </c>
    </row>
    <row r="67" spans="1:6">
      <c r="A67" s="4" t="s">
        <v>386</v>
      </c>
      <c r="B67" s="4">
        <v>17090</v>
      </c>
      <c r="C67" s="3" t="s">
        <v>142</v>
      </c>
      <c r="D67" s="3" t="s">
        <v>191</v>
      </c>
      <c r="E67" s="3" t="s">
        <v>905</v>
      </c>
      <c r="F67" s="3" t="e">
        <f>VLOOKUP(B67,领导干部!B:B,1,0)</f>
        <v>#N/A</v>
      </c>
    </row>
    <row r="68" spans="1:6">
      <c r="A68" s="4" t="s">
        <v>388</v>
      </c>
      <c r="B68" s="3">
        <v>50864</v>
      </c>
      <c r="C68" s="3" t="s">
        <v>128</v>
      </c>
      <c r="D68" s="3" t="s">
        <v>390</v>
      </c>
      <c r="E68" s="3" t="s">
        <v>922</v>
      </c>
      <c r="F68" s="3" t="e">
        <f>VLOOKUP(B68,领导干部!B:B,1,0)</f>
        <v>#N/A</v>
      </c>
    </row>
    <row r="69" spans="1:6">
      <c r="A69" s="4" t="s">
        <v>344</v>
      </c>
      <c r="B69" s="3">
        <v>51591</v>
      </c>
      <c r="C69" s="3" t="s">
        <v>9</v>
      </c>
      <c r="D69" s="3" t="s">
        <v>935</v>
      </c>
      <c r="E69" s="3" t="s">
        <v>936</v>
      </c>
      <c r="F69" s="3" t="e">
        <f>VLOOKUP(B69,领导干部!B:B,1,0)</f>
        <v>#N/A</v>
      </c>
    </row>
    <row r="70" spans="1:6">
      <c r="A70" s="4" t="s">
        <v>393</v>
      </c>
      <c r="B70" s="3">
        <v>52133</v>
      </c>
      <c r="C70" s="3" t="s">
        <v>64</v>
      </c>
      <c r="D70" s="3" t="s">
        <v>642</v>
      </c>
      <c r="E70" s="3" t="s">
        <v>932</v>
      </c>
      <c r="F70" s="3" t="e">
        <f>VLOOKUP(B70,领导干部!B:B,1,0)</f>
        <v>#N/A</v>
      </c>
    </row>
    <row r="71" spans="1:6">
      <c r="A71" s="4" t="s">
        <v>298</v>
      </c>
      <c r="B71" s="3">
        <v>51517</v>
      </c>
      <c r="C71" s="3" t="s">
        <v>19</v>
      </c>
      <c r="D71" s="3" t="s">
        <v>642</v>
      </c>
      <c r="E71" s="3" t="s">
        <v>932</v>
      </c>
      <c r="F71" s="3" t="e">
        <f>VLOOKUP(B71,领导干部!B:B,1,0)</f>
        <v>#N/A</v>
      </c>
    </row>
    <row r="72" spans="1:6">
      <c r="A72" s="4" t="s">
        <v>333</v>
      </c>
      <c r="B72" s="3">
        <v>50032</v>
      </c>
      <c r="C72" s="3" t="s">
        <v>9</v>
      </c>
      <c r="D72" s="3" t="s">
        <v>643</v>
      </c>
      <c r="E72" s="3" t="s">
        <v>934</v>
      </c>
      <c r="F72" s="3" t="e">
        <f>VLOOKUP(B72,领导干部!B:B,1,0)</f>
        <v>#N/A</v>
      </c>
    </row>
    <row r="73" spans="1:6">
      <c r="A73" s="4" t="s">
        <v>223</v>
      </c>
      <c r="B73" s="3">
        <v>51166</v>
      </c>
      <c r="C73" s="3" t="s">
        <v>952</v>
      </c>
      <c r="D73" s="3" t="s">
        <v>213</v>
      </c>
      <c r="E73" s="3" t="s">
        <v>905</v>
      </c>
      <c r="F73" s="3" t="e">
        <f>VLOOKUP(B73,领导干部!B:B,1,0)</f>
        <v>#N/A</v>
      </c>
    </row>
    <row r="74" spans="1:6">
      <c r="A74" s="4" t="s">
        <v>399</v>
      </c>
      <c r="B74" s="3">
        <v>27100</v>
      </c>
      <c r="C74" s="3" t="s">
        <v>128</v>
      </c>
      <c r="D74" s="3" t="s">
        <v>237</v>
      </c>
      <c r="E74" s="3" t="s">
        <v>905</v>
      </c>
      <c r="F74" s="3" t="e">
        <f>VLOOKUP(B74,领导干部!B:B,1,0)</f>
        <v>#N/A</v>
      </c>
    </row>
    <row r="75" spans="1:6">
      <c r="A75" s="4" t="s">
        <v>295</v>
      </c>
      <c r="B75" s="3">
        <v>51951</v>
      </c>
      <c r="C75" s="3" t="s">
        <v>19</v>
      </c>
      <c r="D75" s="3" t="s">
        <v>643</v>
      </c>
      <c r="E75" s="3" t="s">
        <v>934</v>
      </c>
      <c r="F75" s="3" t="e">
        <f>VLOOKUP(B75,领导干部!B:B,1,0)</f>
        <v>#N/A</v>
      </c>
    </row>
    <row r="76" spans="1:6">
      <c r="A76" s="4" t="s">
        <v>405</v>
      </c>
      <c r="B76" s="3">
        <v>50686</v>
      </c>
      <c r="C76" s="3" t="s">
        <v>128</v>
      </c>
      <c r="D76" s="3" t="s">
        <v>191</v>
      </c>
      <c r="E76" s="3" t="s">
        <v>933</v>
      </c>
      <c r="F76" s="3" t="e">
        <f>VLOOKUP(B76,领导干部!B:B,1,0)</f>
        <v>#N/A</v>
      </c>
    </row>
    <row r="77" spans="1:6">
      <c r="A77" s="4" t="s">
        <v>258</v>
      </c>
      <c r="B77" s="3">
        <v>25601</v>
      </c>
      <c r="C77" s="3" t="s">
        <v>142</v>
      </c>
      <c r="D77" s="3" t="s">
        <v>276</v>
      </c>
      <c r="E77" s="3" t="s">
        <v>924</v>
      </c>
      <c r="F77" s="3" t="e">
        <f>VLOOKUP(B77,领导干部!B:B,1,0)</f>
        <v>#N/A</v>
      </c>
    </row>
    <row r="78" spans="1:6">
      <c r="A78" s="4" t="s">
        <v>408</v>
      </c>
      <c r="B78" s="3">
        <v>25548</v>
      </c>
      <c r="C78" s="3" t="s">
        <v>64</v>
      </c>
      <c r="D78" s="3" t="s">
        <v>642</v>
      </c>
      <c r="E78" s="3" t="s">
        <v>932</v>
      </c>
      <c r="F78" s="3" t="e">
        <f>VLOOKUP(B78,领导干部!B:B,1,0)</f>
        <v>#N/A</v>
      </c>
    </row>
    <row r="79" spans="1:6">
      <c r="A79" s="4" t="s">
        <v>358</v>
      </c>
      <c r="B79" s="3">
        <v>51387</v>
      </c>
      <c r="C79" s="3" t="s">
        <v>19</v>
      </c>
      <c r="D79" s="3" t="s">
        <v>935</v>
      </c>
      <c r="E79" s="3" t="s">
        <v>936</v>
      </c>
      <c r="F79" s="3" t="e">
        <f>VLOOKUP(B79,领导干部!B:B,1,0)</f>
        <v>#N/A</v>
      </c>
    </row>
    <row r="80" hidden="1" spans="1:6">
      <c r="A80" s="10" t="s">
        <v>409</v>
      </c>
      <c r="B80" s="11">
        <v>26621</v>
      </c>
      <c r="C80" s="11" t="s">
        <v>142</v>
      </c>
      <c r="D80" s="11" t="s">
        <v>193</v>
      </c>
      <c r="E80" s="11">
        <v>0</v>
      </c>
      <c r="F80" s="12">
        <f>VLOOKUP(B80,领导干部!B:B,1,0)</f>
        <v>26621</v>
      </c>
    </row>
    <row r="81" spans="1:6">
      <c r="A81" s="4" t="s">
        <v>389</v>
      </c>
      <c r="B81" s="3">
        <v>22291</v>
      </c>
      <c r="C81" s="3" t="s">
        <v>128</v>
      </c>
      <c r="D81" s="3" t="s">
        <v>390</v>
      </c>
      <c r="E81" s="3" t="s">
        <v>922</v>
      </c>
      <c r="F81" s="3" t="e">
        <f>VLOOKUP(B81,领导干部!B:B,1,0)</f>
        <v>#N/A</v>
      </c>
    </row>
    <row r="82" spans="1:6">
      <c r="A82" s="4" t="s">
        <v>410</v>
      </c>
      <c r="B82" s="4">
        <v>51196</v>
      </c>
      <c r="C82" s="3" t="s">
        <v>33</v>
      </c>
      <c r="D82" s="3" t="s">
        <v>510</v>
      </c>
      <c r="E82" s="3" t="s">
        <v>905</v>
      </c>
      <c r="F82" s="3" t="e">
        <f>VLOOKUP(B82,领导干部!B:B,1,0)</f>
        <v>#N/A</v>
      </c>
    </row>
    <row r="83" spans="1:6">
      <c r="A83" s="5" t="s">
        <v>412</v>
      </c>
      <c r="B83" s="6">
        <v>22250</v>
      </c>
      <c r="C83" s="6" t="s">
        <v>142</v>
      </c>
      <c r="D83" s="6" t="s">
        <v>191</v>
      </c>
      <c r="E83" s="3" t="s">
        <v>905</v>
      </c>
      <c r="F83" s="6" t="e">
        <f>VLOOKUP(B83,领导干部!B:B,1,0)</f>
        <v>#N/A</v>
      </c>
    </row>
    <row r="84" ht="15" hidden="1" spans="1:6">
      <c r="A84" s="10" t="s">
        <v>414</v>
      </c>
      <c r="B84" s="13">
        <v>51162</v>
      </c>
      <c r="C84" s="3" t="s">
        <v>952</v>
      </c>
      <c r="D84" s="11" t="s">
        <v>193</v>
      </c>
      <c r="E84" s="11">
        <v>0</v>
      </c>
      <c r="F84" s="12">
        <f>VLOOKUP(B84,领导干部!B:B,1,0)</f>
        <v>51162</v>
      </c>
    </row>
    <row r="85" spans="1:6">
      <c r="A85" s="4" t="s">
        <v>259</v>
      </c>
      <c r="B85" s="4">
        <v>51784</v>
      </c>
      <c r="C85" s="3" t="s">
        <v>64</v>
      </c>
      <c r="D85" s="3" t="s">
        <v>642</v>
      </c>
      <c r="E85" s="3" t="s">
        <v>932</v>
      </c>
      <c r="F85" s="3" t="e">
        <f>VLOOKUP(B85,领导干部!B:B,1,0)</f>
        <v>#N/A</v>
      </c>
    </row>
    <row r="86" spans="1:6">
      <c r="A86" s="4" t="s">
        <v>417</v>
      </c>
      <c r="B86" s="3">
        <v>27106</v>
      </c>
      <c r="C86" s="3" t="s">
        <v>142</v>
      </c>
      <c r="D86" s="3" t="s">
        <v>191</v>
      </c>
      <c r="E86" s="3" t="s">
        <v>905</v>
      </c>
      <c r="F86" s="3" t="e">
        <f>VLOOKUP(B86,领导干部!B:B,1,0)</f>
        <v>#N/A</v>
      </c>
    </row>
    <row r="87" spans="1:6">
      <c r="A87" s="4" t="s">
        <v>419</v>
      </c>
      <c r="B87" s="4">
        <v>51396</v>
      </c>
      <c r="C87" s="3" t="s">
        <v>142</v>
      </c>
      <c r="D87" s="3" t="s">
        <v>191</v>
      </c>
      <c r="E87" s="3" t="s">
        <v>905</v>
      </c>
      <c r="F87" s="3" t="e">
        <f>VLOOKUP(B87,领导干部!B:B,1,0)</f>
        <v>#N/A</v>
      </c>
    </row>
    <row r="88" spans="1:6">
      <c r="A88" s="4" t="s">
        <v>421</v>
      </c>
      <c r="B88" s="3">
        <v>26654</v>
      </c>
      <c r="C88" s="3" t="s">
        <v>142</v>
      </c>
      <c r="D88" s="3" t="s">
        <v>938</v>
      </c>
      <c r="E88" s="3" t="s">
        <v>939</v>
      </c>
      <c r="F88" s="3" t="e">
        <f>VLOOKUP(B88,领导干部!B:B,1,0)</f>
        <v>#N/A</v>
      </c>
    </row>
    <row r="89" spans="1:6">
      <c r="A89" s="4" t="s">
        <v>424</v>
      </c>
      <c r="B89" s="3">
        <v>50317</v>
      </c>
      <c r="C89" s="3" t="s">
        <v>142</v>
      </c>
      <c r="D89" s="3" t="s">
        <v>191</v>
      </c>
      <c r="E89" s="3" t="s">
        <v>905</v>
      </c>
      <c r="F89" s="3" t="e">
        <f>VLOOKUP(B89,领导干部!B:B,1,0)</f>
        <v>#N/A</v>
      </c>
    </row>
    <row r="90" spans="1:6">
      <c r="A90" s="4" t="s">
        <v>426</v>
      </c>
      <c r="B90" s="3">
        <v>51175</v>
      </c>
      <c r="C90" s="3" t="s">
        <v>33</v>
      </c>
      <c r="D90" s="3" t="s">
        <v>642</v>
      </c>
      <c r="E90" s="3" t="s">
        <v>932</v>
      </c>
      <c r="F90" s="3" t="e">
        <f>VLOOKUP(B90,领导干部!B:B,1,0)</f>
        <v>#N/A</v>
      </c>
    </row>
    <row r="91" spans="1:6">
      <c r="A91" s="4" t="s">
        <v>428</v>
      </c>
      <c r="B91" s="3">
        <v>25762</v>
      </c>
      <c r="C91" s="3" t="s">
        <v>97</v>
      </c>
      <c r="D91" s="3" t="s">
        <v>642</v>
      </c>
      <c r="E91" s="3" t="s">
        <v>932</v>
      </c>
      <c r="F91" s="3" t="e">
        <f>VLOOKUP(B91,领导干部!B:B,1,0)</f>
        <v>#N/A</v>
      </c>
    </row>
    <row r="92" spans="1:6">
      <c r="A92" s="4" t="s">
        <v>429</v>
      </c>
      <c r="B92" s="3">
        <v>51226</v>
      </c>
      <c r="C92" s="3" t="s">
        <v>128</v>
      </c>
      <c r="D92" s="3" t="s">
        <v>191</v>
      </c>
      <c r="E92" s="3" t="s">
        <v>924</v>
      </c>
      <c r="F92" s="3" t="e">
        <f>VLOOKUP(B92,领导干部!B:B,1,0)</f>
        <v>#N/A</v>
      </c>
    </row>
    <row r="93" spans="1:6">
      <c r="A93" s="4" t="s">
        <v>430</v>
      </c>
      <c r="B93" s="3">
        <v>25071</v>
      </c>
      <c r="C93" s="3" t="s">
        <v>64</v>
      </c>
      <c r="D93" s="3" t="s">
        <v>510</v>
      </c>
      <c r="E93" s="3" t="s">
        <v>905</v>
      </c>
      <c r="F93" s="3" t="e">
        <f>VLOOKUP(B93,领导干部!B:B,1,0)</f>
        <v>#N/A</v>
      </c>
    </row>
    <row r="94" spans="1:6">
      <c r="A94" s="4" t="s">
        <v>432</v>
      </c>
      <c r="B94" s="3">
        <v>25599</v>
      </c>
      <c r="C94" s="3" t="s">
        <v>142</v>
      </c>
      <c r="D94" s="3" t="s">
        <v>510</v>
      </c>
      <c r="E94" s="3" t="s">
        <v>905</v>
      </c>
      <c r="F94" s="3" t="e">
        <f>VLOOKUP(B94,领导干部!B:B,1,0)</f>
        <v>#N/A</v>
      </c>
    </row>
    <row r="95" spans="1:6">
      <c r="A95" s="4" t="s">
        <v>305</v>
      </c>
      <c r="B95" s="3">
        <v>51389</v>
      </c>
      <c r="C95" s="3" t="s">
        <v>19</v>
      </c>
      <c r="D95" s="3" t="s">
        <v>381</v>
      </c>
      <c r="E95" s="3" t="s">
        <v>933</v>
      </c>
      <c r="F95" s="3" t="e">
        <f>VLOOKUP(B95,领导干部!B:B,1,0)</f>
        <v>#N/A</v>
      </c>
    </row>
    <row r="96" spans="1:6">
      <c r="A96" s="4" t="s">
        <v>262</v>
      </c>
      <c r="B96" s="3">
        <v>22294</v>
      </c>
      <c r="C96" s="3" t="s">
        <v>64</v>
      </c>
      <c r="D96" s="3" t="s">
        <v>510</v>
      </c>
      <c r="E96" s="3" t="s">
        <v>905</v>
      </c>
      <c r="F96" s="3" t="e">
        <f>VLOOKUP(B96,领导干部!B:B,1,0)</f>
        <v>#N/A</v>
      </c>
    </row>
    <row r="97" spans="1:6">
      <c r="A97" s="4" t="s">
        <v>376</v>
      </c>
      <c r="B97" s="3">
        <v>50872</v>
      </c>
      <c r="C97" s="3" t="s">
        <v>19</v>
      </c>
      <c r="D97" s="3" t="s">
        <v>381</v>
      </c>
      <c r="E97" s="3" t="s">
        <v>933</v>
      </c>
      <c r="F97" s="3" t="e">
        <f>VLOOKUP(B97,领导干部!B:B,1,0)</f>
        <v>#N/A</v>
      </c>
    </row>
    <row r="98" spans="1:6">
      <c r="A98" s="4" t="s">
        <v>226</v>
      </c>
      <c r="B98" s="3">
        <v>50876</v>
      </c>
      <c r="C98" s="3" t="s">
        <v>952</v>
      </c>
      <c r="D98" s="3" t="s">
        <v>213</v>
      </c>
      <c r="E98" s="3" t="s">
        <v>934</v>
      </c>
      <c r="F98" s="3" t="e">
        <f>VLOOKUP(B98,领导干部!B:B,1,0)</f>
        <v>#N/A</v>
      </c>
    </row>
    <row r="99" spans="1:6">
      <c r="A99" s="4" t="s">
        <v>314</v>
      </c>
      <c r="B99" s="3">
        <v>51407</v>
      </c>
      <c r="C99" s="3" t="s">
        <v>97</v>
      </c>
      <c r="D99" s="3" t="s">
        <v>643</v>
      </c>
      <c r="E99" s="3" t="s">
        <v>934</v>
      </c>
      <c r="F99" s="3" t="e">
        <f>VLOOKUP(B99,领导干部!B:B,1,0)</f>
        <v>#N/A</v>
      </c>
    </row>
    <row r="100" spans="1:6">
      <c r="A100" s="4" t="s">
        <v>440</v>
      </c>
      <c r="B100" s="3">
        <v>50716</v>
      </c>
      <c r="C100" s="3" t="s">
        <v>33</v>
      </c>
      <c r="D100" s="3" t="s">
        <v>643</v>
      </c>
      <c r="E100" s="3" t="s">
        <v>934</v>
      </c>
      <c r="F100" s="3" t="e">
        <f>VLOOKUP(B100,领导干部!B:B,1,0)</f>
        <v>#N/A</v>
      </c>
    </row>
    <row r="101" spans="1:6">
      <c r="A101" s="4" t="s">
        <v>125</v>
      </c>
      <c r="B101" s="3">
        <v>50079</v>
      </c>
      <c r="C101" s="3" t="s">
        <v>952</v>
      </c>
      <c r="D101" s="3" t="s">
        <v>213</v>
      </c>
      <c r="E101" s="3" t="s">
        <v>936</v>
      </c>
      <c r="F101" s="3" t="e">
        <f>VLOOKUP(B101,领导干部!B:B,1,0)</f>
        <v>#N/A</v>
      </c>
    </row>
    <row r="102" spans="1:6">
      <c r="A102" s="4" t="s">
        <v>445</v>
      </c>
      <c r="B102" s="3">
        <v>51194</v>
      </c>
      <c r="C102" s="3" t="s">
        <v>33</v>
      </c>
      <c r="D102" s="3" t="s">
        <v>510</v>
      </c>
      <c r="E102" s="3" t="s">
        <v>905</v>
      </c>
      <c r="F102" s="3" t="e">
        <f>VLOOKUP(B102,领导干部!B:B,1,0)</f>
        <v>#N/A</v>
      </c>
    </row>
    <row r="103" spans="1:6">
      <c r="A103" s="4" t="s">
        <v>447</v>
      </c>
      <c r="B103" s="4">
        <v>52347</v>
      </c>
      <c r="C103" s="3" t="s">
        <v>33</v>
      </c>
      <c r="D103" s="3" t="s">
        <v>510</v>
      </c>
      <c r="E103" s="3" t="s">
        <v>905</v>
      </c>
      <c r="F103" s="3" t="e">
        <f>VLOOKUP(B103,领导干部!B:B,1,0)</f>
        <v>#N/A</v>
      </c>
    </row>
    <row r="104" spans="1:6">
      <c r="A104" s="4" t="s">
        <v>267</v>
      </c>
      <c r="B104" s="3">
        <v>51624</v>
      </c>
      <c r="C104" s="3" t="s">
        <v>64</v>
      </c>
      <c r="D104" s="3" t="s">
        <v>643</v>
      </c>
      <c r="E104" s="3" t="s">
        <v>934</v>
      </c>
      <c r="F104" s="3" t="e">
        <f>VLOOKUP(B104,领导干部!B:B,1,0)</f>
        <v>#N/A</v>
      </c>
    </row>
    <row r="105" spans="1:6">
      <c r="A105" s="4" t="s">
        <v>450</v>
      </c>
      <c r="B105" s="3">
        <v>51570</v>
      </c>
      <c r="C105" s="3" t="s">
        <v>142</v>
      </c>
      <c r="D105" s="3" t="s">
        <v>191</v>
      </c>
      <c r="E105" s="3" t="s">
        <v>905</v>
      </c>
      <c r="F105" s="3" t="e">
        <f>VLOOKUP(B105,领导干部!B:B,1,0)</f>
        <v>#N/A</v>
      </c>
    </row>
    <row r="106" spans="1:6">
      <c r="A106" s="4" t="s">
        <v>453</v>
      </c>
      <c r="B106" s="7">
        <v>26828</v>
      </c>
      <c r="C106" s="3" t="s">
        <v>128</v>
      </c>
      <c r="D106" s="3" t="s">
        <v>510</v>
      </c>
      <c r="E106" s="3" t="s">
        <v>905</v>
      </c>
      <c r="F106" s="3" t="e">
        <f>VLOOKUP(B106,领导干部!B:B,1,0)</f>
        <v>#N/A</v>
      </c>
    </row>
    <row r="107" spans="1:6">
      <c r="A107" s="4" t="s">
        <v>455</v>
      </c>
      <c r="B107" s="3">
        <v>51955</v>
      </c>
      <c r="C107" s="3" t="s">
        <v>64</v>
      </c>
      <c r="D107" s="3" t="s">
        <v>643</v>
      </c>
      <c r="E107" s="3" t="s">
        <v>934</v>
      </c>
      <c r="F107" s="3" t="e">
        <f>VLOOKUP(B107,领导干部!B:B,1,0)</f>
        <v>#N/A</v>
      </c>
    </row>
    <row r="108" spans="1:6">
      <c r="A108" s="4" t="s">
        <v>427</v>
      </c>
      <c r="B108" s="3">
        <v>18672</v>
      </c>
      <c r="C108" s="3" t="s">
        <v>142</v>
      </c>
      <c r="D108" s="3" t="s">
        <v>191</v>
      </c>
      <c r="E108" s="3" t="s">
        <v>924</v>
      </c>
      <c r="F108" s="3" t="e">
        <f>VLOOKUP(B108,领导干部!B:B,1,0)</f>
        <v>#N/A</v>
      </c>
    </row>
    <row r="109" spans="1:6">
      <c r="A109" s="4" t="s">
        <v>336</v>
      </c>
      <c r="B109" s="4">
        <v>18550</v>
      </c>
      <c r="C109" s="3" t="s">
        <v>9</v>
      </c>
      <c r="D109" s="3" t="s">
        <v>935</v>
      </c>
      <c r="E109" s="3" t="s">
        <v>936</v>
      </c>
      <c r="F109" s="3" t="e">
        <f>VLOOKUP(B109,领导干部!B:B,1,0)</f>
        <v>#N/A</v>
      </c>
    </row>
    <row r="110" spans="1:6">
      <c r="A110" s="4" t="s">
        <v>459</v>
      </c>
      <c r="B110" s="3">
        <v>51400</v>
      </c>
      <c r="C110" s="3" t="s">
        <v>64</v>
      </c>
      <c r="D110" s="3" t="s">
        <v>643</v>
      </c>
      <c r="E110" s="3" t="s">
        <v>934</v>
      </c>
      <c r="F110" s="3" t="e">
        <f>VLOOKUP(B110,领导干部!B:B,1,0)</f>
        <v>#N/A</v>
      </c>
    </row>
    <row r="111" spans="1:6">
      <c r="A111" s="4" t="s">
        <v>462</v>
      </c>
      <c r="B111" s="3">
        <v>51428</v>
      </c>
      <c r="C111" s="3" t="s">
        <v>142</v>
      </c>
      <c r="D111" s="3" t="s">
        <v>191</v>
      </c>
      <c r="E111" s="3" t="s">
        <v>933</v>
      </c>
      <c r="F111" s="3" t="e">
        <f>VLOOKUP(B111,领导干部!B:B,1,0)</f>
        <v>#N/A</v>
      </c>
    </row>
    <row r="112" spans="1:6">
      <c r="A112" s="4" t="s">
        <v>464</v>
      </c>
      <c r="B112" s="3">
        <v>18548</v>
      </c>
      <c r="C112" s="3" t="s">
        <v>97</v>
      </c>
      <c r="D112" s="3" t="s">
        <v>510</v>
      </c>
      <c r="E112" s="3" t="s">
        <v>905</v>
      </c>
      <c r="F112" s="3" t="e">
        <f>VLOOKUP(B112,领导干部!B:B,1,0)</f>
        <v>#N/A</v>
      </c>
    </row>
    <row r="113" spans="1:6">
      <c r="A113" s="4" t="s">
        <v>395</v>
      </c>
      <c r="B113" s="3">
        <v>50278</v>
      </c>
      <c r="C113" s="3" t="s">
        <v>97</v>
      </c>
      <c r="D113" s="3" t="s">
        <v>390</v>
      </c>
      <c r="E113" s="3" t="s">
        <v>922</v>
      </c>
      <c r="F113" s="3" t="e">
        <f>VLOOKUP(B113,领导干部!B:B,1,0)</f>
        <v>#N/A</v>
      </c>
    </row>
    <row r="114" spans="1:6">
      <c r="A114" s="4" t="s">
        <v>327</v>
      </c>
      <c r="B114" s="3">
        <v>17243</v>
      </c>
      <c r="C114" s="3" t="s">
        <v>9</v>
      </c>
      <c r="D114" s="3" t="s">
        <v>381</v>
      </c>
      <c r="E114" s="3" t="s">
        <v>933</v>
      </c>
      <c r="F114" s="3" t="e">
        <f>VLOOKUP(B114,领导干部!B:B,1,0)</f>
        <v>#N/A</v>
      </c>
    </row>
    <row r="115" spans="1:6">
      <c r="A115" s="4" t="s">
        <v>289</v>
      </c>
      <c r="B115" s="3">
        <v>22259</v>
      </c>
      <c r="C115" s="3" t="s">
        <v>33</v>
      </c>
      <c r="D115" s="3" t="s">
        <v>935</v>
      </c>
      <c r="E115" s="3" t="s">
        <v>936</v>
      </c>
      <c r="F115" s="3" t="e">
        <f>VLOOKUP(B115,领导干部!B:B,1,0)</f>
        <v>#N/A</v>
      </c>
    </row>
    <row r="116" spans="1:6">
      <c r="A116" s="4" t="s">
        <v>470</v>
      </c>
      <c r="B116" s="4">
        <v>52017</v>
      </c>
      <c r="C116" s="3" t="s">
        <v>64</v>
      </c>
      <c r="D116" s="3" t="s">
        <v>643</v>
      </c>
      <c r="E116" s="3" t="s">
        <v>934</v>
      </c>
      <c r="F116" s="3" t="e">
        <f>VLOOKUP(B116,领导干部!B:B,1,0)</f>
        <v>#N/A</v>
      </c>
    </row>
    <row r="117" spans="1:6">
      <c r="A117" s="4" t="s">
        <v>472</v>
      </c>
      <c r="B117" s="3">
        <v>51165</v>
      </c>
      <c r="C117" s="3" t="s">
        <v>64</v>
      </c>
      <c r="D117" s="3" t="s">
        <v>643</v>
      </c>
      <c r="E117" s="3" t="s">
        <v>934</v>
      </c>
      <c r="F117" s="3" t="e">
        <f>VLOOKUP(B117,领导干部!B:B,1,0)</f>
        <v>#N/A</v>
      </c>
    </row>
    <row r="118" spans="1:6">
      <c r="A118" s="4" t="s">
        <v>474</v>
      </c>
      <c r="B118" s="7">
        <v>50853</v>
      </c>
      <c r="C118" s="3" t="s">
        <v>142</v>
      </c>
      <c r="D118" s="3" t="s">
        <v>191</v>
      </c>
      <c r="E118" s="3" t="s">
        <v>933</v>
      </c>
      <c r="F118" s="3" t="e">
        <f>VLOOKUP(B118,领导干部!B:B,1,0)</f>
        <v>#N/A</v>
      </c>
    </row>
    <row r="119" spans="1:6">
      <c r="A119" s="4" t="s">
        <v>477</v>
      </c>
      <c r="B119" s="3">
        <v>52063</v>
      </c>
      <c r="C119" s="3" t="s">
        <v>64</v>
      </c>
      <c r="D119" s="3" t="s">
        <v>643</v>
      </c>
      <c r="E119" s="3" t="s">
        <v>934</v>
      </c>
      <c r="F119" s="3" t="e">
        <f>VLOOKUP(B119,领导干部!B:B,1,0)</f>
        <v>#N/A</v>
      </c>
    </row>
    <row r="120" spans="1:6">
      <c r="A120" s="4" t="s">
        <v>479</v>
      </c>
      <c r="B120" s="4">
        <v>50323</v>
      </c>
      <c r="C120" s="3" t="s">
        <v>142</v>
      </c>
      <c r="D120" s="3" t="s">
        <v>191</v>
      </c>
      <c r="E120" s="3" t="s">
        <v>933</v>
      </c>
      <c r="F120" s="3" t="e">
        <f>VLOOKUP(B120,领导干部!B:B,1,0)</f>
        <v>#N/A</v>
      </c>
    </row>
    <row r="121" spans="1:6">
      <c r="A121" s="5" t="s">
        <v>422</v>
      </c>
      <c r="B121" s="6">
        <v>50065</v>
      </c>
      <c r="C121" s="6" t="s">
        <v>97</v>
      </c>
      <c r="D121" s="6" t="s">
        <v>643</v>
      </c>
      <c r="E121" s="3" t="s">
        <v>934</v>
      </c>
      <c r="F121" s="6" t="e">
        <f>VLOOKUP(B121,领导干部!B:B,1,0)</f>
        <v>#N/A</v>
      </c>
    </row>
    <row r="122" spans="1:6">
      <c r="A122" s="4" t="s">
        <v>482</v>
      </c>
      <c r="B122" s="3">
        <v>50832</v>
      </c>
      <c r="C122" s="3" t="s">
        <v>142</v>
      </c>
      <c r="D122" s="3" t="s">
        <v>191</v>
      </c>
      <c r="E122" s="3" t="s">
        <v>933</v>
      </c>
      <c r="F122" s="3" t="e">
        <f>VLOOKUP(B122,领导干部!B:B,1,0)</f>
        <v>#N/A</v>
      </c>
    </row>
    <row r="123" spans="1:6">
      <c r="A123" s="5" t="s">
        <v>342</v>
      </c>
      <c r="B123" s="6">
        <v>50702</v>
      </c>
      <c r="C123" s="6" t="s">
        <v>9</v>
      </c>
      <c r="D123" s="6" t="s">
        <v>237</v>
      </c>
      <c r="E123" s="3" t="s">
        <v>905</v>
      </c>
      <c r="F123" s="6" t="e">
        <f>VLOOKUP(B123,领导干部!B:B,1,0)</f>
        <v>#N/A</v>
      </c>
    </row>
    <row r="124" spans="1:6">
      <c r="A124" s="4" t="s">
        <v>308</v>
      </c>
      <c r="B124" s="3">
        <v>50022</v>
      </c>
      <c r="C124" s="3" t="s">
        <v>97</v>
      </c>
      <c r="D124" s="3" t="s">
        <v>276</v>
      </c>
      <c r="E124" s="3" t="s">
        <v>924</v>
      </c>
      <c r="F124" s="3" t="e">
        <f>VLOOKUP(B124,领导干部!B:B,1,0)</f>
        <v>#N/A</v>
      </c>
    </row>
    <row r="125" spans="1:6">
      <c r="A125" s="4" t="s">
        <v>486</v>
      </c>
      <c r="B125" s="3">
        <v>28161</v>
      </c>
      <c r="C125" s="3" t="s">
        <v>33</v>
      </c>
      <c r="D125" s="3" t="s">
        <v>510</v>
      </c>
      <c r="E125" s="3" t="s">
        <v>905</v>
      </c>
      <c r="F125" s="3" t="e">
        <f>VLOOKUP(B125,领导干部!B:B,1,0)</f>
        <v>#N/A</v>
      </c>
    </row>
    <row r="126" spans="1:6">
      <c r="A126" s="4" t="s">
        <v>400</v>
      </c>
      <c r="B126" s="3">
        <v>17725</v>
      </c>
      <c r="C126" s="3" t="s">
        <v>9</v>
      </c>
      <c r="D126" s="3" t="s">
        <v>401</v>
      </c>
      <c r="E126" s="3" t="s">
        <v>905</v>
      </c>
      <c r="F126" s="3" t="e">
        <f>VLOOKUP(B126,领导干部!B:B,1,0)</f>
        <v>#N/A</v>
      </c>
    </row>
    <row r="127" spans="1:6">
      <c r="A127" s="4" t="s">
        <v>275</v>
      </c>
      <c r="B127" s="3">
        <v>26766</v>
      </c>
      <c r="C127" s="3" t="s">
        <v>33</v>
      </c>
      <c r="D127" s="3" t="s">
        <v>935</v>
      </c>
      <c r="E127" s="3" t="s">
        <v>936</v>
      </c>
      <c r="F127" s="3" t="e">
        <f>VLOOKUP(B127,领导干部!B:B,1,0)</f>
        <v>#N/A</v>
      </c>
    </row>
    <row r="128" spans="1:6">
      <c r="A128" s="4" t="s">
        <v>347</v>
      </c>
      <c r="B128" s="3">
        <v>51589</v>
      </c>
      <c r="C128" s="3" t="s">
        <v>33</v>
      </c>
      <c r="D128" s="3" t="s">
        <v>935</v>
      </c>
      <c r="E128" s="3" t="s">
        <v>936</v>
      </c>
      <c r="F128" s="3" t="e">
        <f>VLOOKUP(B128,领导干部!B:B,1,0)</f>
        <v>#N/A</v>
      </c>
    </row>
    <row r="129" spans="1:6">
      <c r="A129" s="4" t="s">
        <v>491</v>
      </c>
      <c r="B129" s="3">
        <v>52124</v>
      </c>
      <c r="C129" s="3" t="s">
        <v>64</v>
      </c>
      <c r="D129" s="3" t="s">
        <v>643</v>
      </c>
      <c r="E129" s="3" t="s">
        <v>934</v>
      </c>
      <c r="F129" s="3" t="e">
        <f>VLOOKUP(B129,领导干部!B:B,1,0)</f>
        <v>#N/A</v>
      </c>
    </row>
    <row r="130" spans="1:6">
      <c r="A130" s="4" t="s">
        <v>493</v>
      </c>
      <c r="B130" s="3">
        <v>51397</v>
      </c>
      <c r="C130" s="3" t="s">
        <v>97</v>
      </c>
      <c r="D130" s="3" t="s">
        <v>643</v>
      </c>
      <c r="E130" s="3" t="s">
        <v>934</v>
      </c>
      <c r="F130" s="3" t="e">
        <f>VLOOKUP(B130,领导干部!B:B,1,0)</f>
        <v>#N/A</v>
      </c>
    </row>
    <row r="131" spans="1:6">
      <c r="A131" s="4" t="s">
        <v>495</v>
      </c>
      <c r="B131" s="3">
        <v>52345</v>
      </c>
      <c r="C131" s="3" t="s">
        <v>64</v>
      </c>
      <c r="D131" s="3" t="s">
        <v>643</v>
      </c>
      <c r="E131" s="3" t="s">
        <v>934</v>
      </c>
      <c r="F131" s="3" t="e">
        <f>VLOOKUP(B131,领导干部!B:B,1,0)</f>
        <v>#N/A</v>
      </c>
    </row>
    <row r="132" spans="1:6">
      <c r="A132" s="4" t="s">
        <v>254</v>
      </c>
      <c r="B132" s="3">
        <v>52232</v>
      </c>
      <c r="C132" s="3" t="s">
        <v>97</v>
      </c>
      <c r="D132" s="3" t="s">
        <v>643</v>
      </c>
      <c r="E132" s="3" t="s">
        <v>934</v>
      </c>
      <c r="F132" s="3" t="e">
        <f>VLOOKUP(B132,领导干部!B:B,1,0)</f>
        <v>#N/A</v>
      </c>
    </row>
    <row r="133" spans="1:6">
      <c r="A133" s="4" t="s">
        <v>490</v>
      </c>
      <c r="B133" s="3">
        <v>51763</v>
      </c>
      <c r="C133" s="3" t="s">
        <v>33</v>
      </c>
      <c r="D133" s="3" t="s">
        <v>643</v>
      </c>
      <c r="E133" s="3" t="s">
        <v>934</v>
      </c>
      <c r="F133" s="3" t="e">
        <f>VLOOKUP(B133,领导干部!B:B,1,0)</f>
        <v>#N/A</v>
      </c>
    </row>
    <row r="134" spans="1:6">
      <c r="A134" s="4" t="s">
        <v>57</v>
      </c>
      <c r="B134" s="3">
        <v>52153</v>
      </c>
      <c r="C134" s="3" t="s">
        <v>33</v>
      </c>
      <c r="D134" s="3" t="s">
        <v>642</v>
      </c>
      <c r="E134" s="3" t="s">
        <v>932</v>
      </c>
      <c r="F134" s="3" t="e">
        <f>VLOOKUP(B134,领导干部!B:B,1,0)</f>
        <v>#N/A</v>
      </c>
    </row>
    <row r="135" spans="1:6">
      <c r="A135" s="4" t="s">
        <v>58</v>
      </c>
      <c r="B135" s="3">
        <v>53422</v>
      </c>
      <c r="C135" s="3" t="s">
        <v>33</v>
      </c>
      <c r="D135" s="3" t="s">
        <v>935</v>
      </c>
      <c r="E135" s="3" t="s">
        <v>936</v>
      </c>
      <c r="F135" s="3" t="e">
        <f>VLOOKUP(B135,领导干部!B:B,1,0)</f>
        <v>#N/A</v>
      </c>
    </row>
    <row r="136" spans="1:6">
      <c r="A136" s="4" t="s">
        <v>59</v>
      </c>
      <c r="B136" s="3">
        <v>52256</v>
      </c>
      <c r="C136" s="3" t="s">
        <v>33</v>
      </c>
      <c r="D136" s="3" t="s">
        <v>935</v>
      </c>
      <c r="E136" s="3" t="s">
        <v>936</v>
      </c>
      <c r="F136" s="3" t="e">
        <f>VLOOKUP(B136,领导干部!B:B,1,0)</f>
        <v>#N/A</v>
      </c>
    </row>
    <row r="137" spans="1:6">
      <c r="A137" s="4" t="s">
        <v>93</v>
      </c>
      <c r="B137" s="3">
        <v>25078</v>
      </c>
      <c r="C137" s="3" t="s">
        <v>64</v>
      </c>
      <c r="D137" s="3" t="s">
        <v>643</v>
      </c>
      <c r="E137" s="3" t="s">
        <v>934</v>
      </c>
      <c r="F137" s="3" t="e">
        <f>VLOOKUP(B137,领导干部!B:B,1,0)</f>
        <v>#N/A</v>
      </c>
    </row>
    <row r="138" spans="1:6">
      <c r="A138" s="3" t="s">
        <v>92</v>
      </c>
      <c r="B138" s="3">
        <v>51647</v>
      </c>
      <c r="C138" s="3" t="s">
        <v>64</v>
      </c>
      <c r="D138" s="3" t="s">
        <v>642</v>
      </c>
      <c r="E138" s="3" t="s">
        <v>932</v>
      </c>
      <c r="F138" s="3" t="e">
        <f>VLOOKUP(B138,领导干部!B:B,1,0)</f>
        <v>#N/A</v>
      </c>
    </row>
    <row r="139" spans="1:6">
      <c r="A139" s="3" t="s">
        <v>94</v>
      </c>
      <c r="B139" s="3">
        <v>50735</v>
      </c>
      <c r="C139" s="3" t="s">
        <v>64</v>
      </c>
      <c r="D139" s="3" t="s">
        <v>642</v>
      </c>
      <c r="E139" s="3" t="s">
        <v>932</v>
      </c>
      <c r="F139" s="3" t="e">
        <f>VLOOKUP(B139,领导干部!B:B,1,0)</f>
        <v>#N/A</v>
      </c>
    </row>
    <row r="140" spans="1:6">
      <c r="A140" s="3" t="s">
        <v>126</v>
      </c>
      <c r="B140" s="3">
        <v>52570</v>
      </c>
      <c r="C140" s="3" t="s">
        <v>952</v>
      </c>
      <c r="D140" s="3" t="s">
        <v>390</v>
      </c>
      <c r="E140" s="3" t="s">
        <v>922</v>
      </c>
      <c r="F140" s="3" t="e">
        <f>VLOOKUP(B140,领导干部!B:B,1,0)</f>
        <v>#N/A</v>
      </c>
    </row>
    <row r="141" spans="1:6">
      <c r="A141" s="3" t="s">
        <v>119</v>
      </c>
      <c r="B141" s="3">
        <v>52341</v>
      </c>
      <c r="C141" s="3" t="s">
        <v>97</v>
      </c>
      <c r="D141" s="3" t="s">
        <v>642</v>
      </c>
      <c r="E141" s="3" t="s">
        <v>932</v>
      </c>
      <c r="F141" s="3" t="e">
        <f>VLOOKUP(B141,领导干部!B:B,1,0)</f>
        <v>#N/A</v>
      </c>
    </row>
    <row r="142" spans="1:6">
      <c r="A142" s="3" t="s">
        <v>61</v>
      </c>
      <c r="B142" s="3">
        <v>52569</v>
      </c>
      <c r="C142" s="3" t="s">
        <v>33</v>
      </c>
      <c r="D142" s="3" t="s">
        <v>642</v>
      </c>
      <c r="E142" s="3" t="s">
        <v>932</v>
      </c>
      <c r="F142" s="3" t="e">
        <f>VLOOKUP(B142,领导干部!B:B,1,0)</f>
        <v>#N/A</v>
      </c>
    </row>
    <row r="143" spans="1:6">
      <c r="A143" s="3" t="s">
        <v>95</v>
      </c>
      <c r="B143" s="3">
        <v>52579</v>
      </c>
      <c r="C143" s="3" t="s">
        <v>64</v>
      </c>
      <c r="D143" s="3" t="s">
        <v>643</v>
      </c>
      <c r="E143" s="3" t="s">
        <v>934</v>
      </c>
      <c r="F143" s="3" t="e">
        <f>VLOOKUP(B143,领导干部!B:B,1,0)</f>
        <v>#N/A</v>
      </c>
    </row>
    <row r="144" spans="1:6">
      <c r="A144" s="3" t="s">
        <v>451</v>
      </c>
      <c r="B144" s="3">
        <v>50245</v>
      </c>
      <c r="C144" s="3" t="s">
        <v>142</v>
      </c>
      <c r="D144" s="3" t="s">
        <v>191</v>
      </c>
      <c r="E144" s="3" t="s">
        <v>924</v>
      </c>
      <c r="F144" s="3" t="e">
        <f>VLOOKUP(B144,领导干部!B:B,1,0)</f>
        <v>#N/A</v>
      </c>
    </row>
    <row r="145" spans="1:6">
      <c r="A145" s="3" t="s">
        <v>514</v>
      </c>
      <c r="B145" s="3">
        <v>17787</v>
      </c>
      <c r="C145" s="3" t="s">
        <v>128</v>
      </c>
      <c r="D145" s="3" t="s">
        <v>191</v>
      </c>
      <c r="E145" s="3" t="s">
        <v>924</v>
      </c>
      <c r="F145" s="3" t="e">
        <f>VLOOKUP(B145,领导干部!B:B,1,0)</f>
        <v>#N/A</v>
      </c>
    </row>
    <row r="146" spans="1:6">
      <c r="A146" s="1" t="s">
        <v>62</v>
      </c>
      <c r="B146" s="1">
        <v>52581</v>
      </c>
      <c r="C146" s="1" t="s">
        <v>33</v>
      </c>
      <c r="D146" s="1" t="s">
        <v>643</v>
      </c>
      <c r="E146" s="14" t="s">
        <v>934</v>
      </c>
      <c r="F146" s="14" t="e">
        <f>VLOOKUP(B146,领导干部!B:B,1,0)</f>
        <v>#N/A</v>
      </c>
    </row>
    <row r="147" spans="1:6">
      <c r="A147" s="3" t="s">
        <v>31</v>
      </c>
      <c r="B147" s="4">
        <v>52585</v>
      </c>
      <c r="C147" s="3" t="s">
        <v>19</v>
      </c>
      <c r="D147" s="3" t="s">
        <v>237</v>
      </c>
      <c r="E147" s="3" t="s">
        <v>905</v>
      </c>
      <c r="F147" s="3" t="e">
        <f>VLOOKUP(B147,领导干部!B:B,1,0)</f>
        <v>#N/A</v>
      </c>
    </row>
    <row r="148" spans="1:6">
      <c r="A148" s="3" t="s">
        <v>30</v>
      </c>
      <c r="B148" s="4">
        <v>52587</v>
      </c>
      <c r="C148" s="3" t="s">
        <v>19</v>
      </c>
      <c r="D148" s="3" t="s">
        <v>643</v>
      </c>
      <c r="E148" s="3" t="s">
        <v>934</v>
      </c>
      <c r="F148" s="3" t="e">
        <f>VLOOKUP(B148,领导干部!B:B,1,0)</f>
        <v>#N/A</v>
      </c>
    </row>
    <row r="149" spans="1:6">
      <c r="A149" s="3" t="s">
        <v>468</v>
      </c>
      <c r="B149" s="4">
        <v>23527</v>
      </c>
      <c r="C149" s="3" t="s">
        <v>33</v>
      </c>
      <c r="D149" s="3" t="s">
        <v>510</v>
      </c>
      <c r="E149" s="3" t="s">
        <v>905</v>
      </c>
      <c r="F149" s="3" t="e">
        <f>VLOOKUP(B149,领导干部!B:B,1,0)</f>
        <v>#N/A</v>
      </c>
    </row>
    <row r="150" spans="1:6">
      <c r="A150" s="3" t="s">
        <v>443</v>
      </c>
      <c r="B150" s="4">
        <v>14901</v>
      </c>
      <c r="C150" s="3" t="s">
        <v>142</v>
      </c>
      <c r="D150" s="3" t="s">
        <v>643</v>
      </c>
      <c r="E150" s="3" t="s">
        <v>934</v>
      </c>
      <c r="F150" s="3" t="e">
        <f>VLOOKUP(B150,领导干部!B:B,1,0)</f>
        <v>#N/A</v>
      </c>
    </row>
    <row r="151" spans="1:6">
      <c r="A151" s="3" t="s">
        <v>687</v>
      </c>
      <c r="B151" s="15" t="s">
        <v>130</v>
      </c>
      <c r="C151" s="3" t="s">
        <v>128</v>
      </c>
      <c r="D151" s="3" t="s">
        <v>191</v>
      </c>
      <c r="E151" s="3" t="s">
        <v>924</v>
      </c>
      <c r="F151" s="3" t="e">
        <f>VLOOKUP(B151,领导干部!B:B,1,0)</f>
        <v>#N/A</v>
      </c>
    </row>
    <row r="152" spans="1:6">
      <c r="A152" s="3" t="s">
        <v>953</v>
      </c>
      <c r="B152" s="15" t="s">
        <v>954</v>
      </c>
      <c r="C152" s="3" t="s">
        <v>97</v>
      </c>
      <c r="D152" s="3" t="e">
        <v>#N/A</v>
      </c>
      <c r="E152" s="3" t="s">
        <v>905</v>
      </c>
      <c r="F152" s="3" t="e">
        <f>VLOOKUP(B152,领导干部!B:B,1,0)</f>
        <v>#N/A</v>
      </c>
    </row>
  </sheetData>
  <autoFilter ref="A1:F152">
    <filterColumn colId="5">
      <customFilters>
        <customFilter operator="equal" val="#N/A"/>
      </customFilters>
    </filterColumn>
    <extLst/>
  </autoFilter>
  <dataValidations count="1">
    <dataValidation type="list" allowBlank="1" showInputMessage="1" showErrorMessage="1" sqref="C43 C102">
      <formula1>" 总体室,结构一室,结构二室,强度室,系统室,工程项目室,综合技术室,联络工程室"</formula1>
    </dataValidation>
  </dataValidation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工程研发事业部人员名单</vt:lpstr>
      <vt:lpstr>项目简称</vt:lpstr>
      <vt:lpstr>X月项目工时</vt:lpstr>
      <vt:lpstr>X月项目工时 (固定公式)</vt:lpstr>
      <vt:lpstr>领导干部</vt:lpstr>
      <vt:lpstr>订单号</vt:lpstr>
      <vt:lpstr>提取订单号（不含领导干部）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刘鑫</dc:creator>
  <cp:lastModifiedBy>王大昱</cp:lastModifiedBy>
  <dcterms:created xsi:type="dcterms:W3CDTF">2006-09-13T11:21:00Z</dcterms:created>
  <dcterms:modified xsi:type="dcterms:W3CDTF">2025-07-09T08:09:27Z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2052-11.1.0.11365</vt:lpwstr>
  </property>
  <property fmtid="{D5CDD505-2E9C-101B-9397-08002B2CF9AE}" pid="3" name="ICV">
    <vt:lpwstr>FFBC09888D55445E8E58FF3E7AFDFB2B</vt:lpwstr>
  </property>
</Properties>
</file>