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1700"/>
  </bookViews>
  <sheets>
    <sheet name="汇总" sheetId="1" r:id="rId1"/>
    <sheet name="各月转入转出_历史" sheetId="2" r:id="rId2"/>
    <sheet name="各月转入转出" sheetId="4" r:id="rId3"/>
    <sheet name="差旅费" sheetId="3" r:id="rId4"/>
  </sheets>
  <definedNames>
    <definedName name="_xlnm._FilterDatabase" localSheetId="0" hidden="1">汇总!$A$2:$M$52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G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前期多结转成本，本期冲回</t>
        </r>
      </text>
    </comment>
    <comment ref="S10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之前多结转成本，本期冲回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F1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之前多结转成本，本期冲回</t>
        </r>
      </text>
    </comment>
  </commentList>
</comments>
</file>

<file path=xl/sharedStrings.xml><?xml version="1.0" encoding="utf-8"?>
<sst xmlns="http://schemas.openxmlformats.org/spreadsheetml/2006/main" count="1468" uniqueCount="302">
  <si>
    <r>
      <t>在执行研发项目账上成本汇总表</t>
    </r>
    <r>
      <rPr>
        <b/>
        <sz val="12"/>
        <color theme="1"/>
        <rFont val="微软雅黑"/>
        <charset val="134"/>
      </rPr>
      <t>（单位：万元）</t>
    </r>
  </si>
  <si>
    <t>全称</t>
  </si>
  <si>
    <t>订单号</t>
  </si>
  <si>
    <t>项目简称</t>
  </si>
  <si>
    <t>合同额</t>
  </si>
  <si>
    <t>成本归集周期</t>
  </si>
  <si>
    <t>应归集成本
（减去利润5%和税6%）</t>
  </si>
  <si>
    <t>现有成本</t>
  </si>
  <si>
    <t>成本缺口</t>
  </si>
  <si>
    <t>项目执行状态</t>
  </si>
  <si>
    <t>是否三方审计</t>
  </si>
  <si>
    <t>备注</t>
  </si>
  <si>
    <r>
      <rPr>
        <sz val="10"/>
        <color theme="1"/>
        <rFont val="微软雅黑"/>
        <charset val="134"/>
      </rPr>
      <t>CR929</t>
    </r>
    <r>
      <rPr>
        <b/>
        <sz val="10"/>
        <color theme="1"/>
        <rFont val="微软雅黑"/>
        <charset val="134"/>
      </rPr>
      <t>上飞院</t>
    </r>
    <r>
      <rPr>
        <sz val="10"/>
        <color theme="1"/>
        <rFont val="微软雅黑"/>
        <charset val="134"/>
      </rPr>
      <t>项目成本中心</t>
    </r>
  </si>
  <si>
    <t>YZ40000400</t>
  </si>
  <si>
    <t>宽体一期（2015年上飞院）</t>
  </si>
  <si>
    <t>2015-2019.2</t>
  </si>
  <si>
    <t>已关闭</t>
  </si>
  <si>
    <t>否</t>
  </si>
  <si>
    <t>长期出差，成本缺口较小，成本较为合理。</t>
  </si>
  <si>
    <t>宽体二期（2017年上飞院）</t>
  </si>
  <si>
    <t>宽体三期（2018年上飞院）</t>
  </si>
  <si>
    <t>CR929设计（2019年上飞院）</t>
  </si>
  <si>
    <t>2019.3-2020.2</t>
  </si>
  <si>
    <t>完美归集，因出差、5.8人年。</t>
  </si>
  <si>
    <t>CR929设计（2021年上飞院）</t>
  </si>
  <si>
    <t>2021.1-2022.2</t>
  </si>
  <si>
    <t>成本存在较大缺口</t>
  </si>
  <si>
    <t>CR929设计（2022年上飞院）</t>
  </si>
  <si>
    <t>2022.3-2023.6</t>
  </si>
  <si>
    <t>CR929设计（2020年复材中心）-1</t>
  </si>
  <si>
    <t>2020.3-2020.12</t>
  </si>
  <si>
    <t>是</t>
  </si>
  <si>
    <t>风险：账外其他部门=765.89万</t>
  </si>
  <si>
    <r>
      <rPr>
        <sz val="10"/>
        <color theme="1"/>
        <rFont val="微软雅黑"/>
        <charset val="134"/>
      </rPr>
      <t>CR929</t>
    </r>
    <r>
      <rPr>
        <b/>
        <sz val="10"/>
        <color theme="1"/>
        <rFont val="微软雅黑"/>
        <charset val="134"/>
      </rPr>
      <t>复材中心</t>
    </r>
    <r>
      <rPr>
        <sz val="10"/>
        <color theme="1"/>
        <rFont val="微软雅黑"/>
        <charset val="134"/>
      </rPr>
      <t>项目成本中心</t>
    </r>
  </si>
  <si>
    <t>YZ40000723</t>
  </si>
  <si>
    <t>CR929设计（2020年复材中心）-2</t>
  </si>
  <si>
    <t>2020.1-2021.2</t>
  </si>
  <si>
    <t>CR929设计（2021年复材中心）</t>
  </si>
  <si>
    <t>2021.3-2022.2</t>
  </si>
  <si>
    <t>风险：账外：其他部门=938.5万</t>
  </si>
  <si>
    <t>CR929设计（2022年复材中心）</t>
  </si>
  <si>
    <t>免税，暂停归集</t>
  </si>
  <si>
    <t>C929飞机机体设计分析资源外协（2023年）</t>
  </si>
  <si>
    <t>YZ40000727</t>
  </si>
  <si>
    <t>CR929设计（2023年上飞院）</t>
  </si>
  <si>
    <t>2023.8-2024.7</t>
  </si>
  <si>
    <t>C929飞机机体设计分析资源外协（2024年）</t>
  </si>
  <si>
    <t>YZ40000407</t>
  </si>
  <si>
    <t>C929设计（2024年上飞院）</t>
  </si>
  <si>
    <t>2024.3-2025.5</t>
  </si>
  <si>
    <t>在执行，合同未签订</t>
  </si>
  <si>
    <t>合同未签订，可归集</t>
  </si>
  <si>
    <t>YZ40000415</t>
  </si>
  <si>
    <t>C929设计（2025年上飞院）</t>
  </si>
  <si>
    <t>2025.1-</t>
  </si>
  <si>
    <t>YZ40000409</t>
  </si>
  <si>
    <t>C929设计（2024年复材中心）</t>
  </si>
  <si>
    <t>2024.7-2025.5</t>
  </si>
  <si>
    <t>在执行</t>
  </si>
  <si>
    <t>YZ40000418</t>
  </si>
  <si>
    <t>C929设计（2025年复材中心）</t>
  </si>
  <si>
    <t>2025.4-</t>
  </si>
  <si>
    <r>
      <rPr>
        <sz val="10"/>
        <color theme="1"/>
        <rFont val="微软雅黑"/>
        <charset val="134"/>
      </rPr>
      <t>C919</t>
    </r>
    <r>
      <rPr>
        <b/>
        <sz val="10"/>
        <color rgb="FFFF0000"/>
        <rFont val="微软雅黑"/>
        <charset val="134"/>
      </rPr>
      <t>上飞院/客服公司</t>
    </r>
    <r>
      <rPr>
        <sz val="10"/>
        <color theme="1"/>
        <rFont val="微软雅黑"/>
        <charset val="134"/>
      </rPr>
      <t>项目</t>
    </r>
  </si>
  <si>
    <t>/</t>
  </si>
  <si>
    <t>C919设计(2011年-2016年共14个合同)</t>
  </si>
  <si>
    <r>
      <rPr>
        <sz val="10"/>
        <color theme="1"/>
        <rFont val="微软雅黑"/>
        <charset val="134"/>
      </rPr>
      <t>C919</t>
    </r>
    <r>
      <rPr>
        <b/>
        <sz val="10"/>
        <color theme="1"/>
        <rFont val="微软雅黑"/>
        <charset val="134"/>
      </rPr>
      <t>上飞院</t>
    </r>
    <r>
      <rPr>
        <sz val="10"/>
        <color theme="1"/>
        <rFont val="微软雅黑"/>
        <charset val="134"/>
      </rPr>
      <t>项目成本中心</t>
    </r>
  </si>
  <si>
    <t>YZ40000680</t>
  </si>
  <si>
    <t>C919设计（2020年上飞院）</t>
  </si>
  <si>
    <t>2019.9-2021.6</t>
  </si>
  <si>
    <t>成本较为合理：三方设计报告口径为计提管理费10%。</t>
  </si>
  <si>
    <t>C919设计（2021年上飞院）</t>
  </si>
  <si>
    <t>2021.6-2022.12</t>
  </si>
  <si>
    <t>成本较为合理</t>
  </si>
  <si>
    <t>C919设计（2022年上飞院）</t>
  </si>
  <si>
    <t>2023.1-2023.7</t>
  </si>
  <si>
    <t>成本存在较大缺口，7月进150万事业部分摊</t>
  </si>
  <si>
    <r>
      <rPr>
        <sz val="10"/>
        <color theme="1"/>
        <rFont val="微软雅黑"/>
        <charset val="134"/>
      </rPr>
      <t>C919</t>
    </r>
    <r>
      <rPr>
        <b/>
        <sz val="10"/>
        <color theme="1"/>
        <rFont val="微软雅黑"/>
        <charset val="134"/>
      </rPr>
      <t>复材中心</t>
    </r>
    <r>
      <rPr>
        <sz val="10"/>
        <color theme="1"/>
        <rFont val="微软雅黑"/>
        <charset val="134"/>
      </rPr>
      <t>项目成本中心</t>
    </r>
  </si>
  <si>
    <t>YZ40000561</t>
  </si>
  <si>
    <t>C919设计（2020年复材中心）</t>
  </si>
  <si>
    <t>2020.11-2023.3</t>
  </si>
  <si>
    <t>成本较为合理：三方设计报告口径为计提管理费升9%。风险：实际集中计提了330余万额度的事业部管理费。</t>
  </si>
  <si>
    <t>YZ40000408</t>
  </si>
  <si>
    <t>C919高原型设计（2024年上飞院）</t>
  </si>
  <si>
    <t>2024.7-2024.12</t>
  </si>
  <si>
    <t>工作完成，合同未签订</t>
  </si>
  <si>
    <t>YZ40000417</t>
  </si>
  <si>
    <t>C919高原型设计（2025年上飞院）</t>
  </si>
  <si>
    <t>YZ40000419</t>
  </si>
  <si>
    <t>C919基本型设计（2025年上飞院）</t>
  </si>
  <si>
    <t>YZ40000416</t>
  </si>
  <si>
    <t>C919手册优化（2025年复材中心）</t>
  </si>
  <si>
    <t>2025.6-2027.6</t>
  </si>
  <si>
    <t>YZ40000410</t>
  </si>
  <si>
    <t>C919YJTD设计</t>
  </si>
  <si>
    <t>2024.7-2025.6</t>
  </si>
  <si>
    <t>可归集</t>
  </si>
  <si>
    <r>
      <rPr>
        <sz val="10"/>
        <color theme="1"/>
        <rFont val="微软雅黑"/>
        <charset val="134"/>
      </rPr>
      <t>ARJ21-700基本型</t>
    </r>
    <r>
      <rPr>
        <b/>
        <sz val="10"/>
        <color theme="1"/>
        <rFont val="微软雅黑"/>
        <charset val="134"/>
      </rPr>
      <t>上飞院</t>
    </r>
    <r>
      <rPr>
        <sz val="10"/>
        <color theme="1"/>
        <rFont val="微软雅黑"/>
        <charset val="134"/>
      </rPr>
      <t>项目成本中心</t>
    </r>
  </si>
  <si>
    <t>YZ40000721</t>
  </si>
  <si>
    <t>ARJ21基本型设计（2020年上飞院）</t>
  </si>
  <si>
    <t>2020.4-2021.5</t>
  </si>
  <si>
    <r>
      <rPr>
        <sz val="10"/>
        <color theme="1"/>
        <rFont val="微软雅黑"/>
        <charset val="134"/>
      </rPr>
      <t>ARJ21-700货机</t>
    </r>
    <r>
      <rPr>
        <b/>
        <sz val="10"/>
        <color theme="1"/>
        <rFont val="微软雅黑"/>
        <charset val="134"/>
      </rPr>
      <t>上飞院</t>
    </r>
    <r>
      <rPr>
        <sz val="10"/>
        <color theme="1"/>
        <rFont val="微软雅黑"/>
        <charset val="134"/>
      </rPr>
      <t>项目成本中心</t>
    </r>
  </si>
  <si>
    <t>YZ40000741</t>
  </si>
  <si>
    <t>ARJ21货运型设计（2021年上飞院）</t>
  </si>
  <si>
    <t>2021.4-2022.4</t>
  </si>
  <si>
    <t>ARJ21货运型设计（2022年上飞院）</t>
  </si>
  <si>
    <t>2022.10-2024-06</t>
  </si>
  <si>
    <t>成本预计将存在较大缺口，是否考虑调整归集？</t>
  </si>
  <si>
    <t>1号航天一院项目成本中心</t>
  </si>
  <si>
    <t>YZ40000730</t>
  </si>
  <si>
    <t>1号-1设计（2022年KTB）</t>
  </si>
  <si>
    <t>2022.3-2022.9</t>
  </si>
  <si>
    <t>成本满足要求。
风险：实际集中计提事业部管理费79万。</t>
  </si>
  <si>
    <t>1号-2设计（2022年KTB）</t>
  </si>
  <si>
    <t>2022.10-2023.3</t>
  </si>
  <si>
    <t>1号-1.3设计</t>
  </si>
  <si>
    <t>YZ40000401</t>
  </si>
  <si>
    <t>1号-1.3设计（2023年KTB）</t>
  </si>
  <si>
    <t>2023.12-2024.07</t>
  </si>
  <si>
    <t>12月开始归集</t>
  </si>
  <si>
    <t>1号-1.4设计</t>
  </si>
  <si>
    <t>YZ40000413</t>
  </si>
  <si>
    <t>2024.11-2024.12</t>
  </si>
  <si>
    <t>5号洪都项目成本中心</t>
  </si>
  <si>
    <t>YZ40000734</t>
  </si>
  <si>
    <t>5号-1设计（2022年HD）</t>
  </si>
  <si>
    <t>2022.6-2022.11</t>
  </si>
  <si>
    <t>5号-2设计（2022年HD）</t>
  </si>
  <si>
    <t>2023.2-2023.5</t>
  </si>
  <si>
    <t>成本存在较大缺口，是否考虑调整归集？</t>
  </si>
  <si>
    <t>机翼及管路辅助设计</t>
  </si>
  <si>
    <t>YZ40000701</t>
  </si>
  <si>
    <t>6号-1设计</t>
  </si>
  <si>
    <t>2021.05-2022.12</t>
  </si>
  <si>
    <t>工作完成，合同待变更</t>
  </si>
  <si>
    <t>沈飞科研自筹经费</t>
  </si>
  <si>
    <t>机翼结构参数优化设计</t>
  </si>
  <si>
    <t>YZ40000762</t>
  </si>
  <si>
    <t>6号-2设计</t>
  </si>
  <si>
    <t>2022.12-2023.5</t>
  </si>
  <si>
    <t>成本缺口：7月份分配4-6月事业部管理费17万
风       险：调配非项目人员归集，12月成本过高。</t>
  </si>
  <si>
    <t>机体部段结构强度辅助建模</t>
  </si>
  <si>
    <t>6号-3.1设计</t>
  </si>
  <si>
    <t>2022.12-2023.9</t>
  </si>
  <si>
    <t>成本缺口：9月归集完成。
风       险：调配非项目人员归集，12月成本过高。</t>
  </si>
  <si>
    <t>机体部段管路辅助建模</t>
  </si>
  <si>
    <t>YZ40000763</t>
  </si>
  <si>
    <t>6号-3.2设计</t>
  </si>
  <si>
    <t>2022.12-2023.8</t>
  </si>
  <si>
    <t>风       险：调配非项目人员归集，12月成本过高。
持续归集? 降低12月成本过高风险。</t>
  </si>
  <si>
    <t>待定</t>
  </si>
  <si>
    <t>YZ40000728</t>
  </si>
  <si>
    <t>6号-3.3设计</t>
  </si>
  <si>
    <t>2023.9-2023.12</t>
  </si>
  <si>
    <t>9月开始归集</t>
  </si>
  <si>
    <t>YZ40000764</t>
  </si>
  <si>
    <t>6号-4设计</t>
  </si>
  <si>
    <t>2023.12-2024.7</t>
  </si>
  <si>
    <t>11月开始归集</t>
  </si>
  <si>
    <t>YZ40000411</t>
  </si>
  <si>
    <t>6号-5设计</t>
  </si>
  <si>
    <t>2024.8-</t>
  </si>
  <si>
    <t>24年8月开始归集</t>
  </si>
  <si>
    <t>YZ40000402</t>
  </si>
  <si>
    <t>6号-6设计</t>
  </si>
  <si>
    <t>2023.10-2024.2</t>
  </si>
  <si>
    <t>10月开始归集</t>
  </si>
  <si>
    <t>YZ40000759</t>
  </si>
  <si>
    <t>8号-1.1（垂尾）</t>
  </si>
  <si>
    <t>2022.12-2024.12</t>
  </si>
  <si>
    <t>24年8月合同已签订</t>
  </si>
  <si>
    <t>YZ40000406</t>
  </si>
  <si>
    <t>8号-1.2（舱门）</t>
  </si>
  <si>
    <t>2024.3-2024.12</t>
  </si>
  <si>
    <t>YZ40000414</t>
  </si>
  <si>
    <t>8号-1.3设计</t>
  </si>
  <si>
    <t>合同未签订</t>
  </si>
  <si>
    <t xml:space="preserve">小型巡飞弹（巡飞无人机）平台技术研究和验证 </t>
  </si>
  <si>
    <t>YZ40000403</t>
  </si>
  <si>
    <t>巡飞无人机课题</t>
  </si>
  <si>
    <t>内部订单</t>
  </si>
  <si>
    <t>课题在执行</t>
  </si>
  <si>
    <t>23年10月开始归集</t>
  </si>
  <si>
    <t>SIA某无人机设计</t>
  </si>
  <si>
    <t>YZ40000405</t>
  </si>
  <si>
    <t>2024.1-2024.6</t>
  </si>
  <si>
    <t>1月开始归集</t>
  </si>
  <si>
    <t>YZ40000422</t>
  </si>
  <si>
    <t>SIA无人机设计-2</t>
  </si>
  <si>
    <t>25.7开始归集</t>
  </si>
  <si>
    <t>YZ40000412</t>
  </si>
  <si>
    <t>AG600设计（2024年通飞）</t>
  </si>
  <si>
    <t>2024.9-2025.2</t>
  </si>
  <si>
    <t>无人机论证</t>
  </si>
  <si>
    <t>YZ-RD202428</t>
  </si>
  <si>
    <t>24年5月开始归集</t>
  </si>
  <si>
    <t>需求</t>
  </si>
  <si>
    <t>订单号建立至2023年6月每月成本</t>
  </si>
  <si>
    <t>2019年9月</t>
  </si>
  <si>
    <t>2019年10月</t>
  </si>
  <si>
    <t>2019年11月</t>
  </si>
  <si>
    <t>2019年12月</t>
  </si>
  <si>
    <t>转入</t>
  </si>
  <si>
    <t>转出</t>
  </si>
  <si>
    <r>
      <rPr>
        <sz val="11"/>
        <color theme="1"/>
        <rFont val="宋体"/>
        <charset val="134"/>
        <scheme val="minor"/>
      </rPr>
      <t>订单号建立至</t>
    </r>
    <r>
      <rPr>
        <b/>
        <sz val="11"/>
        <color rgb="FFFF0000"/>
        <rFont val="宋体"/>
        <charset val="134"/>
        <scheme val="minor"/>
      </rPr>
      <t>2021年1月至2023年6月</t>
    </r>
    <r>
      <rPr>
        <sz val="11"/>
        <color theme="1"/>
        <rFont val="宋体"/>
        <charset val="134"/>
        <scheme val="minor"/>
      </rPr>
      <t>每月成本</t>
    </r>
  </si>
  <si>
    <t>YZ40000724</t>
  </si>
  <si>
    <t>日期</t>
  </si>
  <si>
    <t>ZX40000620</t>
  </si>
  <si>
    <t>2019年09月</t>
  </si>
  <si>
    <t>2020年01月</t>
  </si>
  <si>
    <t>2020年02月</t>
  </si>
  <si>
    <t>2020年03月</t>
  </si>
  <si>
    <t>2020年04月</t>
  </si>
  <si>
    <t>2020年05月</t>
  </si>
  <si>
    <t>2020年06月</t>
  </si>
  <si>
    <t>2020年07月</t>
  </si>
  <si>
    <t>2020年08月</t>
  </si>
  <si>
    <t>2020年09月</t>
  </si>
  <si>
    <t>2020年10月</t>
  </si>
  <si>
    <t>2020年11月</t>
  </si>
  <si>
    <t>2020年12月</t>
  </si>
  <si>
    <t>2021年01月</t>
  </si>
  <si>
    <t>2021年02月</t>
  </si>
  <si>
    <t>2021年03月</t>
  </si>
  <si>
    <t>2021年04月</t>
  </si>
  <si>
    <t>2021年05月</t>
  </si>
  <si>
    <t>2021年06月</t>
  </si>
  <si>
    <t>2021年07月</t>
  </si>
  <si>
    <t>2021年08月</t>
  </si>
  <si>
    <t>2021年09月</t>
  </si>
  <si>
    <t>2021年10月</t>
  </si>
  <si>
    <t>2021年11月</t>
  </si>
  <si>
    <t>2021年12月</t>
  </si>
  <si>
    <t>2022年01月</t>
  </si>
  <si>
    <t>2022年02月</t>
  </si>
  <si>
    <t>2022年03月</t>
  </si>
  <si>
    <t>2022年04月</t>
  </si>
  <si>
    <t>2022年05月</t>
  </si>
  <si>
    <t>2022年06月</t>
  </si>
  <si>
    <t>2022年07月</t>
  </si>
  <si>
    <t>2022年08月</t>
  </si>
  <si>
    <t>2022年09月</t>
  </si>
  <si>
    <t>2022年10月</t>
  </si>
  <si>
    <t>2022年11月</t>
  </si>
  <si>
    <t>2022年12月</t>
  </si>
  <si>
    <t>2023年01月</t>
  </si>
  <si>
    <t>2023年02月</t>
  </si>
  <si>
    <t>2023年03月</t>
  </si>
  <si>
    <t>2023年04月</t>
  </si>
  <si>
    <t>2023年05月</t>
  </si>
  <si>
    <t>2023年06月</t>
  </si>
  <si>
    <t>2023年07月</t>
  </si>
  <si>
    <t>2023年08月</t>
  </si>
  <si>
    <t>2023年09月</t>
  </si>
  <si>
    <t>2023年10月</t>
  </si>
  <si>
    <t>2023年11月</t>
  </si>
  <si>
    <t>2023年12月</t>
  </si>
  <si>
    <t>2024年01月</t>
  </si>
  <si>
    <t>2024年02月</t>
  </si>
  <si>
    <t>2024年03月</t>
  </si>
  <si>
    <t>2024年04月</t>
  </si>
  <si>
    <t>2024年05月</t>
  </si>
  <si>
    <t>2024年06月</t>
  </si>
  <si>
    <t>2024年07月</t>
  </si>
  <si>
    <t>2024年08月</t>
  </si>
  <si>
    <t>2024年09月</t>
  </si>
  <si>
    <t>2024年10月</t>
  </si>
  <si>
    <t>2024年11月</t>
  </si>
  <si>
    <t>2024年12月</t>
  </si>
  <si>
    <t>2025年01月</t>
  </si>
  <si>
    <t>2025年02月</t>
  </si>
  <si>
    <t>2025年03月</t>
  </si>
  <si>
    <t>2025年04月</t>
  </si>
  <si>
    <t>2025年05月</t>
  </si>
  <si>
    <t>2025年06月</t>
  </si>
  <si>
    <t>2025年07月</t>
  </si>
  <si>
    <t>2025年08月</t>
  </si>
  <si>
    <t>2025年09月</t>
  </si>
  <si>
    <t>2025年10月</t>
  </si>
  <si>
    <t>2025年11月</t>
  </si>
  <si>
    <t>2025年12月</t>
  </si>
  <si>
    <t>序号</t>
  </si>
  <si>
    <t>WBS</t>
  </si>
  <si>
    <t>项目名称</t>
  </si>
  <si>
    <t>一月差旅费</t>
  </si>
  <si>
    <t>二月差旅费</t>
  </si>
  <si>
    <t>三月差旅费</t>
  </si>
  <si>
    <t>四月差旅费</t>
  </si>
  <si>
    <t>五月差旅费</t>
  </si>
  <si>
    <t>六月差旅费</t>
  </si>
  <si>
    <t>七月差旅费</t>
  </si>
  <si>
    <t>八月差旅费</t>
  </si>
  <si>
    <t>九月差旅费</t>
  </si>
  <si>
    <t>十月差旅费</t>
  </si>
  <si>
    <t>十一月差旅费</t>
  </si>
  <si>
    <t>十二月差旅费</t>
  </si>
  <si>
    <t>小型巡飞弹（巡飞无人机）平台技术研究和验证</t>
  </si>
  <si>
    <t>C929飞机机体设计分析资源外协（2024年）工程研发事业部</t>
  </si>
  <si>
    <t>C919高原型机体联合设计</t>
  </si>
  <si>
    <t>C929宽体客机项目研制尾翼部段联合设计项目</t>
  </si>
  <si>
    <t>C919YJTD设计项目</t>
  </si>
  <si>
    <t>1号-1.4设计项目</t>
  </si>
  <si>
    <t>工程研发事业部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</si>
</sst>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.00_);[Red]\(0.00\)"/>
    <numFmt numFmtId="177" formatCode="0.00_ ;[Red]\-0.00\ "/>
  </numFmts>
  <fonts count="42">
    <font>
      <sz val="11"/>
      <color theme="1"/>
      <name val="宋体"/>
      <charset val="134"/>
      <scheme val="minor"/>
    </font>
    <font>
      <sz val="10"/>
      <name val="Arial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20"/>
      <color rgb="FFC00000"/>
      <name val="微软雅黑"/>
      <charset val="134"/>
    </font>
    <font>
      <b/>
      <sz val="2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color rgb="FFC0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  <font>
      <b/>
      <sz val="12"/>
      <color theme="1"/>
      <name val="微软雅黑"/>
      <charset val="134"/>
    </font>
    <font>
      <b/>
      <sz val="10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1DAF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C3A4BD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5ED5D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2" fillId="2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32" fillId="36" borderId="10" applyNumberFormat="0" applyAlignment="0" applyProtection="0">
      <alignment vertical="center"/>
    </xf>
    <xf numFmtId="0" fontId="35" fillId="36" borderId="8" applyNumberFormat="0" applyAlignment="0" applyProtection="0">
      <alignment vertical="center"/>
    </xf>
    <xf numFmtId="0" fontId="34" fillId="37" borderId="12" applyNumberForma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242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top"/>
    </xf>
    <xf numFmtId="3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4" fillId="0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5" fillId="3" borderId="1" xfId="27" applyNumberFormat="1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/>
    </xf>
    <xf numFmtId="43" fontId="5" fillId="0" borderId="1" xfId="50" applyFont="1" applyFill="1" applyBorder="1" applyAlignment="1">
      <alignment horizontal="center" vertical="center"/>
    </xf>
    <xf numFmtId="49" fontId="6" fillId="3" borderId="1" xfId="27" applyNumberFormat="1" applyFont="1" applyFill="1" applyBorder="1" applyAlignment="1">
      <alignment horizontal="center" vertical="center"/>
    </xf>
    <xf numFmtId="4" fontId="6" fillId="0" borderId="1" xfId="49" applyNumberFormat="1" applyFont="1" applyFill="1" applyBorder="1" applyAlignment="1">
      <alignment horizontal="center" vertical="center"/>
    </xf>
    <xf numFmtId="43" fontId="6" fillId="0" borderId="1" xfId="49" applyNumberFormat="1" applyFont="1" applyFill="1" applyBorder="1" applyAlignment="1">
      <alignment horizontal="center" vertical="center"/>
    </xf>
    <xf numFmtId="43" fontId="6" fillId="0" borderId="1" xfId="50" applyFont="1" applyFill="1" applyBorder="1" applyAlignment="1">
      <alignment horizontal="center" vertical="center"/>
    </xf>
    <xf numFmtId="43" fontId="6" fillId="0" borderId="1" xfId="8" applyFont="1" applyFill="1" applyBorder="1" applyAlignment="1">
      <alignment horizontal="center" vertical="center"/>
    </xf>
    <xf numFmtId="4" fontId="6" fillId="0" borderId="1" xfId="0" applyNumberFormat="1" applyFont="1" applyFill="1" applyBorder="1" applyAlignment="1">
      <alignment horizontal="center" vertical="center"/>
    </xf>
    <xf numFmtId="43" fontId="6" fillId="0" borderId="1" xfId="0" applyNumberFormat="1" applyFont="1" applyFill="1" applyBorder="1" applyAlignment="1">
      <alignment horizontal="center" vertical="center"/>
    </xf>
    <xf numFmtId="0" fontId="6" fillId="0" borderId="1" xfId="49" applyFont="1" applyFill="1" applyBorder="1" applyAlignment="1">
      <alignment horizontal="center" vertical="center"/>
    </xf>
    <xf numFmtId="49" fontId="5" fillId="0" borderId="1" xfId="49" applyNumberFormat="1" applyFont="1" applyFill="1" applyBorder="1" applyAlignment="1">
      <alignment horizontal="center" vertical="center" wrapText="1"/>
    </xf>
    <xf numFmtId="49" fontId="7" fillId="0" borderId="1" xfId="49" applyNumberFormat="1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 wrapText="1"/>
    </xf>
    <xf numFmtId="43" fontId="8" fillId="0" borderId="1" xfId="5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3" borderId="0" xfId="49" applyFill="1" applyAlignment="1">
      <alignment horizontal="center" vertical="center"/>
    </xf>
    <xf numFmtId="0" fontId="0" fillId="0" borderId="0" xfId="49" applyFill="1" applyAlignment="1">
      <alignment horizontal="center" vertical="center"/>
    </xf>
    <xf numFmtId="43" fontId="8" fillId="0" borderId="1" xfId="8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9" fillId="8" borderId="1" xfId="0" applyFont="1" applyFill="1" applyBorder="1">
      <alignment vertical="center"/>
    </xf>
    <xf numFmtId="0" fontId="4" fillId="9" borderId="0" xfId="0" applyFont="1" applyFill="1">
      <alignment vertical="center"/>
    </xf>
    <xf numFmtId="0" fontId="0" fillId="9" borderId="0" xfId="0" applyFill="1">
      <alignment vertical="center"/>
    </xf>
    <xf numFmtId="0" fontId="4" fillId="0" borderId="0" xfId="0" applyFont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49" fontId="4" fillId="4" borderId="1" xfId="8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0" fillId="4" borderId="4" xfId="0" applyFill="1" applyBorder="1">
      <alignment vertical="center"/>
    </xf>
    <xf numFmtId="4" fontId="6" fillId="4" borderId="1" xfId="0" applyNumberFormat="1" applyFont="1" applyFill="1" applyBorder="1">
      <alignment vertical="center"/>
    </xf>
    <xf numFmtId="0" fontId="6" fillId="4" borderId="1" xfId="0" applyFont="1" applyFill="1" applyBorder="1">
      <alignment vertical="center"/>
    </xf>
    <xf numFmtId="43" fontId="6" fillId="4" borderId="1" xfId="0" applyNumberFormat="1" applyFont="1" applyFill="1" applyBorder="1">
      <alignment vertical="center"/>
    </xf>
    <xf numFmtId="0" fontId="10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57" fontId="4" fillId="5" borderId="1" xfId="8" applyNumberFormat="1" applyFont="1" applyFill="1" applyBorder="1" applyAlignment="1">
      <alignment horizontal="center" vertical="center"/>
    </xf>
    <xf numFmtId="49" fontId="4" fillId="5" borderId="1" xfId="8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/>
    </xf>
    <xf numFmtId="0" fontId="0" fillId="5" borderId="4" xfId="0" applyFill="1" applyBorder="1">
      <alignment vertical="center"/>
    </xf>
    <xf numFmtId="4" fontId="6" fillId="5" borderId="1" xfId="0" applyNumberFormat="1" applyFont="1" applyFill="1" applyBorder="1">
      <alignment vertical="center"/>
    </xf>
    <xf numFmtId="43" fontId="6" fillId="5" borderId="1" xfId="8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57" fontId="4" fillId="6" borderId="1" xfId="8" applyNumberFormat="1" applyFont="1" applyFill="1" applyBorder="1" applyAlignment="1">
      <alignment horizontal="center" vertical="center"/>
    </xf>
    <xf numFmtId="49" fontId="4" fillId="6" borderId="1" xfId="8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 wrapText="1"/>
    </xf>
    <xf numFmtId="0" fontId="0" fillId="6" borderId="4" xfId="0" applyFill="1" applyBorder="1">
      <alignment vertical="center"/>
    </xf>
    <xf numFmtId="43" fontId="6" fillId="6" borderId="1" xfId="8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10" fillId="7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57" fontId="4" fillId="7" borderId="1" xfId="8" applyNumberFormat="1" applyFont="1" applyFill="1" applyBorder="1" applyAlignment="1">
      <alignment horizontal="center" vertical="center"/>
    </xf>
    <xf numFmtId="49" fontId="4" fillId="7" borderId="1" xfId="8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 wrapText="1"/>
    </xf>
    <xf numFmtId="0" fontId="0" fillId="7" borderId="4" xfId="0" applyFill="1" applyBorder="1">
      <alignment vertical="center"/>
    </xf>
    <xf numFmtId="43" fontId="6" fillId="7" borderId="1" xfId="8" applyFont="1" applyFill="1" applyBorder="1">
      <alignment vertical="center"/>
    </xf>
    <xf numFmtId="49" fontId="10" fillId="4" borderId="2" xfId="0" applyNumberFormat="1" applyFont="1" applyFill="1" applyBorder="1" applyAlignment="1">
      <alignment horizontal="center" vertical="center" wrapText="1"/>
    </xf>
    <xf numFmtId="57" fontId="4" fillId="4" borderId="1" xfId="8" applyNumberFormat="1" applyFont="1" applyFill="1" applyBorder="1" applyAlignment="1">
      <alignment horizontal="center" vertical="center"/>
    </xf>
    <xf numFmtId="49" fontId="10" fillId="4" borderId="3" xfId="0" applyNumberFormat="1" applyFont="1" applyFill="1" applyBorder="1" applyAlignment="1">
      <alignment horizontal="center" vertical="center" wrapText="1"/>
    </xf>
    <xf numFmtId="49" fontId="10" fillId="4" borderId="4" xfId="0" applyNumberFormat="1" applyFont="1" applyFill="1" applyBorder="1" applyAlignment="1">
      <alignment horizontal="center" vertical="center" wrapText="1"/>
    </xf>
    <xf numFmtId="43" fontId="6" fillId="4" borderId="1" xfId="8" applyFont="1" applyFill="1" applyBorder="1">
      <alignment vertical="center"/>
    </xf>
    <xf numFmtId="49" fontId="10" fillId="5" borderId="2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49" fontId="10" fillId="5" borderId="4" xfId="0" applyNumberFormat="1" applyFont="1" applyFill="1" applyBorder="1" applyAlignment="1">
      <alignment horizontal="center" vertical="center" wrapText="1"/>
    </xf>
    <xf numFmtId="43" fontId="6" fillId="5" borderId="1" xfId="8" applyFont="1" applyFill="1" applyBorder="1">
      <alignment vertical="center"/>
    </xf>
    <xf numFmtId="0" fontId="6" fillId="5" borderId="1" xfId="0" applyFont="1" applyFill="1" applyBorder="1">
      <alignment vertical="center"/>
    </xf>
    <xf numFmtId="49" fontId="10" fillId="6" borderId="2" xfId="0" applyNumberFormat="1" applyFont="1" applyFill="1" applyBorder="1" applyAlignment="1">
      <alignment horizontal="center" vertical="center" wrapText="1"/>
    </xf>
    <xf numFmtId="49" fontId="10" fillId="6" borderId="3" xfId="0" applyNumberFormat="1" applyFont="1" applyFill="1" applyBorder="1" applyAlignment="1">
      <alignment horizontal="center" vertical="center" wrapText="1"/>
    </xf>
    <xf numFmtId="49" fontId="10" fillId="6" borderId="4" xfId="0" applyNumberFormat="1" applyFont="1" applyFill="1" applyBorder="1" applyAlignment="1">
      <alignment horizontal="center" vertical="center" wrapText="1"/>
    </xf>
    <xf numFmtId="4" fontId="6" fillId="6" borderId="1" xfId="0" applyNumberFormat="1" applyFont="1" applyFill="1" applyBorder="1">
      <alignment vertical="center"/>
    </xf>
    <xf numFmtId="49" fontId="10" fillId="7" borderId="2" xfId="0" applyNumberFormat="1" applyFont="1" applyFill="1" applyBorder="1" applyAlignment="1">
      <alignment horizontal="center" vertical="center" wrapText="1"/>
    </xf>
    <xf numFmtId="49" fontId="10" fillId="7" borderId="3" xfId="0" applyNumberFormat="1" applyFont="1" applyFill="1" applyBorder="1" applyAlignment="1">
      <alignment horizontal="center" vertical="center" wrapText="1"/>
    </xf>
    <xf numFmtId="49" fontId="10" fillId="7" borderId="4" xfId="0" applyNumberFormat="1" applyFont="1" applyFill="1" applyBorder="1" applyAlignment="1">
      <alignment horizontal="center" vertical="center" wrapText="1"/>
    </xf>
    <xf numFmtId="4" fontId="6" fillId="7" borderId="1" xfId="0" applyNumberFormat="1" applyFont="1" applyFill="1" applyBorder="1">
      <alignment vertical="center"/>
    </xf>
    <xf numFmtId="43" fontId="6" fillId="7" borderId="1" xfId="8" applyFont="1" applyFill="1" applyBorder="1" applyAlignment="1">
      <alignment horizontal="center" vertical="center"/>
    </xf>
    <xf numFmtId="43" fontId="6" fillId="4" borderId="1" xfId="8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/>
    </xf>
    <xf numFmtId="57" fontId="12" fillId="8" borderId="1" xfId="8" applyNumberFormat="1" applyFont="1" applyFill="1" applyBorder="1" applyAlignment="1">
      <alignment horizontal="center" vertical="center"/>
    </xf>
    <xf numFmtId="49" fontId="12" fillId="8" borderId="1" xfId="8" applyNumberFormat="1" applyFont="1" applyFill="1" applyBorder="1" applyAlignment="1">
      <alignment horizontal="center" vertical="center"/>
    </xf>
    <xf numFmtId="49" fontId="11" fillId="8" borderId="3" xfId="0" applyNumberFormat="1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49" fontId="11" fillId="8" borderId="4" xfId="0" applyNumberFormat="1" applyFont="1" applyFill="1" applyBorder="1" applyAlignment="1">
      <alignment horizontal="center" vertical="center" wrapText="1"/>
    </xf>
    <xf numFmtId="0" fontId="9" fillId="8" borderId="4" xfId="0" applyFont="1" applyFill="1" applyBorder="1">
      <alignment vertical="center"/>
    </xf>
    <xf numFmtId="43" fontId="8" fillId="8" borderId="1" xfId="8" applyFont="1" applyFill="1" applyBorder="1" applyAlignment="1">
      <alignment horizontal="center" vertical="center"/>
    </xf>
    <xf numFmtId="43" fontId="8" fillId="8" borderId="1" xfId="8" applyFont="1" applyFill="1" applyBorder="1">
      <alignment vertical="center"/>
    </xf>
    <xf numFmtId="43" fontId="6" fillId="6" borderId="1" xfId="8" applyFont="1" applyFill="1" applyBorder="1" applyAlignment="1">
      <alignment horizontal="center" vertical="center"/>
    </xf>
    <xf numFmtId="0" fontId="6" fillId="7" borderId="1" xfId="0" applyFont="1" applyFill="1" applyBorder="1">
      <alignment vertical="center"/>
    </xf>
    <xf numFmtId="43" fontId="0" fillId="4" borderId="0" xfId="8" applyFont="1" applyFill="1" applyBorder="1">
      <alignment vertical="center"/>
    </xf>
    <xf numFmtId="43" fontId="6" fillId="5" borderId="1" xfId="0" applyNumberFormat="1" applyFont="1" applyFill="1" applyBorder="1">
      <alignment vertical="center"/>
    </xf>
    <xf numFmtId="43" fontId="0" fillId="6" borderId="0" xfId="8" applyFont="1" applyFill="1" applyBorder="1">
      <alignment vertical="center"/>
    </xf>
    <xf numFmtId="43" fontId="6" fillId="6" borderId="1" xfId="0" applyNumberFormat="1" applyFont="1" applyFill="1" applyBorder="1">
      <alignment vertical="center"/>
    </xf>
    <xf numFmtId="57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3" fontId="6" fillId="7" borderId="1" xfId="0" applyNumberFormat="1" applyFont="1" applyFill="1" applyBorder="1">
      <alignment vertical="center"/>
    </xf>
    <xf numFmtId="43" fontId="13" fillId="6" borderId="1" xfId="0" applyNumberFormat="1" applyFont="1" applyFill="1" applyBorder="1">
      <alignment vertical="center"/>
    </xf>
    <xf numFmtId="43" fontId="6" fillId="0" borderId="1" xfId="8" applyFont="1" applyFill="1" applyBorder="1">
      <alignment vertical="center"/>
    </xf>
    <xf numFmtId="0" fontId="4" fillId="9" borderId="1" xfId="0" applyFont="1" applyFill="1" applyBorder="1" applyAlignment="1">
      <alignment horizontal="center" vertical="center"/>
    </xf>
    <xf numFmtId="57" fontId="4" fillId="9" borderId="1" xfId="0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3" fontId="8" fillId="9" borderId="1" xfId="8" applyFont="1" applyFill="1" applyBorder="1" applyAlignment="1">
      <alignment horizontal="center" vertical="center"/>
    </xf>
    <xf numFmtId="0" fontId="0" fillId="9" borderId="1" xfId="0" applyFill="1" applyBorder="1">
      <alignment vertical="center"/>
    </xf>
    <xf numFmtId="0" fontId="0" fillId="8" borderId="0" xfId="0" applyFill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76" fontId="16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176" fontId="10" fillId="10" borderId="2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/>
    </xf>
    <xf numFmtId="176" fontId="10" fillId="10" borderId="3" xfId="0" applyNumberFormat="1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176" fontId="10" fillId="10" borderId="4" xfId="0" applyNumberFormat="1" applyFont="1" applyFill="1" applyBorder="1" applyAlignment="1">
      <alignment horizontal="center" vertical="center"/>
    </xf>
    <xf numFmtId="176" fontId="10" fillId="10" borderId="1" xfId="0" applyNumberFormat="1" applyFont="1" applyFill="1" applyBorder="1" applyAlignment="1">
      <alignment horizontal="center" vertical="center"/>
    </xf>
    <xf numFmtId="177" fontId="10" fillId="10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 wrapText="1"/>
    </xf>
    <xf numFmtId="176" fontId="10" fillId="10" borderId="1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176" fontId="10" fillId="11" borderId="1" xfId="0" applyNumberFormat="1" applyFont="1" applyFill="1" applyBorder="1" applyAlignment="1">
      <alignment horizontal="center" vertical="center"/>
    </xf>
    <xf numFmtId="176" fontId="10" fillId="11" borderId="1" xfId="0" applyNumberFormat="1" applyFont="1" applyFill="1" applyBorder="1" applyAlignment="1">
      <alignment horizontal="center" vertical="center" wrapText="1"/>
    </xf>
    <xf numFmtId="177" fontId="10" fillId="11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176" fontId="10" fillId="5" borderId="1" xfId="0" applyNumberFormat="1" applyFont="1" applyFill="1" applyBorder="1" applyAlignment="1">
      <alignment horizontal="center" vertical="center"/>
    </xf>
    <xf numFmtId="176" fontId="10" fillId="5" borderId="1" xfId="0" applyNumberFormat="1" applyFont="1" applyFill="1" applyBorder="1" applyAlignment="1">
      <alignment horizontal="center" vertical="center" wrapText="1"/>
    </xf>
    <xf numFmtId="177" fontId="10" fillId="5" borderId="1" xfId="0" applyNumberFormat="1" applyFont="1" applyFill="1" applyBorder="1" applyAlignment="1">
      <alignment horizontal="center" vertical="center"/>
    </xf>
    <xf numFmtId="177" fontId="10" fillId="12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176" fontId="10" fillId="6" borderId="1" xfId="0" applyNumberFormat="1" applyFont="1" applyFill="1" applyBorder="1" applyAlignment="1">
      <alignment horizontal="center" vertical="center"/>
    </xf>
    <xf numFmtId="176" fontId="10" fillId="6" borderId="1" xfId="0" applyNumberFormat="1" applyFont="1" applyFill="1" applyBorder="1" applyAlignment="1">
      <alignment horizontal="center" vertical="center" wrapText="1"/>
    </xf>
    <xf numFmtId="177" fontId="10" fillId="13" borderId="1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176" fontId="10" fillId="7" borderId="1" xfId="0" applyNumberFormat="1" applyFont="1" applyFill="1" applyBorder="1" applyAlignment="1">
      <alignment horizontal="center" vertical="center" wrapText="1"/>
    </xf>
    <xf numFmtId="177" fontId="10" fillId="7" borderId="1" xfId="0" applyNumberFormat="1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left" vertical="center" wrapText="1"/>
    </xf>
    <xf numFmtId="49" fontId="10" fillId="7" borderId="1" xfId="0" applyNumberFormat="1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 wrapText="1"/>
    </xf>
    <xf numFmtId="49" fontId="10" fillId="10" borderId="2" xfId="0" applyNumberFormat="1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left" vertical="center" wrapText="1"/>
    </xf>
    <xf numFmtId="49" fontId="10" fillId="10" borderId="4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177" fontId="10" fillId="14" borderId="1" xfId="0" applyNumberFormat="1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left" vertical="center" wrapText="1"/>
    </xf>
    <xf numFmtId="49" fontId="10" fillId="9" borderId="1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176" fontId="10" fillId="9" borderId="1" xfId="0" applyNumberFormat="1" applyFont="1" applyFill="1" applyBorder="1" applyAlignment="1">
      <alignment horizontal="center" vertical="center"/>
    </xf>
    <xf numFmtId="176" fontId="10" fillId="9" borderId="1" xfId="0" applyNumberFormat="1" applyFont="1" applyFill="1" applyBorder="1" applyAlignment="1">
      <alignment horizontal="center" vertical="center" wrapText="1"/>
    </xf>
    <xf numFmtId="177" fontId="10" fillId="9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 wrapText="1"/>
    </xf>
    <xf numFmtId="176" fontId="10" fillId="9" borderId="5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left" vertical="center" wrapText="1"/>
    </xf>
    <xf numFmtId="49" fontId="10" fillId="15" borderId="1" xfId="0" applyNumberFormat="1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176" fontId="10" fillId="15" borderId="1" xfId="0" applyNumberFormat="1" applyFont="1" applyFill="1" applyBorder="1" applyAlignment="1">
      <alignment horizontal="center" vertical="center"/>
    </xf>
    <xf numFmtId="176" fontId="10" fillId="15" borderId="5" xfId="0" applyNumberFormat="1" applyFont="1" applyFill="1" applyBorder="1" applyAlignment="1">
      <alignment horizontal="center" vertical="center" wrapText="1"/>
    </xf>
    <xf numFmtId="177" fontId="10" fillId="15" borderId="1" xfId="0" applyNumberFormat="1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left" vertical="center" wrapText="1"/>
    </xf>
    <xf numFmtId="49" fontId="11" fillId="16" borderId="1" xfId="0" applyNumberFormat="1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176" fontId="11" fillId="16" borderId="1" xfId="0" applyNumberFormat="1" applyFont="1" applyFill="1" applyBorder="1" applyAlignment="1">
      <alignment horizontal="center" vertical="center"/>
    </xf>
    <xf numFmtId="176" fontId="11" fillId="16" borderId="5" xfId="0" applyNumberFormat="1" applyFont="1" applyFill="1" applyBorder="1" applyAlignment="1">
      <alignment horizontal="center" vertical="center" wrapText="1"/>
    </xf>
    <xf numFmtId="177" fontId="10" fillId="17" borderId="1" xfId="0" applyNumberFormat="1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left" vertical="center"/>
    </xf>
    <xf numFmtId="49" fontId="11" fillId="19" borderId="1" xfId="0" applyNumberFormat="1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center" vertical="center"/>
    </xf>
    <xf numFmtId="176" fontId="10" fillId="19" borderId="1" xfId="0" applyNumberFormat="1" applyFont="1" applyFill="1" applyBorder="1" applyAlignment="1">
      <alignment horizontal="center" vertical="center"/>
    </xf>
    <xf numFmtId="177" fontId="10" fillId="19" borderId="1" xfId="0" applyNumberFormat="1" applyFont="1" applyFill="1" applyBorder="1" applyAlignment="1">
      <alignment horizontal="center" vertical="center"/>
    </xf>
    <xf numFmtId="176" fontId="10" fillId="19" borderId="5" xfId="0" applyNumberFormat="1" applyFont="1" applyFill="1" applyBorder="1" applyAlignment="1">
      <alignment horizontal="center" vertical="center"/>
    </xf>
    <xf numFmtId="0" fontId="0" fillId="19" borderId="1" xfId="0" applyFill="1" applyBorder="1" applyAlignment="1">
      <alignment horizontal="left" vertical="center"/>
    </xf>
    <xf numFmtId="49" fontId="11" fillId="10" borderId="1" xfId="0" applyNumberFormat="1" applyFont="1" applyFill="1" applyBorder="1" applyAlignment="1">
      <alignment horizontal="center" vertical="center" wrapText="1"/>
    </xf>
    <xf numFmtId="176" fontId="10" fillId="10" borderId="5" xfId="0" applyNumberFormat="1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left" vertical="center"/>
    </xf>
    <xf numFmtId="0" fontId="10" fillId="18" borderId="1" xfId="0" applyFont="1" applyFill="1" applyBorder="1" applyAlignment="1">
      <alignment horizontal="center" vertical="center"/>
    </xf>
    <xf numFmtId="176" fontId="10" fillId="18" borderId="1" xfId="0" applyNumberFormat="1" applyFont="1" applyFill="1" applyBorder="1" applyAlignment="1">
      <alignment horizontal="center" vertical="center"/>
    </xf>
    <xf numFmtId="177" fontId="10" fillId="18" borderId="1" xfId="0" applyNumberFormat="1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left" vertical="center"/>
    </xf>
    <xf numFmtId="0" fontId="10" fillId="10" borderId="3" xfId="0" applyFont="1" applyFill="1" applyBorder="1" applyAlignment="1">
      <alignment horizontal="left" vertical="center"/>
    </xf>
    <xf numFmtId="0" fontId="10" fillId="10" borderId="4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176" fontId="17" fillId="10" borderId="2" xfId="0" applyNumberFormat="1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left" vertical="center" wrapText="1"/>
    </xf>
    <xf numFmtId="176" fontId="17" fillId="10" borderId="4" xfId="0" applyNumberFormat="1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left" vertical="center" wrapText="1"/>
    </xf>
    <xf numFmtId="176" fontId="17" fillId="10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/>
    </xf>
    <xf numFmtId="176" fontId="17" fillId="5" borderId="1" xfId="0" applyNumberFormat="1" applyFont="1" applyFill="1" applyBorder="1" applyAlignment="1">
      <alignment horizontal="center" vertical="center"/>
    </xf>
    <xf numFmtId="176" fontId="10" fillId="7" borderId="1" xfId="0" applyNumberFormat="1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left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Light16"/>
  <colors>
    <mruColors>
      <color rgb="009D779F"/>
      <color rgb="00987E98"/>
      <color rgb="00F1DAF0"/>
      <color rgb="00C3A4BD"/>
      <color rgb="00CC9CA6"/>
      <color rgb="005ED5D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tabSelected="1" topLeftCell="B1" workbookViewId="0">
      <selection activeCell="G15" sqref="G15"/>
    </sheetView>
  </sheetViews>
  <sheetFormatPr defaultColWidth="9" defaultRowHeight="13.5"/>
  <cols>
    <col min="1" max="1" width="28.625" style="135" hidden="1" customWidth="1"/>
    <col min="2" max="2" width="19" customWidth="1"/>
    <col min="3" max="3" width="33.75" customWidth="1"/>
    <col min="4" max="4" width="15" customWidth="1"/>
    <col min="5" max="5" width="17.625" customWidth="1"/>
    <col min="6" max="6" width="20.75" customWidth="1"/>
    <col min="7" max="7" width="16.5" style="136" customWidth="1"/>
    <col min="8" max="8" width="14" style="137" customWidth="1"/>
    <col min="9" max="9" width="17.25" style="137" customWidth="1"/>
    <col min="10" max="10" width="14" style="137" customWidth="1"/>
    <col min="11" max="11" width="37.375" style="135" customWidth="1"/>
    <col min="12" max="12" width="12.625"/>
    <col min="13" max="13" width="10.375" customWidth="1"/>
  </cols>
  <sheetData>
    <row r="1" ht="29.25" spans="1:11">
      <c r="A1" s="138" t="s">
        <v>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</row>
    <row r="2" ht="33" spans="1:11">
      <c r="A2" s="140" t="s">
        <v>1</v>
      </c>
      <c r="B2" s="140" t="s">
        <v>2</v>
      </c>
      <c r="C2" s="140" t="s">
        <v>3</v>
      </c>
      <c r="D2" s="140" t="s">
        <v>4</v>
      </c>
      <c r="E2" s="140" t="s">
        <v>5</v>
      </c>
      <c r="F2" s="141" t="s">
        <v>6</v>
      </c>
      <c r="G2" s="142" t="s">
        <v>7</v>
      </c>
      <c r="H2" s="142" t="s">
        <v>8</v>
      </c>
      <c r="I2" s="142" t="s">
        <v>9</v>
      </c>
      <c r="J2" s="142" t="s">
        <v>10</v>
      </c>
      <c r="K2" s="140" t="s">
        <v>11</v>
      </c>
    </row>
    <row r="3" ht="16.5" spans="1:11">
      <c r="A3" s="143" t="s">
        <v>12</v>
      </c>
      <c r="B3" s="144" t="s">
        <v>13</v>
      </c>
      <c r="C3" s="145" t="s">
        <v>14</v>
      </c>
      <c r="D3" s="145">
        <v>375</v>
      </c>
      <c r="E3" s="146" t="s">
        <v>15</v>
      </c>
      <c r="F3" s="147">
        <v>961.36</v>
      </c>
      <c r="G3" s="147">
        <v>915.672851</v>
      </c>
      <c r="H3" s="147">
        <f>F3+F4+F5-G3</f>
        <v>45.687149</v>
      </c>
      <c r="I3" s="154" t="s">
        <v>16</v>
      </c>
      <c r="J3" s="154" t="s">
        <v>17</v>
      </c>
      <c r="K3" s="228" t="s">
        <v>18</v>
      </c>
    </row>
    <row r="4" ht="16.5" spans="1:11">
      <c r="A4" s="148"/>
      <c r="B4" s="149"/>
      <c r="C4" s="145" t="s">
        <v>19</v>
      </c>
      <c r="D4" s="145">
        <v>437</v>
      </c>
      <c r="E4" s="150"/>
      <c r="F4" s="151"/>
      <c r="G4" s="151"/>
      <c r="H4" s="151"/>
      <c r="I4" s="154" t="s">
        <v>16</v>
      </c>
      <c r="J4" s="154" t="s">
        <v>17</v>
      </c>
      <c r="K4" s="229"/>
    </row>
    <row r="5" ht="16.5" spans="1:11">
      <c r="A5" s="148"/>
      <c r="B5" s="149"/>
      <c r="C5" s="145" t="s">
        <v>20</v>
      </c>
      <c r="D5" s="145">
        <v>258</v>
      </c>
      <c r="E5" s="152"/>
      <c r="F5" s="153"/>
      <c r="G5" s="153"/>
      <c r="H5" s="153"/>
      <c r="I5" s="154" t="s">
        <v>16</v>
      </c>
      <c r="J5" s="154" t="s">
        <v>17</v>
      </c>
      <c r="K5" s="230"/>
    </row>
    <row r="6" ht="16.5" spans="1:11">
      <c r="A6" s="148"/>
      <c r="B6" s="149"/>
      <c r="C6" s="145" t="s">
        <v>21</v>
      </c>
      <c r="D6" s="145">
        <v>875</v>
      </c>
      <c r="E6" s="145" t="s">
        <v>22</v>
      </c>
      <c r="F6" s="154">
        <f>D6/1.06/1.05</f>
        <v>786.163522012578</v>
      </c>
      <c r="G6" s="154">
        <v>802.524573</v>
      </c>
      <c r="H6" s="155">
        <f>F6-G6</f>
        <v>-16.3610509874215</v>
      </c>
      <c r="I6" s="155" t="s">
        <v>16</v>
      </c>
      <c r="J6" s="154" t="s">
        <v>17</v>
      </c>
      <c r="K6" s="231" t="s">
        <v>23</v>
      </c>
    </row>
    <row r="7" ht="16.5" spans="1:11">
      <c r="A7" s="148"/>
      <c r="B7" s="149"/>
      <c r="C7" s="145" t="s">
        <v>24</v>
      </c>
      <c r="D7" s="145">
        <v>423.6</v>
      </c>
      <c r="E7" s="145" t="s">
        <v>25</v>
      </c>
      <c r="F7" s="154">
        <f>D7/1.06/1.05</f>
        <v>380.592991913747</v>
      </c>
      <c r="G7" s="154">
        <v>108.657602</v>
      </c>
      <c r="H7" s="154">
        <f t="shared" ref="H7:H8" si="0">F7-G7</f>
        <v>271.935389913747</v>
      </c>
      <c r="I7" s="154" t="s">
        <v>16</v>
      </c>
      <c r="J7" s="154" t="s">
        <v>17</v>
      </c>
      <c r="K7" s="231" t="s">
        <v>26</v>
      </c>
    </row>
    <row r="8" ht="16.5" spans="1:11">
      <c r="A8" s="148"/>
      <c r="B8" s="149"/>
      <c r="C8" s="156" t="s">
        <v>27</v>
      </c>
      <c r="D8" s="156">
        <v>458</v>
      </c>
      <c r="E8" s="156" t="s">
        <v>28</v>
      </c>
      <c r="F8" s="154">
        <f>D8/1.06/1.05</f>
        <v>411.500449236298</v>
      </c>
      <c r="G8" s="157">
        <v>293.705818</v>
      </c>
      <c r="H8" s="154">
        <f t="shared" si="0"/>
        <v>117.794631236298</v>
      </c>
      <c r="I8" s="154" t="s">
        <v>16</v>
      </c>
      <c r="J8" s="154" t="s">
        <v>17</v>
      </c>
      <c r="K8" s="231" t="s">
        <v>26</v>
      </c>
    </row>
    <row r="9" ht="16.5" spans="1:12">
      <c r="A9" s="158"/>
      <c r="B9" s="159"/>
      <c r="C9" s="156" t="s">
        <v>29</v>
      </c>
      <c r="D9" s="144">
        <v>1959.8913</v>
      </c>
      <c r="E9" s="156" t="s">
        <v>30</v>
      </c>
      <c r="F9" s="147">
        <f>D9/1.06/1.05</f>
        <v>1760.90862533693</v>
      </c>
      <c r="G9" s="157">
        <v>562.622218</v>
      </c>
      <c r="H9" s="147">
        <f>F9-G9-G10</f>
        <v>533.888351336927</v>
      </c>
      <c r="I9" s="154" t="s">
        <v>16</v>
      </c>
      <c r="J9" s="232" t="s">
        <v>31</v>
      </c>
      <c r="K9" s="233" t="s">
        <v>32</v>
      </c>
      <c r="L9" s="137"/>
    </row>
    <row r="10" ht="16.5" spans="1:13">
      <c r="A10" s="160" t="s">
        <v>33</v>
      </c>
      <c r="B10" s="144" t="s">
        <v>34</v>
      </c>
      <c r="C10" s="156" t="s">
        <v>35</v>
      </c>
      <c r="D10" s="159"/>
      <c r="E10" s="156" t="s">
        <v>36</v>
      </c>
      <c r="F10" s="153"/>
      <c r="G10" s="157">
        <v>664.398056</v>
      </c>
      <c r="H10" s="153"/>
      <c r="I10" s="154" t="s">
        <v>16</v>
      </c>
      <c r="J10" s="234"/>
      <c r="K10" s="235"/>
      <c r="M10" s="137"/>
    </row>
    <row r="11" ht="16.5" spans="1:11">
      <c r="A11" s="160"/>
      <c r="B11" s="149"/>
      <c r="C11" s="156" t="s">
        <v>37</v>
      </c>
      <c r="D11" s="156">
        <v>2303.8545</v>
      </c>
      <c r="E11" s="156" t="s">
        <v>38</v>
      </c>
      <c r="F11" s="154">
        <f>D11/1.06/1.05</f>
        <v>2069.95013477089</v>
      </c>
      <c r="G11" s="157">
        <v>1366.348222</v>
      </c>
      <c r="H11" s="154">
        <f t="shared" ref="H11:H17" si="1">F11-G11</f>
        <v>703.601912770889</v>
      </c>
      <c r="I11" s="154" t="s">
        <v>16</v>
      </c>
      <c r="J11" s="236" t="s">
        <v>31</v>
      </c>
      <c r="K11" s="237" t="s">
        <v>39</v>
      </c>
    </row>
    <row r="12" ht="16.5" spans="1:11">
      <c r="A12" s="160"/>
      <c r="B12" s="159"/>
      <c r="C12" s="156" t="s">
        <v>40</v>
      </c>
      <c r="D12" s="156">
        <v>1443.3919</v>
      </c>
      <c r="E12" s="156" t="s">
        <v>28</v>
      </c>
      <c r="F12" s="154">
        <f>D12/1.05</f>
        <v>1374.65895238095</v>
      </c>
      <c r="G12" s="157">
        <v>1606.008083</v>
      </c>
      <c r="H12" s="155">
        <f t="shared" si="1"/>
        <v>-231.349130619048</v>
      </c>
      <c r="I12" s="154" t="s">
        <v>16</v>
      </c>
      <c r="J12" s="154" t="s">
        <v>17</v>
      </c>
      <c r="K12" s="237" t="s">
        <v>41</v>
      </c>
    </row>
    <row r="13" ht="33" spans="1:11">
      <c r="A13" s="161" t="s">
        <v>42</v>
      </c>
      <c r="B13" s="162" t="s">
        <v>43</v>
      </c>
      <c r="C13" s="162" t="s">
        <v>44</v>
      </c>
      <c r="D13" s="163">
        <v>375</v>
      </c>
      <c r="E13" s="162" t="s">
        <v>45</v>
      </c>
      <c r="F13" s="164">
        <f>D13/1.06/1.05</f>
        <v>336.927223719677</v>
      </c>
      <c r="G13" s="165">
        <v>490.14</v>
      </c>
      <c r="H13" s="166">
        <f t="shared" si="1"/>
        <v>-153.212776280323</v>
      </c>
      <c r="I13" s="164" t="s">
        <v>16</v>
      </c>
      <c r="J13" s="164" t="s">
        <v>17</v>
      </c>
      <c r="K13" s="238" t="s">
        <v>16</v>
      </c>
    </row>
    <row r="14" ht="33" spans="1:11">
      <c r="A14" s="161" t="s">
        <v>46</v>
      </c>
      <c r="B14" s="162" t="s">
        <v>47</v>
      </c>
      <c r="C14" s="162" t="s">
        <v>48</v>
      </c>
      <c r="D14" s="163">
        <f>32.5*17</f>
        <v>552.5</v>
      </c>
      <c r="E14" s="162" t="s">
        <v>49</v>
      </c>
      <c r="F14" s="164">
        <f>D14/1.06/1.05</f>
        <v>496.406109613657</v>
      </c>
      <c r="G14" s="165">
        <v>505.66</v>
      </c>
      <c r="H14" s="166">
        <f t="shared" si="1"/>
        <v>-9.2538903863433</v>
      </c>
      <c r="I14" s="164" t="s">
        <v>50</v>
      </c>
      <c r="J14" s="164" t="s">
        <v>17</v>
      </c>
      <c r="K14" s="238" t="s">
        <v>51</v>
      </c>
    </row>
    <row r="15" ht="16.5" spans="1:11">
      <c r="A15" s="161"/>
      <c r="B15" s="162" t="s">
        <v>52</v>
      </c>
      <c r="C15" s="162" t="s">
        <v>53</v>
      </c>
      <c r="D15" s="163">
        <f>32.75*24</f>
        <v>786</v>
      </c>
      <c r="E15" s="162" t="s">
        <v>54</v>
      </c>
      <c r="F15" s="164">
        <f>D15/1.06/1.05</f>
        <v>706.199460916442</v>
      </c>
      <c r="G15" s="165">
        <v>207.72</v>
      </c>
      <c r="H15" s="166">
        <f t="shared" si="1"/>
        <v>498.479460916442</v>
      </c>
      <c r="I15" s="164" t="s">
        <v>50</v>
      </c>
      <c r="J15" s="164" t="s">
        <v>17</v>
      </c>
      <c r="K15" s="238" t="s">
        <v>51</v>
      </c>
    </row>
    <row r="16" ht="16.5" spans="1:11">
      <c r="A16" s="161"/>
      <c r="B16" s="162" t="s">
        <v>55</v>
      </c>
      <c r="C16" s="162" t="s">
        <v>56</v>
      </c>
      <c r="D16" s="163">
        <v>768.465</v>
      </c>
      <c r="E16" s="162" t="s">
        <v>57</v>
      </c>
      <c r="F16" s="164">
        <f>D16/1.05</f>
        <v>731.871428571429</v>
      </c>
      <c r="G16" s="165">
        <v>888.65</v>
      </c>
      <c r="H16" s="166">
        <f t="shared" si="1"/>
        <v>-156.778571428571</v>
      </c>
      <c r="I16" s="164" t="s">
        <v>58</v>
      </c>
      <c r="J16" s="164" t="s">
        <v>31</v>
      </c>
      <c r="K16" s="238"/>
    </row>
    <row r="17" ht="16.5" spans="1:11">
      <c r="A17" s="161"/>
      <c r="B17" s="162" t="s">
        <v>59</v>
      </c>
      <c r="C17" s="162" t="s">
        <v>60</v>
      </c>
      <c r="D17" s="163">
        <v>1500</v>
      </c>
      <c r="E17" s="162" t="s">
        <v>61</v>
      </c>
      <c r="F17" s="164">
        <f>D17/1.05</f>
        <v>1428.57142857143</v>
      </c>
      <c r="G17" s="165">
        <v>206.7</v>
      </c>
      <c r="H17" s="166">
        <f t="shared" si="1"/>
        <v>1221.87142857143</v>
      </c>
      <c r="I17" s="164" t="s">
        <v>58</v>
      </c>
      <c r="J17" s="164" t="s">
        <v>31</v>
      </c>
      <c r="K17" s="238" t="s">
        <v>51</v>
      </c>
    </row>
    <row r="18" ht="16.5" spans="1:11">
      <c r="A18" s="167" t="s">
        <v>62</v>
      </c>
      <c r="B18" s="168" t="s">
        <v>63</v>
      </c>
      <c r="C18" s="168" t="s">
        <v>64</v>
      </c>
      <c r="D18" s="168">
        <v>4007.9</v>
      </c>
      <c r="E18" s="168" t="s">
        <v>63</v>
      </c>
      <c r="F18" s="169" t="s">
        <v>63</v>
      </c>
      <c r="G18" s="170" t="s">
        <v>63</v>
      </c>
      <c r="H18" s="169" t="s">
        <v>63</v>
      </c>
      <c r="I18" s="169" t="s">
        <v>16</v>
      </c>
      <c r="J18" s="169" t="s">
        <v>63</v>
      </c>
      <c r="K18" s="167" t="s">
        <v>63</v>
      </c>
    </row>
    <row r="19" ht="33" spans="1:11">
      <c r="A19" s="167" t="s">
        <v>65</v>
      </c>
      <c r="B19" s="52" t="s">
        <v>66</v>
      </c>
      <c r="C19" s="168" t="s">
        <v>67</v>
      </c>
      <c r="D19" s="168">
        <v>1370</v>
      </c>
      <c r="E19" s="168" t="s">
        <v>68</v>
      </c>
      <c r="F19" s="169">
        <f>D19/1.06/1.05</f>
        <v>1230.90745732255</v>
      </c>
      <c r="G19" s="170">
        <v>1092.43</v>
      </c>
      <c r="H19" s="171">
        <f t="shared" ref="H19:H27" si="2">F19-G19</f>
        <v>138.47745732255</v>
      </c>
      <c r="I19" s="169" t="s">
        <v>16</v>
      </c>
      <c r="J19" s="239" t="s">
        <v>31</v>
      </c>
      <c r="K19" s="167" t="s">
        <v>69</v>
      </c>
    </row>
    <row r="20" ht="16.5" spans="1:11">
      <c r="A20" s="167"/>
      <c r="B20" s="56"/>
      <c r="C20" s="168" t="s">
        <v>70</v>
      </c>
      <c r="D20" s="168">
        <v>1800</v>
      </c>
      <c r="E20" s="168" t="s">
        <v>71</v>
      </c>
      <c r="F20" s="169">
        <f>D20/1.06/1.05</f>
        <v>1617.25067385445</v>
      </c>
      <c r="G20" s="170">
        <v>1650.82</v>
      </c>
      <c r="H20" s="171">
        <f t="shared" si="2"/>
        <v>-33.5693261455499</v>
      </c>
      <c r="I20" s="169" t="s">
        <v>16</v>
      </c>
      <c r="J20" s="169" t="s">
        <v>17</v>
      </c>
      <c r="K20" s="167" t="s">
        <v>72</v>
      </c>
    </row>
    <row r="21" ht="16.5" spans="1:11">
      <c r="A21" s="167"/>
      <c r="B21" s="59"/>
      <c r="C21" s="168" t="s">
        <v>73</v>
      </c>
      <c r="D21" s="168">
        <v>998</v>
      </c>
      <c r="E21" s="168" t="s">
        <v>74</v>
      </c>
      <c r="F21" s="169">
        <f t="shared" ref="F21:F27" si="3">D21/1.06/1.05</f>
        <v>896.675651392632</v>
      </c>
      <c r="G21" s="170">
        <v>389.7512</v>
      </c>
      <c r="H21" s="171">
        <f t="shared" si="2"/>
        <v>506.924451392632</v>
      </c>
      <c r="I21" s="169" t="s">
        <v>16</v>
      </c>
      <c r="J21" s="169" t="s">
        <v>17</v>
      </c>
      <c r="K21" s="167" t="s">
        <v>75</v>
      </c>
    </row>
    <row r="22" ht="49.5" spans="1:11">
      <c r="A22" s="167" t="s">
        <v>76</v>
      </c>
      <c r="B22" s="168" t="s">
        <v>77</v>
      </c>
      <c r="C22" s="168" t="s">
        <v>78</v>
      </c>
      <c r="D22" s="168">
        <v>905.85095</v>
      </c>
      <c r="E22" s="168" t="s">
        <v>79</v>
      </c>
      <c r="F22" s="169">
        <f t="shared" si="3"/>
        <v>813.882255166217</v>
      </c>
      <c r="G22" s="170">
        <v>805.06</v>
      </c>
      <c r="H22" s="169">
        <f t="shared" si="2"/>
        <v>8.82225516621747</v>
      </c>
      <c r="I22" s="169" t="s">
        <v>16</v>
      </c>
      <c r="J22" s="239" t="s">
        <v>31</v>
      </c>
      <c r="K22" s="167" t="s">
        <v>80</v>
      </c>
    </row>
    <row r="23" ht="16.5" spans="1:11">
      <c r="A23" s="167"/>
      <c r="B23" s="168" t="s">
        <v>81</v>
      </c>
      <c r="C23" s="168" t="s">
        <v>82</v>
      </c>
      <c r="D23" s="168">
        <f>32.75*5</f>
        <v>163.75</v>
      </c>
      <c r="E23" s="168" t="s">
        <v>83</v>
      </c>
      <c r="F23" s="169">
        <f t="shared" si="3"/>
        <v>147.124887690925</v>
      </c>
      <c r="G23" s="170">
        <v>182.55</v>
      </c>
      <c r="H23" s="172">
        <f t="shared" si="2"/>
        <v>-35.4251123090746</v>
      </c>
      <c r="I23" s="169" t="s">
        <v>84</v>
      </c>
      <c r="J23" s="239" t="s">
        <v>31</v>
      </c>
      <c r="K23" s="167"/>
    </row>
    <row r="24" ht="16.5" spans="1:11">
      <c r="A24" s="167"/>
      <c r="B24" s="168" t="s">
        <v>85</v>
      </c>
      <c r="C24" s="168" t="s">
        <v>86</v>
      </c>
      <c r="D24" s="168"/>
      <c r="E24" s="168"/>
      <c r="F24" s="169"/>
      <c r="G24" s="170">
        <v>50.86</v>
      </c>
      <c r="H24" s="172">
        <f t="shared" si="2"/>
        <v>-50.86</v>
      </c>
      <c r="I24" s="169" t="s">
        <v>50</v>
      </c>
      <c r="J24" s="239" t="s">
        <v>31</v>
      </c>
      <c r="K24" s="167" t="s">
        <v>51</v>
      </c>
    </row>
    <row r="25" ht="16.5" spans="1:11">
      <c r="A25" s="167"/>
      <c r="B25" s="168" t="s">
        <v>87</v>
      </c>
      <c r="C25" s="168" t="s">
        <v>88</v>
      </c>
      <c r="D25" s="168"/>
      <c r="E25" s="168"/>
      <c r="F25" s="169"/>
      <c r="G25" s="170">
        <v>86.51</v>
      </c>
      <c r="H25" s="172">
        <f t="shared" si="2"/>
        <v>-86.51</v>
      </c>
      <c r="I25" s="169" t="s">
        <v>50</v>
      </c>
      <c r="J25" s="239" t="s">
        <v>31</v>
      </c>
      <c r="K25" s="167" t="s">
        <v>51</v>
      </c>
    </row>
    <row r="26" ht="16.5" spans="1:11">
      <c r="A26" s="167"/>
      <c r="B26" s="168" t="s">
        <v>89</v>
      </c>
      <c r="C26" s="168" t="s">
        <v>90</v>
      </c>
      <c r="D26" s="168">
        <v>181.5</v>
      </c>
      <c r="E26" s="168" t="s">
        <v>91</v>
      </c>
      <c r="F26" s="169">
        <f t="shared" si="3"/>
        <v>163.072776280323</v>
      </c>
      <c r="G26" s="170">
        <v>57.08</v>
      </c>
      <c r="H26" s="172">
        <f t="shared" si="2"/>
        <v>105.992776280323</v>
      </c>
      <c r="I26" s="169" t="s">
        <v>50</v>
      </c>
      <c r="J26" s="239" t="s">
        <v>31</v>
      </c>
      <c r="K26" s="167" t="s">
        <v>51</v>
      </c>
    </row>
    <row r="27" ht="16.5" spans="1:11">
      <c r="A27" s="167"/>
      <c r="B27" s="168" t="s">
        <v>92</v>
      </c>
      <c r="C27" s="168" t="s">
        <v>93</v>
      </c>
      <c r="D27" s="168">
        <v>900</v>
      </c>
      <c r="E27" s="168" t="s">
        <v>94</v>
      </c>
      <c r="F27" s="169">
        <f t="shared" si="3"/>
        <v>808.625336927224</v>
      </c>
      <c r="G27" s="170">
        <v>545.26</v>
      </c>
      <c r="H27" s="169">
        <f t="shared" si="2"/>
        <v>263.365336927224</v>
      </c>
      <c r="I27" s="169" t="s">
        <v>50</v>
      </c>
      <c r="J27" s="239" t="s">
        <v>31</v>
      </c>
      <c r="K27" s="167" t="s">
        <v>95</v>
      </c>
    </row>
    <row r="28" ht="16.5" spans="1:11">
      <c r="A28" s="173" t="s">
        <v>96</v>
      </c>
      <c r="B28" s="174" t="s">
        <v>97</v>
      </c>
      <c r="C28" s="174" t="s">
        <v>98</v>
      </c>
      <c r="D28" s="174">
        <v>348</v>
      </c>
      <c r="E28" s="174" t="s">
        <v>99</v>
      </c>
      <c r="F28" s="175">
        <f t="shared" ref="F28:F34" si="4">D28/1.06/1.05</f>
        <v>312.66846361186</v>
      </c>
      <c r="G28" s="176">
        <v>210.92</v>
      </c>
      <c r="H28" s="175">
        <f t="shared" ref="H28:H34" si="5">F28-G28</f>
        <v>101.74846361186</v>
      </c>
      <c r="I28" s="175" t="s">
        <v>16</v>
      </c>
      <c r="J28" s="175" t="s">
        <v>17</v>
      </c>
      <c r="K28" s="173" t="s">
        <v>26</v>
      </c>
    </row>
    <row r="29" ht="16.5" spans="1:11">
      <c r="A29" s="173" t="s">
        <v>100</v>
      </c>
      <c r="B29" s="63" t="s">
        <v>101</v>
      </c>
      <c r="C29" s="174" t="s">
        <v>102</v>
      </c>
      <c r="D29" s="174">
        <v>127</v>
      </c>
      <c r="E29" s="174" t="s">
        <v>103</v>
      </c>
      <c r="F29" s="175">
        <f t="shared" si="4"/>
        <v>114.106019766397</v>
      </c>
      <c r="G29" s="176">
        <v>73.33</v>
      </c>
      <c r="H29" s="175">
        <f t="shared" si="5"/>
        <v>40.7760197663971</v>
      </c>
      <c r="I29" s="175" t="s">
        <v>16</v>
      </c>
      <c r="J29" s="175" t="s">
        <v>17</v>
      </c>
      <c r="K29" s="173" t="s">
        <v>26</v>
      </c>
    </row>
    <row r="30" ht="16.5" spans="1:11">
      <c r="A30" s="173"/>
      <c r="B30" s="70"/>
      <c r="C30" s="174" t="s">
        <v>104</v>
      </c>
      <c r="D30" s="174">
        <v>180</v>
      </c>
      <c r="E30" s="174" t="s">
        <v>105</v>
      </c>
      <c r="F30" s="175">
        <f t="shared" si="4"/>
        <v>161.725067385445</v>
      </c>
      <c r="G30" s="176">
        <v>179.089272</v>
      </c>
      <c r="H30" s="177">
        <f t="shared" si="5"/>
        <v>-17.364204614555</v>
      </c>
      <c r="I30" s="175" t="s">
        <v>16</v>
      </c>
      <c r="J30" s="175" t="s">
        <v>17</v>
      </c>
      <c r="K30" s="173" t="s">
        <v>106</v>
      </c>
    </row>
    <row r="31" ht="33" spans="1:11">
      <c r="A31" s="178" t="s">
        <v>107</v>
      </c>
      <c r="B31" s="98" t="s">
        <v>108</v>
      </c>
      <c r="C31" s="179" t="s">
        <v>109</v>
      </c>
      <c r="D31" s="179">
        <v>189</v>
      </c>
      <c r="E31" s="179" t="s">
        <v>110</v>
      </c>
      <c r="F31" s="180">
        <f t="shared" si="4"/>
        <v>169.811320754717</v>
      </c>
      <c r="G31" s="180">
        <v>179.46</v>
      </c>
      <c r="H31" s="181">
        <f t="shared" si="5"/>
        <v>-9.64867924528303</v>
      </c>
      <c r="I31" s="240" t="s">
        <v>16</v>
      </c>
      <c r="J31" s="240" t="s">
        <v>17</v>
      </c>
      <c r="K31" s="183" t="s">
        <v>111</v>
      </c>
    </row>
    <row r="32" ht="16.5" spans="1:11">
      <c r="A32" s="182"/>
      <c r="B32" s="100"/>
      <c r="C32" s="179" t="s">
        <v>112</v>
      </c>
      <c r="D32" s="179">
        <v>238</v>
      </c>
      <c r="E32" s="179" t="s">
        <v>113</v>
      </c>
      <c r="F32" s="180">
        <f t="shared" si="4"/>
        <v>213.836477987421</v>
      </c>
      <c r="G32" s="180">
        <v>121.7165</v>
      </c>
      <c r="H32" s="181">
        <f t="shared" si="5"/>
        <v>92.1199779874214</v>
      </c>
      <c r="I32" s="240" t="s">
        <v>16</v>
      </c>
      <c r="J32" s="240" t="s">
        <v>17</v>
      </c>
      <c r="K32" s="183" t="s">
        <v>26</v>
      </c>
    </row>
    <row r="33" ht="16.5" spans="1:11">
      <c r="A33" s="183" t="s">
        <v>114</v>
      </c>
      <c r="B33" s="99" t="s">
        <v>115</v>
      </c>
      <c r="C33" s="179" t="s">
        <v>116</v>
      </c>
      <c r="D33" s="184">
        <v>739</v>
      </c>
      <c r="E33" s="179" t="s">
        <v>117</v>
      </c>
      <c r="F33" s="180">
        <f t="shared" si="4"/>
        <v>663.971248876909</v>
      </c>
      <c r="G33" s="180">
        <v>1115.21</v>
      </c>
      <c r="H33" s="181">
        <f t="shared" si="5"/>
        <v>-451.238751123091</v>
      </c>
      <c r="I33" s="240" t="s">
        <v>16</v>
      </c>
      <c r="J33" s="240" t="s">
        <v>31</v>
      </c>
      <c r="K33" s="183" t="s">
        <v>118</v>
      </c>
    </row>
    <row r="34" ht="16.5" spans="1:11">
      <c r="A34" s="185" t="s">
        <v>119</v>
      </c>
      <c r="B34" s="186" t="s">
        <v>120</v>
      </c>
      <c r="C34" s="179" t="s">
        <v>119</v>
      </c>
      <c r="D34" s="184">
        <v>163</v>
      </c>
      <c r="E34" s="179" t="s">
        <v>121</v>
      </c>
      <c r="F34" s="180">
        <f t="shared" si="4"/>
        <v>146.451033243486</v>
      </c>
      <c r="G34" s="180">
        <v>179.71</v>
      </c>
      <c r="H34" s="181">
        <f t="shared" si="5"/>
        <v>-33.258966756514</v>
      </c>
      <c r="I34" s="240" t="s">
        <v>50</v>
      </c>
      <c r="J34" s="240" t="s">
        <v>31</v>
      </c>
      <c r="K34" s="183"/>
    </row>
    <row r="35" s="131" customFormat="1" ht="16.5" spans="1:11">
      <c r="A35" s="187" t="s">
        <v>122</v>
      </c>
      <c r="B35" s="188" t="s">
        <v>123</v>
      </c>
      <c r="C35" s="156" t="s">
        <v>124</v>
      </c>
      <c r="D35" s="156">
        <v>199</v>
      </c>
      <c r="E35" s="156" t="s">
        <v>125</v>
      </c>
      <c r="F35" s="157">
        <f t="shared" ref="F35:F47" si="6">D35/1.06/1.05</f>
        <v>178.796046720575</v>
      </c>
      <c r="G35" s="157">
        <v>92.78</v>
      </c>
      <c r="H35" s="154">
        <f t="shared" ref="H35:H52" si="7">F35-G35</f>
        <v>86.016046720575</v>
      </c>
      <c r="I35" s="154" t="s">
        <v>16</v>
      </c>
      <c r="J35" s="154" t="s">
        <v>17</v>
      </c>
      <c r="K35" s="237" t="s">
        <v>26</v>
      </c>
    </row>
    <row r="36" s="131" customFormat="1" ht="16.5" spans="1:11">
      <c r="A36" s="189"/>
      <c r="B36" s="190"/>
      <c r="C36" s="191" t="s">
        <v>126</v>
      </c>
      <c r="D36" s="191">
        <v>132</v>
      </c>
      <c r="E36" s="156" t="s">
        <v>127</v>
      </c>
      <c r="F36" s="157">
        <f>132/1.06/1.05</f>
        <v>118.598382749326</v>
      </c>
      <c r="G36" s="157">
        <v>129.076487</v>
      </c>
      <c r="H36" s="192">
        <f t="shared" si="7"/>
        <v>-10.478104250674</v>
      </c>
      <c r="I36" s="154" t="s">
        <v>16</v>
      </c>
      <c r="J36" s="154" t="s">
        <v>17</v>
      </c>
      <c r="K36" s="237" t="s">
        <v>128</v>
      </c>
    </row>
    <row r="37" ht="16.5" spans="1:11">
      <c r="A37" s="193" t="s">
        <v>129</v>
      </c>
      <c r="B37" s="194" t="s">
        <v>130</v>
      </c>
      <c r="C37" s="195" t="s">
        <v>131</v>
      </c>
      <c r="D37" s="195">
        <f>1955.094019*0.9</f>
        <v>1759.5846171</v>
      </c>
      <c r="E37" s="195" t="s">
        <v>132</v>
      </c>
      <c r="F37" s="196">
        <f t="shared" si="6"/>
        <v>1580.93855983827</v>
      </c>
      <c r="G37" s="197">
        <v>2739.83</v>
      </c>
      <c r="H37" s="198">
        <f t="shared" si="7"/>
        <v>-1158.89144016173</v>
      </c>
      <c r="I37" s="196" t="s">
        <v>133</v>
      </c>
      <c r="J37" s="196" t="s">
        <v>17</v>
      </c>
      <c r="K37" s="199" t="s">
        <v>134</v>
      </c>
    </row>
    <row r="38" ht="33" spans="1:11">
      <c r="A38" s="199" t="s">
        <v>135</v>
      </c>
      <c r="B38" s="194" t="s">
        <v>136</v>
      </c>
      <c r="C38" s="195" t="s">
        <v>137</v>
      </c>
      <c r="D38" s="195">
        <v>395</v>
      </c>
      <c r="E38" s="195" t="s">
        <v>138</v>
      </c>
      <c r="F38" s="196">
        <f t="shared" si="6"/>
        <v>354.896675651393</v>
      </c>
      <c r="G38" s="197">
        <v>357.6123</v>
      </c>
      <c r="H38" s="198">
        <f t="shared" si="7"/>
        <v>-2.71562434860738</v>
      </c>
      <c r="I38" s="196" t="s">
        <v>16</v>
      </c>
      <c r="J38" s="196" t="s">
        <v>17</v>
      </c>
      <c r="K38" s="199" t="s">
        <v>139</v>
      </c>
    </row>
    <row r="39" ht="33" spans="1:11">
      <c r="A39" s="199" t="s">
        <v>140</v>
      </c>
      <c r="B39" s="194" t="s">
        <v>130</v>
      </c>
      <c r="C39" s="195" t="s">
        <v>141</v>
      </c>
      <c r="D39" s="195">
        <v>1560</v>
      </c>
      <c r="E39" s="195" t="s">
        <v>142</v>
      </c>
      <c r="F39" s="196">
        <f t="shared" si="6"/>
        <v>1401.61725067385</v>
      </c>
      <c r="G39" s="197">
        <v>1776.7392</v>
      </c>
      <c r="H39" s="198">
        <f t="shared" si="7"/>
        <v>-375.121949326146</v>
      </c>
      <c r="I39" s="196" t="s">
        <v>16</v>
      </c>
      <c r="J39" s="196" t="s">
        <v>17</v>
      </c>
      <c r="K39" s="199" t="s">
        <v>143</v>
      </c>
    </row>
    <row r="40" ht="33" spans="1:11">
      <c r="A40" s="199" t="s">
        <v>144</v>
      </c>
      <c r="B40" s="194" t="s">
        <v>145</v>
      </c>
      <c r="C40" s="195" t="s">
        <v>146</v>
      </c>
      <c r="D40" s="195">
        <v>195</v>
      </c>
      <c r="E40" s="195" t="s">
        <v>147</v>
      </c>
      <c r="F40" s="196">
        <f t="shared" si="6"/>
        <v>175.202156334232</v>
      </c>
      <c r="G40" s="200">
        <v>237.99</v>
      </c>
      <c r="H40" s="198">
        <f t="shared" si="7"/>
        <v>-62.7878436657682</v>
      </c>
      <c r="I40" s="196" t="s">
        <v>16</v>
      </c>
      <c r="J40" s="196" t="s">
        <v>17</v>
      </c>
      <c r="K40" s="199" t="s">
        <v>148</v>
      </c>
    </row>
    <row r="41" ht="16.5" spans="1:11">
      <c r="A41" s="199" t="s">
        <v>149</v>
      </c>
      <c r="B41" s="194" t="s">
        <v>150</v>
      </c>
      <c r="C41" s="201" t="s">
        <v>151</v>
      </c>
      <c r="D41" s="201">
        <v>52</v>
      </c>
      <c r="E41" s="195" t="s">
        <v>152</v>
      </c>
      <c r="F41" s="196">
        <f t="shared" si="6"/>
        <v>46.7205750224618</v>
      </c>
      <c r="G41" s="200">
        <v>73.44</v>
      </c>
      <c r="H41" s="198">
        <f t="shared" si="7"/>
        <v>-26.7194249775382</v>
      </c>
      <c r="I41" s="196" t="s">
        <v>16</v>
      </c>
      <c r="J41" s="196" t="s">
        <v>17</v>
      </c>
      <c r="K41" s="199" t="s">
        <v>153</v>
      </c>
    </row>
    <row r="42" ht="16.5" spans="1:11">
      <c r="A42" s="199" t="s">
        <v>149</v>
      </c>
      <c r="B42" s="194" t="s">
        <v>154</v>
      </c>
      <c r="C42" s="201" t="s">
        <v>155</v>
      </c>
      <c r="D42" s="201">
        <v>2190</v>
      </c>
      <c r="E42" s="195" t="s">
        <v>156</v>
      </c>
      <c r="F42" s="196">
        <f t="shared" si="6"/>
        <v>1967.65498652291</v>
      </c>
      <c r="G42" s="200">
        <v>3217.77</v>
      </c>
      <c r="H42" s="198">
        <f t="shared" si="7"/>
        <v>-1250.11501347709</v>
      </c>
      <c r="I42" s="196" t="s">
        <v>16</v>
      </c>
      <c r="J42" s="196" t="s">
        <v>17</v>
      </c>
      <c r="K42" s="199" t="s">
        <v>157</v>
      </c>
    </row>
    <row r="43" ht="16.5" spans="1:11">
      <c r="A43" s="199" t="s">
        <v>149</v>
      </c>
      <c r="B43" s="194" t="s">
        <v>158</v>
      </c>
      <c r="C43" s="201" t="s">
        <v>159</v>
      </c>
      <c r="D43" s="201">
        <v>1800</v>
      </c>
      <c r="E43" s="195" t="s">
        <v>160</v>
      </c>
      <c r="F43" s="196">
        <f t="shared" si="6"/>
        <v>1617.25067385445</v>
      </c>
      <c r="G43" s="200">
        <v>1833.35</v>
      </c>
      <c r="H43" s="198">
        <f t="shared" si="7"/>
        <v>-216.099326145553</v>
      </c>
      <c r="I43" s="196" t="s">
        <v>50</v>
      </c>
      <c r="J43" s="196" t="s">
        <v>17</v>
      </c>
      <c r="K43" s="199" t="s">
        <v>161</v>
      </c>
    </row>
    <row r="44" ht="16.5" spans="1:11">
      <c r="A44" s="199" t="s">
        <v>149</v>
      </c>
      <c r="B44" s="194" t="s">
        <v>162</v>
      </c>
      <c r="C44" s="201" t="s">
        <v>163</v>
      </c>
      <c r="D44" s="201">
        <v>108</v>
      </c>
      <c r="E44" s="195" t="s">
        <v>164</v>
      </c>
      <c r="F44" s="196">
        <f t="shared" si="6"/>
        <v>97.0350404312668</v>
      </c>
      <c r="G44" s="200">
        <v>144.2</v>
      </c>
      <c r="H44" s="198">
        <f t="shared" si="7"/>
        <v>-47.1649595687332</v>
      </c>
      <c r="I44" s="196" t="s">
        <v>16</v>
      </c>
      <c r="J44" s="196" t="s">
        <v>17</v>
      </c>
      <c r="K44" s="199" t="s">
        <v>165</v>
      </c>
    </row>
    <row r="45" ht="16.5" spans="1:11">
      <c r="A45" s="202" t="s">
        <v>149</v>
      </c>
      <c r="B45" s="203" t="s">
        <v>166</v>
      </c>
      <c r="C45" s="204" t="s">
        <v>167</v>
      </c>
      <c r="D45" s="204">
        <v>780</v>
      </c>
      <c r="E45" s="205" t="s">
        <v>168</v>
      </c>
      <c r="F45" s="206">
        <f t="shared" si="6"/>
        <v>700.808625336927</v>
      </c>
      <c r="G45" s="207">
        <v>898.01</v>
      </c>
      <c r="H45" s="208">
        <f t="shared" si="7"/>
        <v>-197.201374663073</v>
      </c>
      <c r="I45" s="206" t="s">
        <v>58</v>
      </c>
      <c r="J45" s="206" t="s">
        <v>17</v>
      </c>
      <c r="K45" s="202" t="s">
        <v>169</v>
      </c>
    </row>
    <row r="46" ht="16.5" spans="1:11">
      <c r="A46" s="202" t="s">
        <v>149</v>
      </c>
      <c r="B46" s="203" t="s">
        <v>170</v>
      </c>
      <c r="C46" s="204" t="s">
        <v>171</v>
      </c>
      <c r="D46" s="204">
        <v>380</v>
      </c>
      <c r="E46" s="205" t="s">
        <v>172</v>
      </c>
      <c r="F46" s="206">
        <f t="shared" si="6"/>
        <v>341.419586702606</v>
      </c>
      <c r="G46" s="207">
        <v>453.82</v>
      </c>
      <c r="H46" s="208">
        <f t="shared" si="7"/>
        <v>-112.400413297394</v>
      </c>
      <c r="I46" s="206" t="s">
        <v>58</v>
      </c>
      <c r="J46" s="206" t="s">
        <v>17</v>
      </c>
      <c r="K46" s="202" t="s">
        <v>169</v>
      </c>
    </row>
    <row r="47" ht="16.5" spans="1:11">
      <c r="A47" s="202" t="s">
        <v>149</v>
      </c>
      <c r="B47" s="203" t="s">
        <v>173</v>
      </c>
      <c r="C47" s="204" t="s">
        <v>174</v>
      </c>
      <c r="D47" s="204">
        <v>115</v>
      </c>
      <c r="E47" s="205" t="s">
        <v>51</v>
      </c>
      <c r="F47" s="206">
        <f t="shared" si="6"/>
        <v>103.324348607367</v>
      </c>
      <c r="G47" s="207">
        <v>88.84</v>
      </c>
      <c r="H47" s="208">
        <f t="shared" si="7"/>
        <v>14.4843486073675</v>
      </c>
      <c r="I47" s="206" t="s">
        <v>58</v>
      </c>
      <c r="J47" s="206" t="s">
        <v>17</v>
      </c>
      <c r="K47" s="202" t="s">
        <v>175</v>
      </c>
    </row>
    <row r="48" s="132" customFormat="1" ht="33" spans="1:11">
      <c r="A48" s="209" t="s">
        <v>176</v>
      </c>
      <c r="B48" s="210" t="s">
        <v>177</v>
      </c>
      <c r="C48" s="211" t="s">
        <v>178</v>
      </c>
      <c r="D48" s="211">
        <v>100</v>
      </c>
      <c r="E48" s="211" t="s">
        <v>179</v>
      </c>
      <c r="F48" s="212"/>
      <c r="G48" s="213">
        <v>139.52</v>
      </c>
      <c r="H48" s="214">
        <f t="shared" si="7"/>
        <v>-139.52</v>
      </c>
      <c r="I48" s="212" t="s">
        <v>180</v>
      </c>
      <c r="J48" s="212" t="s">
        <v>17</v>
      </c>
      <c r="K48" s="209" t="s">
        <v>181</v>
      </c>
    </row>
    <row r="49" s="133" customFormat="1" ht="16.5" spans="1:11">
      <c r="A49" s="215" t="s">
        <v>182</v>
      </c>
      <c r="B49" s="216" t="s">
        <v>183</v>
      </c>
      <c r="C49" s="217" t="s">
        <v>182</v>
      </c>
      <c r="D49" s="217">
        <v>18</v>
      </c>
      <c r="E49" s="217" t="s">
        <v>184</v>
      </c>
      <c r="F49" s="218">
        <f>D49/1.06/1.05</f>
        <v>16.1725067385445</v>
      </c>
      <c r="G49" s="218">
        <v>18.17</v>
      </c>
      <c r="H49" s="219">
        <f t="shared" si="7"/>
        <v>-1.99749326145553</v>
      </c>
      <c r="I49" s="218" t="s">
        <v>16</v>
      </c>
      <c r="J49" s="218" t="s">
        <v>17</v>
      </c>
      <c r="K49" s="241" t="s">
        <v>185</v>
      </c>
    </row>
    <row r="50" s="133" customFormat="1" ht="16.5" spans="1:11">
      <c r="A50" s="215"/>
      <c r="B50" s="216" t="s">
        <v>186</v>
      </c>
      <c r="C50" s="217" t="s">
        <v>187</v>
      </c>
      <c r="D50" s="217"/>
      <c r="E50" s="217"/>
      <c r="F50" s="218"/>
      <c r="G50" s="220">
        <v>6.83617</v>
      </c>
      <c r="H50" s="219">
        <f t="shared" si="7"/>
        <v>-6.83617</v>
      </c>
      <c r="I50" s="218" t="s">
        <v>58</v>
      </c>
      <c r="J50" s="218" t="s">
        <v>17</v>
      </c>
      <c r="K50" s="241" t="s">
        <v>188</v>
      </c>
    </row>
    <row r="51" ht="16.5" spans="1:11">
      <c r="A51" s="221"/>
      <c r="B51" s="222" t="s">
        <v>189</v>
      </c>
      <c r="C51" s="145" t="s">
        <v>190</v>
      </c>
      <c r="D51" s="145">
        <v>12</v>
      </c>
      <c r="E51" s="145" t="s">
        <v>191</v>
      </c>
      <c r="F51" s="154">
        <f>D51/1.06/1.05</f>
        <v>10.7816711590296</v>
      </c>
      <c r="G51" s="223">
        <v>9.87</v>
      </c>
      <c r="H51" s="155">
        <f t="shared" si="7"/>
        <v>0.91167115902965</v>
      </c>
      <c r="I51" s="154" t="s">
        <v>16</v>
      </c>
      <c r="J51" s="154" t="s">
        <v>31</v>
      </c>
      <c r="K51" s="231"/>
    </row>
    <row r="52" s="134" customFormat="1" ht="16.5" spans="1:11">
      <c r="A52" s="224" t="s">
        <v>192</v>
      </c>
      <c r="B52" s="225" t="s">
        <v>193</v>
      </c>
      <c r="C52" s="225" t="s">
        <v>192</v>
      </c>
      <c r="D52" s="225">
        <v>1280</v>
      </c>
      <c r="E52" s="225" t="s">
        <v>179</v>
      </c>
      <c r="F52" s="226">
        <f>D52/1.06/1.05</f>
        <v>1150.04492362983</v>
      </c>
      <c r="G52" s="226">
        <v>2410.54</v>
      </c>
      <c r="H52" s="227">
        <f t="shared" si="7"/>
        <v>-1260.49507637017</v>
      </c>
      <c r="I52" s="226" t="s">
        <v>58</v>
      </c>
      <c r="J52" s="226" t="s">
        <v>17</v>
      </c>
      <c r="K52" s="215" t="s">
        <v>194</v>
      </c>
    </row>
  </sheetData>
  <mergeCells count="23">
    <mergeCell ref="A1:K1"/>
    <mergeCell ref="A3:A9"/>
    <mergeCell ref="A10:A12"/>
    <mergeCell ref="A19:A21"/>
    <mergeCell ref="A29:A30"/>
    <mergeCell ref="A31:A32"/>
    <mergeCell ref="A35:A36"/>
    <mergeCell ref="B3:B9"/>
    <mergeCell ref="B10:B12"/>
    <mergeCell ref="B19:B21"/>
    <mergeCell ref="B29:B30"/>
    <mergeCell ref="B31:B32"/>
    <mergeCell ref="B35:B36"/>
    <mergeCell ref="D9:D10"/>
    <mergeCell ref="E3:E5"/>
    <mergeCell ref="F3:F5"/>
    <mergeCell ref="F9:F10"/>
    <mergeCell ref="G3:G5"/>
    <mergeCell ref="H3:H5"/>
    <mergeCell ref="H9:H10"/>
    <mergeCell ref="J9:J10"/>
    <mergeCell ref="K3:K5"/>
    <mergeCell ref="K9:K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06"/>
  <sheetViews>
    <sheetView topLeftCell="A64" workbookViewId="0">
      <pane xSplit="2" topLeftCell="C1" activePane="topRight" state="frozen"/>
      <selection/>
      <selection pane="topRight" activeCell="A101" sqref="A101:A103"/>
    </sheetView>
  </sheetViews>
  <sheetFormatPr defaultColWidth="9" defaultRowHeight="13.5"/>
  <cols>
    <col min="1" max="1" width="15.25" customWidth="1"/>
    <col min="2" max="2" width="42.75" hidden="1" customWidth="1"/>
    <col min="3" max="3" width="13" customWidth="1"/>
    <col min="4" max="4" width="12.125" customWidth="1"/>
    <col min="5" max="6" width="13.125" customWidth="1"/>
    <col min="7" max="7" width="13.5" customWidth="1"/>
    <col min="8" max="8" width="14.25" customWidth="1"/>
    <col min="9" max="9" width="14" customWidth="1"/>
    <col min="10" max="11" width="13.75" customWidth="1"/>
    <col min="12" max="12" width="15" customWidth="1"/>
    <col min="13" max="13" width="12.75" customWidth="1"/>
    <col min="14" max="14" width="13.125" customWidth="1"/>
    <col min="15" max="15" width="13.75" customWidth="1"/>
    <col min="16" max="16" width="15" customWidth="1"/>
    <col min="17" max="17" width="14" customWidth="1"/>
    <col min="18" max="18" width="15" customWidth="1"/>
    <col min="19" max="19" width="14" customWidth="1"/>
    <col min="20" max="20" width="14.5" customWidth="1"/>
    <col min="21" max="22" width="15" customWidth="1"/>
    <col min="23" max="23" width="16.625" customWidth="1"/>
    <col min="24" max="24" width="13.125" customWidth="1"/>
    <col min="25" max="25" width="14.375" customWidth="1"/>
    <col min="26" max="26" width="15" customWidth="1"/>
    <col min="27" max="27" width="14.875" customWidth="1"/>
    <col min="28" max="28" width="12.125" customWidth="1"/>
    <col min="29" max="29" width="13.375" customWidth="1"/>
    <col min="30" max="30" width="8.5" customWidth="1"/>
    <col min="31" max="31" width="13.25" customWidth="1"/>
    <col min="32" max="32" width="15" customWidth="1"/>
    <col min="33" max="33" width="14.375" customWidth="1"/>
    <col min="34" max="36" width="15" customWidth="1"/>
    <col min="37" max="37" width="13.25" customWidth="1"/>
    <col min="38" max="38" width="8.75" customWidth="1"/>
    <col min="39" max="39" width="13.625" customWidth="1"/>
    <col min="40" max="40" width="9" customWidth="1"/>
    <col min="41" max="41" width="14" customWidth="1"/>
    <col min="42" max="42" width="13.125" customWidth="1"/>
    <col min="43" max="43" width="13.375" customWidth="1"/>
    <col min="44" max="44" width="5.125" customWidth="1"/>
    <col min="45" max="45" width="14" customWidth="1"/>
    <col min="46" max="46" width="14.75" customWidth="1"/>
    <col min="47" max="50" width="14" customWidth="1"/>
    <col min="51" max="51" width="15.375" customWidth="1"/>
    <col min="52" max="52" width="15" customWidth="1"/>
    <col min="53" max="53" width="15.5" customWidth="1"/>
    <col min="54" max="54" width="6.625" customWidth="1"/>
    <col min="55" max="55" width="14.125" customWidth="1"/>
    <col min="56" max="56" width="9.875" customWidth="1"/>
    <col min="57" max="57" width="14" customWidth="1"/>
    <col min="58" max="58" width="13.125" customWidth="1"/>
    <col min="59" max="59" width="12.125" customWidth="1"/>
    <col min="60" max="60" width="16" customWidth="1"/>
    <col min="61" max="61" width="12.125" customWidth="1"/>
    <col min="62" max="62" width="15" customWidth="1"/>
    <col min="63" max="63" width="12.125" customWidth="1"/>
    <col min="64" max="64" width="5.125" customWidth="1"/>
    <col min="65" max="65" width="12.125" customWidth="1"/>
    <col min="66" max="66" width="5.125" customWidth="1"/>
    <col min="67" max="67" width="12.125" customWidth="1"/>
    <col min="68" max="68" width="5.125" customWidth="1"/>
    <col min="69" max="69" width="12.125" customWidth="1"/>
    <col min="70" max="70" width="5.125" customWidth="1"/>
    <col min="71" max="71" width="12.125" customWidth="1"/>
    <col min="72" max="72" width="5.125" customWidth="1"/>
    <col min="73" max="73" width="10.125" customWidth="1"/>
    <col min="74" max="74" width="5.125" customWidth="1"/>
    <col min="75" max="75" width="12.125" customWidth="1"/>
    <col min="76" max="76" width="5.125" customWidth="1"/>
    <col min="77" max="77" width="10.125" customWidth="1"/>
    <col min="78" max="78" width="5.125" customWidth="1"/>
    <col min="79" max="79" width="12.125" customWidth="1"/>
    <col min="80" max="80" width="5.125" customWidth="1"/>
    <col min="81" max="81" width="14" customWidth="1"/>
    <col min="82" max="82" width="13.125" customWidth="1"/>
    <col min="83" max="83" width="12.125" customWidth="1"/>
    <col min="84" max="84" width="5.125" customWidth="1"/>
    <col min="85" max="85" width="12.125" customWidth="1"/>
    <col min="86" max="86" width="5.125" customWidth="1"/>
    <col min="87" max="87" width="14" customWidth="1"/>
    <col min="88" max="88" width="5.125" customWidth="1"/>
    <col min="89" max="89" width="11.125" customWidth="1"/>
    <col min="90" max="90" width="15" customWidth="1"/>
    <col min="91" max="91" width="12.125" customWidth="1"/>
    <col min="92" max="92" width="5.125" customWidth="1"/>
    <col min="93" max="93" width="12.125" customWidth="1"/>
    <col min="94" max="94" width="5.125" customWidth="1"/>
    <col min="95" max="95" width="12.625"/>
    <col min="96" max="96" width="15" customWidth="1"/>
    <col min="100" max="100" width="11.125" customWidth="1"/>
  </cols>
  <sheetData>
    <row r="1" spans="1:2">
      <c r="A1" s="40" t="s">
        <v>2</v>
      </c>
      <c r="B1" s="40" t="s">
        <v>195</v>
      </c>
    </row>
    <row r="2" s="33" customFormat="1" spans="1:100">
      <c r="A2" s="41" t="s">
        <v>66</v>
      </c>
      <c r="B2" s="42" t="s">
        <v>196</v>
      </c>
      <c r="C2" s="43" t="s">
        <v>197</v>
      </c>
      <c r="D2" s="43"/>
      <c r="E2" s="43" t="s">
        <v>198</v>
      </c>
      <c r="F2" s="43"/>
      <c r="G2" s="43" t="s">
        <v>199</v>
      </c>
      <c r="H2" s="43"/>
      <c r="I2" s="43" t="s">
        <v>200</v>
      </c>
      <c r="J2" s="43"/>
      <c r="K2" s="85">
        <v>43831</v>
      </c>
      <c r="L2" s="43"/>
      <c r="M2" s="85">
        <v>43862</v>
      </c>
      <c r="N2" s="43"/>
      <c r="O2" s="85">
        <v>43891</v>
      </c>
      <c r="P2" s="43"/>
      <c r="Q2" s="85">
        <v>43922</v>
      </c>
      <c r="R2" s="43"/>
      <c r="S2" s="85">
        <v>43952</v>
      </c>
      <c r="T2" s="43"/>
      <c r="U2" s="85">
        <v>43983</v>
      </c>
      <c r="V2" s="43"/>
      <c r="W2" s="85">
        <v>44013</v>
      </c>
      <c r="X2" s="43"/>
      <c r="Y2" s="85">
        <v>44044</v>
      </c>
      <c r="Z2" s="43"/>
      <c r="AA2" s="85">
        <v>44075</v>
      </c>
      <c r="AB2" s="43"/>
      <c r="AC2" s="85">
        <v>44105</v>
      </c>
      <c r="AD2" s="43"/>
      <c r="AE2" s="85">
        <v>44136</v>
      </c>
      <c r="AF2" s="43"/>
      <c r="AG2" s="85">
        <v>44166</v>
      </c>
      <c r="AH2" s="43"/>
      <c r="AI2" s="85">
        <v>44197</v>
      </c>
      <c r="AJ2" s="43"/>
      <c r="AK2" s="85">
        <v>44228</v>
      </c>
      <c r="AL2" s="43"/>
      <c r="AM2" s="85">
        <v>44256</v>
      </c>
      <c r="AN2" s="43"/>
      <c r="AO2" s="85">
        <v>44287</v>
      </c>
      <c r="AP2" s="43"/>
      <c r="AQ2" s="85">
        <v>44317</v>
      </c>
      <c r="AR2" s="43"/>
      <c r="AS2" s="85">
        <v>44348</v>
      </c>
      <c r="AT2" s="43"/>
      <c r="AU2" s="85">
        <v>44378</v>
      </c>
      <c r="AV2" s="43"/>
      <c r="AW2" s="85">
        <v>44409</v>
      </c>
      <c r="AX2" s="43"/>
      <c r="AY2" s="85">
        <v>44440</v>
      </c>
      <c r="AZ2" s="43"/>
      <c r="BA2" s="85">
        <v>44470</v>
      </c>
      <c r="BB2" s="43"/>
      <c r="BC2" s="85">
        <v>44501</v>
      </c>
      <c r="BD2" s="43"/>
      <c r="BE2" s="85">
        <v>44531</v>
      </c>
      <c r="BF2" s="43"/>
      <c r="BG2" s="85">
        <v>44562</v>
      </c>
      <c r="BH2" s="43"/>
      <c r="BI2" s="85">
        <v>44594</v>
      </c>
      <c r="BJ2" s="43"/>
      <c r="BK2" s="85">
        <v>44626</v>
      </c>
      <c r="BL2" s="43"/>
      <c r="BM2" s="85">
        <v>44658</v>
      </c>
      <c r="BN2" s="43"/>
      <c r="BO2" s="85">
        <v>44690</v>
      </c>
      <c r="BP2" s="43"/>
      <c r="BQ2" s="85">
        <v>44722</v>
      </c>
      <c r="BR2" s="43"/>
      <c r="BS2" s="85">
        <v>44754</v>
      </c>
      <c r="BT2" s="43"/>
      <c r="BU2" s="85">
        <v>44786</v>
      </c>
      <c r="BV2" s="43"/>
      <c r="BW2" s="85">
        <v>44818</v>
      </c>
      <c r="BX2" s="43"/>
      <c r="BY2" s="85">
        <v>44850</v>
      </c>
      <c r="BZ2" s="43"/>
      <c r="CA2" s="85">
        <v>44882</v>
      </c>
      <c r="CB2" s="43"/>
      <c r="CC2" s="85">
        <v>44914</v>
      </c>
      <c r="CD2" s="43"/>
      <c r="CE2" s="85">
        <v>44927</v>
      </c>
      <c r="CF2" s="43"/>
      <c r="CG2" s="85">
        <v>44959</v>
      </c>
      <c r="CH2" s="43"/>
      <c r="CI2" s="85">
        <v>44991</v>
      </c>
      <c r="CJ2" s="43"/>
      <c r="CK2" s="85">
        <v>45023</v>
      </c>
      <c r="CL2" s="43"/>
      <c r="CM2" s="85">
        <v>45055</v>
      </c>
      <c r="CN2" s="43"/>
      <c r="CO2" s="85">
        <v>45086</v>
      </c>
      <c r="CP2" s="43"/>
      <c r="CQ2" s="85">
        <v>45116</v>
      </c>
      <c r="CR2" s="43"/>
      <c r="CS2" s="85">
        <v>45147</v>
      </c>
      <c r="CT2" s="43"/>
      <c r="CU2" s="85">
        <v>45147</v>
      </c>
      <c r="CV2" s="43"/>
    </row>
    <row r="3" s="33" customFormat="1" spans="1:100">
      <c r="A3" s="44"/>
      <c r="B3" s="45"/>
      <c r="C3" s="46" t="s">
        <v>201</v>
      </c>
      <c r="D3" s="46" t="s">
        <v>202</v>
      </c>
      <c r="E3" s="46" t="s">
        <v>201</v>
      </c>
      <c r="F3" s="46" t="s">
        <v>202</v>
      </c>
      <c r="G3" s="46" t="s">
        <v>201</v>
      </c>
      <c r="H3" s="46" t="s">
        <v>202</v>
      </c>
      <c r="I3" s="46" t="s">
        <v>201</v>
      </c>
      <c r="J3" s="46" t="s">
        <v>202</v>
      </c>
      <c r="K3" s="46" t="s">
        <v>201</v>
      </c>
      <c r="L3" s="46" t="s">
        <v>202</v>
      </c>
      <c r="M3" s="46" t="s">
        <v>201</v>
      </c>
      <c r="N3" s="46" t="s">
        <v>202</v>
      </c>
      <c r="O3" s="46" t="s">
        <v>201</v>
      </c>
      <c r="P3" s="46" t="s">
        <v>202</v>
      </c>
      <c r="Q3" s="46" t="s">
        <v>201</v>
      </c>
      <c r="R3" s="46" t="s">
        <v>202</v>
      </c>
      <c r="S3" s="46" t="s">
        <v>201</v>
      </c>
      <c r="T3" s="46" t="s">
        <v>202</v>
      </c>
      <c r="U3" s="46" t="s">
        <v>201</v>
      </c>
      <c r="V3" s="46" t="s">
        <v>202</v>
      </c>
      <c r="W3" s="46" t="s">
        <v>201</v>
      </c>
      <c r="X3" s="46" t="s">
        <v>202</v>
      </c>
      <c r="Y3" s="46" t="s">
        <v>201</v>
      </c>
      <c r="Z3" s="46" t="s">
        <v>202</v>
      </c>
      <c r="AA3" s="46" t="s">
        <v>201</v>
      </c>
      <c r="AB3" s="46" t="s">
        <v>202</v>
      </c>
      <c r="AC3" s="46" t="s">
        <v>201</v>
      </c>
      <c r="AD3" s="46" t="s">
        <v>202</v>
      </c>
      <c r="AE3" s="46" t="s">
        <v>201</v>
      </c>
      <c r="AF3" s="46" t="s">
        <v>202</v>
      </c>
      <c r="AG3" s="46" t="s">
        <v>201</v>
      </c>
      <c r="AH3" s="46" t="s">
        <v>202</v>
      </c>
      <c r="AI3" s="46" t="s">
        <v>201</v>
      </c>
      <c r="AJ3" s="46" t="s">
        <v>202</v>
      </c>
      <c r="AK3" s="46" t="s">
        <v>201</v>
      </c>
      <c r="AL3" s="46" t="s">
        <v>202</v>
      </c>
      <c r="AM3" s="46" t="s">
        <v>201</v>
      </c>
      <c r="AN3" s="46" t="s">
        <v>202</v>
      </c>
      <c r="AO3" s="46" t="s">
        <v>201</v>
      </c>
      <c r="AP3" s="46" t="s">
        <v>202</v>
      </c>
      <c r="AQ3" s="46" t="s">
        <v>201</v>
      </c>
      <c r="AR3" s="46" t="s">
        <v>202</v>
      </c>
      <c r="AS3" s="46" t="s">
        <v>201</v>
      </c>
      <c r="AT3" s="46" t="s">
        <v>202</v>
      </c>
      <c r="AU3" s="46" t="s">
        <v>201</v>
      </c>
      <c r="AV3" s="46" t="s">
        <v>202</v>
      </c>
      <c r="AW3" s="46" t="s">
        <v>201</v>
      </c>
      <c r="AX3" s="46" t="s">
        <v>202</v>
      </c>
      <c r="AY3" s="46" t="s">
        <v>201</v>
      </c>
      <c r="AZ3" s="46" t="s">
        <v>202</v>
      </c>
      <c r="BA3" s="46" t="s">
        <v>201</v>
      </c>
      <c r="BB3" s="46" t="s">
        <v>202</v>
      </c>
      <c r="BC3" s="46" t="s">
        <v>201</v>
      </c>
      <c r="BD3" s="46" t="s">
        <v>202</v>
      </c>
      <c r="BE3" s="46" t="s">
        <v>201</v>
      </c>
      <c r="BF3" s="46" t="s">
        <v>202</v>
      </c>
      <c r="BG3" s="46" t="s">
        <v>201</v>
      </c>
      <c r="BH3" s="46" t="s">
        <v>202</v>
      </c>
      <c r="BI3" s="46" t="s">
        <v>201</v>
      </c>
      <c r="BJ3" s="46" t="s">
        <v>202</v>
      </c>
      <c r="BK3" s="46" t="s">
        <v>201</v>
      </c>
      <c r="BL3" s="46" t="s">
        <v>202</v>
      </c>
      <c r="BM3" s="46" t="s">
        <v>201</v>
      </c>
      <c r="BN3" s="46" t="s">
        <v>202</v>
      </c>
      <c r="BO3" s="46" t="s">
        <v>201</v>
      </c>
      <c r="BP3" s="46" t="s">
        <v>202</v>
      </c>
      <c r="BQ3" s="46" t="s">
        <v>201</v>
      </c>
      <c r="BR3" s="46" t="s">
        <v>202</v>
      </c>
      <c r="BS3" s="46" t="s">
        <v>201</v>
      </c>
      <c r="BT3" s="46" t="s">
        <v>202</v>
      </c>
      <c r="BU3" s="46" t="s">
        <v>201</v>
      </c>
      <c r="BV3" s="46" t="s">
        <v>202</v>
      </c>
      <c r="BW3" s="46" t="s">
        <v>201</v>
      </c>
      <c r="BX3" s="46" t="s">
        <v>202</v>
      </c>
      <c r="BY3" s="46" t="s">
        <v>201</v>
      </c>
      <c r="BZ3" s="46" t="s">
        <v>202</v>
      </c>
      <c r="CA3" s="46" t="s">
        <v>201</v>
      </c>
      <c r="CB3" s="46" t="s">
        <v>202</v>
      </c>
      <c r="CC3" s="46" t="s">
        <v>201</v>
      </c>
      <c r="CD3" s="46" t="s">
        <v>202</v>
      </c>
      <c r="CE3" s="46" t="s">
        <v>201</v>
      </c>
      <c r="CF3" s="46" t="s">
        <v>202</v>
      </c>
      <c r="CG3" s="46" t="s">
        <v>201</v>
      </c>
      <c r="CH3" s="46" t="s">
        <v>202</v>
      </c>
      <c r="CI3" s="46" t="s">
        <v>201</v>
      </c>
      <c r="CJ3" s="46" t="s">
        <v>202</v>
      </c>
      <c r="CK3" s="46" t="s">
        <v>201</v>
      </c>
      <c r="CL3" s="46" t="s">
        <v>202</v>
      </c>
      <c r="CM3" s="46" t="s">
        <v>201</v>
      </c>
      <c r="CN3" s="46" t="s">
        <v>202</v>
      </c>
      <c r="CO3" s="46" t="s">
        <v>201</v>
      </c>
      <c r="CP3" s="46" t="s">
        <v>202</v>
      </c>
      <c r="CQ3" s="46" t="s">
        <v>201</v>
      </c>
      <c r="CR3" s="46" t="s">
        <v>202</v>
      </c>
      <c r="CS3" s="46" t="s">
        <v>201</v>
      </c>
      <c r="CT3" s="46" t="s">
        <v>202</v>
      </c>
      <c r="CU3" s="46" t="s">
        <v>201</v>
      </c>
      <c r="CV3" s="46" t="s">
        <v>202</v>
      </c>
    </row>
    <row r="4" s="33" customFormat="1" spans="1:100">
      <c r="A4" s="47"/>
      <c r="B4" s="48"/>
      <c r="C4" s="49">
        <v>8830.19</v>
      </c>
      <c r="D4" s="50"/>
      <c r="E4" s="49">
        <v>140001.87</v>
      </c>
      <c r="F4" s="50"/>
      <c r="G4" s="51">
        <v>217398.2</v>
      </c>
      <c r="H4" s="50"/>
      <c r="I4" s="49">
        <v>445673.25</v>
      </c>
      <c r="J4" s="49"/>
      <c r="K4" s="103">
        <v>206019.22</v>
      </c>
      <c r="L4" s="103"/>
      <c r="M4" s="103">
        <v>157040.53</v>
      </c>
      <c r="N4" s="103"/>
      <c r="O4" s="51">
        <v>48829.42</v>
      </c>
      <c r="P4" s="50"/>
      <c r="Q4" s="88">
        <v>146177.44</v>
      </c>
      <c r="R4" s="50"/>
      <c r="S4" s="88">
        <v>149141.29</v>
      </c>
      <c r="T4" s="88"/>
      <c r="U4" s="88">
        <v>146734.04</v>
      </c>
      <c r="V4" s="88"/>
      <c r="W4" s="49">
        <v>237000.17</v>
      </c>
      <c r="X4" s="50"/>
      <c r="Y4" s="49">
        <v>225044.41</v>
      </c>
      <c r="Z4" s="50"/>
      <c r="AA4" s="49">
        <v>285933.54</v>
      </c>
      <c r="AB4" s="50"/>
      <c r="AC4" s="49">
        <v>256327.27</v>
      </c>
      <c r="AD4" s="50"/>
      <c r="AE4" s="51">
        <v>360119.76</v>
      </c>
      <c r="AF4" s="88">
        <v>-4132075.47</v>
      </c>
      <c r="AG4" s="49">
        <f>4905515.27+1101804.87</f>
        <v>6007320.14</v>
      </c>
      <c r="AH4" s="49">
        <v>-1101804.87</v>
      </c>
      <c r="AI4" s="103">
        <f>382190.66+11480</f>
        <v>393670.66</v>
      </c>
      <c r="AJ4" s="103">
        <f>-5295448.68-11480</f>
        <v>-5306928.68</v>
      </c>
      <c r="AK4" s="103">
        <v>379634.51</v>
      </c>
      <c r="AL4" s="103"/>
      <c r="AM4" s="51">
        <v>608186.64</v>
      </c>
      <c r="AN4" s="50"/>
      <c r="AO4" s="88">
        <v>653620.97</v>
      </c>
      <c r="AP4" s="88"/>
      <c r="AQ4" s="88">
        <v>494855.16</v>
      </c>
      <c r="AR4" s="88"/>
      <c r="AS4" s="88">
        <v>445559.37</v>
      </c>
      <c r="AT4" s="88"/>
      <c r="AU4" s="49">
        <v>429574.77</v>
      </c>
      <c r="AV4" s="50"/>
      <c r="AW4" s="49">
        <v>358984.13</v>
      </c>
      <c r="AX4" s="88"/>
      <c r="AY4" s="49">
        <v>380656.81</v>
      </c>
      <c r="AZ4" s="88"/>
      <c r="BA4" s="49">
        <v>429842.76</v>
      </c>
      <c r="BB4" s="88"/>
      <c r="BC4" s="51">
        <v>294809.22</v>
      </c>
      <c r="BD4" s="88"/>
      <c r="BE4" s="88">
        <v>6269872.4</v>
      </c>
      <c r="BF4" s="49">
        <f>-3757580.14-5584219.08</f>
        <v>-9341799.22</v>
      </c>
      <c r="BG4" s="103">
        <v>259895.35</v>
      </c>
      <c r="BH4" s="103"/>
      <c r="BI4" s="103">
        <v>270284.28</v>
      </c>
      <c r="BJ4" s="103"/>
      <c r="BK4" s="51">
        <v>254891.62</v>
      </c>
      <c r="BL4" s="50"/>
      <c r="BM4" s="88">
        <v>281870.01</v>
      </c>
      <c r="BN4" s="88"/>
      <c r="BO4" s="88">
        <v>364592.07</v>
      </c>
      <c r="BP4" s="88"/>
      <c r="BQ4" s="88">
        <v>360035.17</v>
      </c>
      <c r="BR4" s="88"/>
      <c r="BS4" s="88">
        <v>615164.48</v>
      </c>
      <c r="BT4" s="50"/>
      <c r="BU4" s="49">
        <v>612234.16</v>
      </c>
      <c r="BV4" s="88"/>
      <c r="BW4" s="49">
        <v>1286734.09</v>
      </c>
      <c r="BX4" s="88"/>
      <c r="BY4" s="49">
        <v>486290.4</v>
      </c>
      <c r="BZ4" s="88"/>
      <c r="CA4" s="51">
        <v>201280.36</v>
      </c>
      <c r="CB4" s="88"/>
      <c r="CC4" s="88">
        <v>3351222.89</v>
      </c>
      <c r="CD4" s="49">
        <v>-8105660.38</v>
      </c>
      <c r="CE4" s="103">
        <v>268990.59</v>
      </c>
      <c r="CF4" s="103"/>
      <c r="CG4" s="103">
        <v>256278.05</v>
      </c>
      <c r="CH4" s="103"/>
      <c r="CI4" s="88">
        <v>1129720.43</v>
      </c>
      <c r="CJ4" s="88"/>
      <c r="CK4" s="88">
        <v>88773.7</v>
      </c>
      <c r="CL4" s="88">
        <v>-3289878.34</v>
      </c>
      <c r="CM4" s="88">
        <v>227306.9</v>
      </c>
      <c r="CN4" s="88"/>
      <c r="CO4" s="125">
        <v>205692.73</v>
      </c>
      <c r="CP4" s="88"/>
      <c r="CQ4" s="88">
        <v>1718098.09</v>
      </c>
      <c r="CR4" s="88">
        <v>-2239871.42</v>
      </c>
      <c r="CS4" s="88">
        <v>2614</v>
      </c>
      <c r="CV4" s="88">
        <v>-2614</v>
      </c>
    </row>
    <row r="5" s="34" customFormat="1" spans="1:62">
      <c r="A5" s="52" t="s">
        <v>77</v>
      </c>
      <c r="B5" s="53" t="s">
        <v>196</v>
      </c>
      <c r="C5" s="54">
        <v>44136</v>
      </c>
      <c r="D5" s="55"/>
      <c r="E5" s="54">
        <v>44166</v>
      </c>
      <c r="F5" s="55"/>
      <c r="G5" s="54">
        <v>44197</v>
      </c>
      <c r="H5" s="55"/>
      <c r="I5" s="54">
        <v>44228</v>
      </c>
      <c r="J5" s="55"/>
      <c r="K5" s="54">
        <v>44256</v>
      </c>
      <c r="L5" s="55"/>
      <c r="M5" s="54">
        <v>44287</v>
      </c>
      <c r="N5" s="55"/>
      <c r="O5" s="54">
        <v>44317</v>
      </c>
      <c r="P5" s="55"/>
      <c r="Q5" s="54">
        <v>44348</v>
      </c>
      <c r="R5" s="55"/>
      <c r="S5" s="54">
        <v>44378</v>
      </c>
      <c r="T5" s="55"/>
      <c r="U5" s="54">
        <v>44409</v>
      </c>
      <c r="V5" s="55"/>
      <c r="W5" s="54">
        <v>44440</v>
      </c>
      <c r="X5" s="55"/>
      <c r="Y5" s="54">
        <v>44470</v>
      </c>
      <c r="Z5" s="55"/>
      <c r="AA5" s="54">
        <v>44501</v>
      </c>
      <c r="AB5" s="55"/>
      <c r="AC5" s="54">
        <v>44531</v>
      </c>
      <c r="AD5" s="55"/>
      <c r="AE5" s="54">
        <v>44562</v>
      </c>
      <c r="AF5" s="55"/>
      <c r="AG5" s="54">
        <v>44594</v>
      </c>
      <c r="AH5" s="55"/>
      <c r="AI5" s="54">
        <v>44626</v>
      </c>
      <c r="AJ5" s="55"/>
      <c r="AK5" s="54">
        <v>44658</v>
      </c>
      <c r="AL5" s="55"/>
      <c r="AM5" s="54">
        <v>44690</v>
      </c>
      <c r="AN5" s="55"/>
      <c r="AO5" s="54">
        <v>44722</v>
      </c>
      <c r="AP5" s="55"/>
      <c r="AQ5" s="54">
        <v>44754</v>
      </c>
      <c r="AR5" s="55"/>
      <c r="AS5" s="54">
        <v>44786</v>
      </c>
      <c r="AT5" s="55"/>
      <c r="AU5" s="54">
        <v>44818</v>
      </c>
      <c r="AV5" s="55"/>
      <c r="AW5" s="54">
        <v>44850</v>
      </c>
      <c r="AX5" s="55"/>
      <c r="AY5" s="54">
        <v>44882</v>
      </c>
      <c r="AZ5" s="55"/>
      <c r="BA5" s="54">
        <v>44914</v>
      </c>
      <c r="BB5" s="55"/>
      <c r="BC5" s="54">
        <v>44927</v>
      </c>
      <c r="BD5" s="55"/>
      <c r="BE5" s="54">
        <v>44959</v>
      </c>
      <c r="BF5" s="55"/>
      <c r="BG5" s="54">
        <v>44991</v>
      </c>
      <c r="BH5" s="55"/>
      <c r="BI5" s="54">
        <v>45023</v>
      </c>
      <c r="BJ5" s="55"/>
    </row>
    <row r="6" s="34" customFormat="1" spans="1:62">
      <c r="A6" s="56"/>
      <c r="B6" s="57"/>
      <c r="C6" s="58" t="s">
        <v>201</v>
      </c>
      <c r="D6" s="58" t="s">
        <v>202</v>
      </c>
      <c r="E6" s="58" t="s">
        <v>201</v>
      </c>
      <c r="F6" s="58" t="s">
        <v>202</v>
      </c>
      <c r="G6" s="58" t="s">
        <v>201</v>
      </c>
      <c r="H6" s="58" t="s">
        <v>202</v>
      </c>
      <c r="I6" s="58" t="s">
        <v>201</v>
      </c>
      <c r="J6" s="58" t="s">
        <v>202</v>
      </c>
      <c r="K6" s="58" t="s">
        <v>201</v>
      </c>
      <c r="L6" s="58" t="s">
        <v>202</v>
      </c>
      <c r="M6" s="58" t="s">
        <v>201</v>
      </c>
      <c r="N6" s="58" t="s">
        <v>202</v>
      </c>
      <c r="O6" s="58" t="s">
        <v>201</v>
      </c>
      <c r="P6" s="58" t="s">
        <v>202</v>
      </c>
      <c r="Q6" s="58" t="s">
        <v>201</v>
      </c>
      <c r="R6" s="58" t="s">
        <v>202</v>
      </c>
      <c r="S6" s="58" t="s">
        <v>201</v>
      </c>
      <c r="T6" s="58" t="s">
        <v>202</v>
      </c>
      <c r="U6" s="58" t="s">
        <v>201</v>
      </c>
      <c r="V6" s="58" t="s">
        <v>202</v>
      </c>
      <c r="W6" s="58" t="s">
        <v>201</v>
      </c>
      <c r="X6" s="58" t="s">
        <v>202</v>
      </c>
      <c r="Y6" s="58" t="s">
        <v>201</v>
      </c>
      <c r="Z6" s="58" t="s">
        <v>202</v>
      </c>
      <c r="AA6" s="58" t="s">
        <v>201</v>
      </c>
      <c r="AB6" s="58" t="s">
        <v>202</v>
      </c>
      <c r="AC6" s="58" t="s">
        <v>201</v>
      </c>
      <c r="AD6" s="58" t="s">
        <v>202</v>
      </c>
      <c r="AE6" s="58" t="s">
        <v>201</v>
      </c>
      <c r="AF6" s="58" t="s">
        <v>202</v>
      </c>
      <c r="AG6" s="58" t="s">
        <v>201</v>
      </c>
      <c r="AH6" s="58" t="s">
        <v>202</v>
      </c>
      <c r="AI6" s="58" t="s">
        <v>201</v>
      </c>
      <c r="AJ6" s="58" t="s">
        <v>202</v>
      </c>
      <c r="AK6" s="58" t="s">
        <v>201</v>
      </c>
      <c r="AL6" s="58" t="s">
        <v>202</v>
      </c>
      <c r="AM6" s="58" t="s">
        <v>201</v>
      </c>
      <c r="AN6" s="58" t="s">
        <v>202</v>
      </c>
      <c r="AO6" s="58" t="s">
        <v>201</v>
      </c>
      <c r="AP6" s="58" t="s">
        <v>202</v>
      </c>
      <c r="AQ6" s="58" t="s">
        <v>201</v>
      </c>
      <c r="AR6" s="58" t="s">
        <v>202</v>
      </c>
      <c r="AS6" s="58" t="s">
        <v>201</v>
      </c>
      <c r="AT6" s="58" t="s">
        <v>202</v>
      </c>
      <c r="AU6" s="58" t="s">
        <v>201</v>
      </c>
      <c r="AV6" s="58" t="s">
        <v>202</v>
      </c>
      <c r="AW6" s="58" t="s">
        <v>201</v>
      </c>
      <c r="AX6" s="58" t="s">
        <v>202</v>
      </c>
      <c r="AY6" s="58" t="s">
        <v>201</v>
      </c>
      <c r="AZ6" s="58" t="s">
        <v>202</v>
      </c>
      <c r="BA6" s="58" t="s">
        <v>201</v>
      </c>
      <c r="BB6" s="58" t="s">
        <v>202</v>
      </c>
      <c r="BC6" s="58" t="s">
        <v>201</v>
      </c>
      <c r="BD6" s="58" t="s">
        <v>202</v>
      </c>
      <c r="BE6" s="58" t="s">
        <v>201</v>
      </c>
      <c r="BF6" s="58" t="s">
        <v>202</v>
      </c>
      <c r="BG6" s="58" t="s">
        <v>201</v>
      </c>
      <c r="BH6" s="58" t="s">
        <v>202</v>
      </c>
      <c r="BI6" s="58" t="s">
        <v>201</v>
      </c>
      <c r="BJ6" s="58" t="s">
        <v>202</v>
      </c>
    </row>
    <row r="7" s="34" customFormat="1" spans="1:62">
      <c r="A7" s="59"/>
      <c r="B7" s="60"/>
      <c r="C7" s="61">
        <v>24600</v>
      </c>
      <c r="D7" s="61"/>
      <c r="E7" s="61">
        <v>1581260.93</v>
      </c>
      <c r="F7" s="61">
        <v>-1605860.93</v>
      </c>
      <c r="G7" s="62">
        <v>16839.78</v>
      </c>
      <c r="H7" s="62"/>
      <c r="I7" s="62">
        <v>36596.86</v>
      </c>
      <c r="J7" s="62"/>
      <c r="K7" s="92">
        <v>45235.92</v>
      </c>
      <c r="L7" s="93"/>
      <c r="M7" s="92">
        <v>40194.99</v>
      </c>
      <c r="N7" s="92"/>
      <c r="O7" s="92">
        <v>13761.46</v>
      </c>
      <c r="P7" s="92"/>
      <c r="Q7" s="92">
        <v>23321.59</v>
      </c>
      <c r="R7" s="93"/>
      <c r="S7" s="92">
        <v>23521.96</v>
      </c>
      <c r="T7" s="93"/>
      <c r="U7" s="92">
        <v>52051.48</v>
      </c>
      <c r="V7" s="92"/>
      <c r="W7" s="61">
        <v>158820.2</v>
      </c>
      <c r="X7" s="92"/>
      <c r="Y7" s="61">
        <v>39635.45</v>
      </c>
      <c r="Z7" s="92">
        <v>-449979.69</v>
      </c>
      <c r="AA7" s="61">
        <v>104489.95</v>
      </c>
      <c r="AB7" s="61"/>
      <c r="AC7" s="92">
        <v>467184.62</v>
      </c>
      <c r="AD7" s="61"/>
      <c r="AE7" s="62">
        <v>76573.28</v>
      </c>
      <c r="AF7" s="62"/>
      <c r="AG7" s="62">
        <v>93736.59</v>
      </c>
      <c r="AH7" s="62"/>
      <c r="AI7" s="92">
        <v>81793.55</v>
      </c>
      <c r="AJ7" s="93"/>
      <c r="AK7" s="92">
        <v>102009.93</v>
      </c>
      <c r="AL7" s="92"/>
      <c r="AM7" s="92">
        <v>56464.31</v>
      </c>
      <c r="AN7" s="92"/>
      <c r="AO7" s="92">
        <v>89990.78</v>
      </c>
      <c r="AP7" s="93"/>
      <c r="AQ7" s="92">
        <v>156264.63</v>
      </c>
      <c r="AR7" s="93"/>
      <c r="AS7" s="92">
        <v>241297.71</v>
      </c>
      <c r="AT7" s="92"/>
      <c r="AU7" s="61">
        <v>9131.64</v>
      </c>
      <c r="AV7" s="92"/>
      <c r="AW7" s="61">
        <v>10519.35</v>
      </c>
      <c r="AX7" s="92"/>
      <c r="AY7" s="61">
        <v>32845.39</v>
      </c>
      <c r="AZ7" s="61"/>
      <c r="BA7" s="92">
        <v>4386660.6</v>
      </c>
      <c r="BB7" s="61"/>
      <c r="BC7" s="62">
        <v>32578.82</v>
      </c>
      <c r="BD7" s="62"/>
      <c r="BE7" s="62">
        <v>37965.19</v>
      </c>
      <c r="BF7" s="62"/>
      <c r="BG7" s="92">
        <v>15246.39</v>
      </c>
      <c r="BH7" s="92"/>
      <c r="BI7" s="92">
        <v>0.07</v>
      </c>
      <c r="BJ7" s="92">
        <f>-5994752.8</f>
        <v>-5994752.8</v>
      </c>
    </row>
    <row r="8" s="35" customFormat="1" spans="1:26">
      <c r="A8" s="63" t="s">
        <v>97</v>
      </c>
      <c r="B8" s="64" t="s">
        <v>196</v>
      </c>
      <c r="C8" s="65">
        <v>43922</v>
      </c>
      <c r="D8" s="66"/>
      <c r="E8" s="65">
        <v>43952</v>
      </c>
      <c r="F8" s="66"/>
      <c r="G8" s="65">
        <v>43983</v>
      </c>
      <c r="H8" s="66"/>
      <c r="I8" s="65">
        <v>44013</v>
      </c>
      <c r="J8" s="66"/>
      <c r="K8" s="65">
        <v>44044</v>
      </c>
      <c r="L8" s="66"/>
      <c r="M8" s="65">
        <v>44075</v>
      </c>
      <c r="N8" s="66"/>
      <c r="O8" s="65">
        <v>44105</v>
      </c>
      <c r="P8" s="66"/>
      <c r="Q8" s="65">
        <v>44136</v>
      </c>
      <c r="R8" s="66"/>
      <c r="S8" s="65">
        <v>44166</v>
      </c>
      <c r="T8" s="66"/>
      <c r="U8" s="65">
        <v>44228</v>
      </c>
      <c r="V8" s="66"/>
      <c r="W8" s="65">
        <v>44317</v>
      </c>
      <c r="X8" s="66"/>
      <c r="Y8" s="65">
        <v>44378</v>
      </c>
      <c r="Z8" s="66"/>
    </row>
    <row r="9" s="35" customFormat="1" spans="1:26">
      <c r="A9" s="67"/>
      <c r="B9" s="68"/>
      <c r="C9" s="69" t="s">
        <v>201</v>
      </c>
      <c r="D9" s="69" t="s">
        <v>202</v>
      </c>
      <c r="E9" s="69" t="s">
        <v>201</v>
      </c>
      <c r="F9" s="69" t="s">
        <v>202</v>
      </c>
      <c r="G9" s="69" t="s">
        <v>201</v>
      </c>
      <c r="H9" s="69" t="s">
        <v>202</v>
      </c>
      <c r="I9" s="69" t="s">
        <v>201</v>
      </c>
      <c r="J9" s="69" t="s">
        <v>202</v>
      </c>
      <c r="K9" s="69" t="s">
        <v>201</v>
      </c>
      <c r="L9" s="69" t="s">
        <v>202</v>
      </c>
      <c r="M9" s="69" t="s">
        <v>201</v>
      </c>
      <c r="N9" s="69" t="s">
        <v>202</v>
      </c>
      <c r="O9" s="69" t="s">
        <v>201</v>
      </c>
      <c r="P9" s="69" t="s">
        <v>202</v>
      </c>
      <c r="Q9" s="69" t="s">
        <v>201</v>
      </c>
      <c r="R9" s="69" t="s">
        <v>202</v>
      </c>
      <c r="S9" s="69" t="s">
        <v>201</v>
      </c>
      <c r="T9" s="69" t="s">
        <v>202</v>
      </c>
      <c r="U9" s="69" t="s">
        <v>201</v>
      </c>
      <c r="V9" s="69" t="s">
        <v>202</v>
      </c>
      <c r="W9" s="69" t="s">
        <v>201</v>
      </c>
      <c r="X9" s="69" t="s">
        <v>202</v>
      </c>
      <c r="Y9" s="69" t="s">
        <v>201</v>
      </c>
      <c r="Z9" s="69" t="s">
        <v>202</v>
      </c>
    </row>
    <row r="10" s="35" customFormat="1" spans="1:26">
      <c r="A10" s="70"/>
      <c r="B10" s="71"/>
      <c r="C10" s="72">
        <v>97593.5</v>
      </c>
      <c r="D10" s="73"/>
      <c r="E10" s="72">
        <v>111227.27</v>
      </c>
      <c r="F10" s="72"/>
      <c r="G10" s="72">
        <v>102717.02</v>
      </c>
      <c r="H10" s="72"/>
      <c r="I10" s="97">
        <v>79971.3</v>
      </c>
      <c r="J10" s="73"/>
      <c r="K10" s="97">
        <v>76607.91</v>
      </c>
      <c r="L10" s="73"/>
      <c r="M10" s="97">
        <v>119403.79</v>
      </c>
      <c r="N10" s="73"/>
      <c r="O10" s="97">
        <v>90082.59</v>
      </c>
      <c r="P10" s="73"/>
      <c r="Q10" s="120">
        <v>106411.65</v>
      </c>
      <c r="R10" s="72">
        <v>-1464618.41</v>
      </c>
      <c r="S10" s="97">
        <f>618600.17+680603.38</f>
        <v>1299203.55</v>
      </c>
      <c r="T10" s="97"/>
      <c r="U10" s="115">
        <v>1942.29</v>
      </c>
      <c r="V10" s="115"/>
      <c r="W10" s="72">
        <v>23992.17</v>
      </c>
      <c r="X10" s="72"/>
      <c r="Y10" s="97"/>
      <c r="Z10" s="72">
        <v>-644534.63</v>
      </c>
    </row>
    <row r="11" s="36" customFormat="1" spans="1:46">
      <c r="A11" s="74" t="s">
        <v>101</v>
      </c>
      <c r="B11" s="75" t="s">
        <v>196</v>
      </c>
      <c r="C11" s="76">
        <v>44287</v>
      </c>
      <c r="D11" s="77"/>
      <c r="E11" s="76">
        <v>44317</v>
      </c>
      <c r="F11" s="77"/>
      <c r="G11" s="76">
        <v>44348</v>
      </c>
      <c r="H11" s="77"/>
      <c r="I11" s="76">
        <v>44378</v>
      </c>
      <c r="J11" s="77"/>
      <c r="K11" s="76">
        <v>44409</v>
      </c>
      <c r="L11" s="77"/>
      <c r="M11" s="76">
        <v>44440</v>
      </c>
      <c r="N11" s="77"/>
      <c r="O11" s="76">
        <v>44562</v>
      </c>
      <c r="P11" s="77"/>
      <c r="Q11" s="76">
        <v>44594</v>
      </c>
      <c r="R11" s="77"/>
      <c r="S11" s="76">
        <v>44626</v>
      </c>
      <c r="T11" s="77"/>
      <c r="U11" s="76">
        <v>44658</v>
      </c>
      <c r="V11" s="77"/>
      <c r="W11" s="76">
        <v>44722</v>
      </c>
      <c r="X11" s="77"/>
      <c r="Y11" s="76">
        <v>44850</v>
      </c>
      <c r="Z11" s="77"/>
      <c r="AA11" s="76">
        <v>44882</v>
      </c>
      <c r="AB11" s="77"/>
      <c r="AC11" s="76">
        <v>44927</v>
      </c>
      <c r="AD11" s="77"/>
      <c r="AE11" s="76">
        <v>45078</v>
      </c>
      <c r="AF11" s="77"/>
      <c r="AG11" s="76">
        <v>45108</v>
      </c>
      <c r="AH11" s="77"/>
      <c r="AI11" s="76">
        <v>45139</v>
      </c>
      <c r="AJ11" s="77"/>
      <c r="AK11" s="76">
        <v>45170</v>
      </c>
      <c r="AL11" s="77"/>
      <c r="AM11" s="76">
        <v>45200</v>
      </c>
      <c r="AN11" s="77"/>
      <c r="AO11" s="76">
        <v>45231</v>
      </c>
      <c r="AP11" s="77"/>
      <c r="AQ11" s="76">
        <v>45261</v>
      </c>
      <c r="AR11" s="77"/>
      <c r="AS11" s="76">
        <v>45444</v>
      </c>
      <c r="AT11" s="77"/>
    </row>
    <row r="12" s="36" customFormat="1" spans="1:46">
      <c r="A12" s="78"/>
      <c r="B12" s="79"/>
      <c r="C12" s="80" t="s">
        <v>201</v>
      </c>
      <c r="D12" s="80" t="s">
        <v>202</v>
      </c>
      <c r="E12" s="80" t="s">
        <v>201</v>
      </c>
      <c r="F12" s="80" t="s">
        <v>202</v>
      </c>
      <c r="G12" s="80" t="s">
        <v>201</v>
      </c>
      <c r="H12" s="80" t="s">
        <v>202</v>
      </c>
      <c r="I12" s="80" t="s">
        <v>201</v>
      </c>
      <c r="J12" s="80" t="s">
        <v>202</v>
      </c>
      <c r="K12" s="80" t="s">
        <v>201</v>
      </c>
      <c r="L12" s="80" t="s">
        <v>202</v>
      </c>
      <c r="M12" s="80" t="s">
        <v>201</v>
      </c>
      <c r="N12" s="80" t="s">
        <v>202</v>
      </c>
      <c r="O12" s="80" t="s">
        <v>201</v>
      </c>
      <c r="P12" s="80" t="s">
        <v>202</v>
      </c>
      <c r="Q12" s="80" t="s">
        <v>201</v>
      </c>
      <c r="R12" s="80" t="s">
        <v>202</v>
      </c>
      <c r="S12" s="80" t="s">
        <v>201</v>
      </c>
      <c r="T12" s="80" t="s">
        <v>202</v>
      </c>
      <c r="U12" s="80" t="s">
        <v>201</v>
      </c>
      <c r="V12" s="80" t="s">
        <v>202</v>
      </c>
      <c r="W12" s="80" t="s">
        <v>201</v>
      </c>
      <c r="X12" s="80" t="s">
        <v>202</v>
      </c>
      <c r="Y12" s="80" t="s">
        <v>201</v>
      </c>
      <c r="Z12" s="80" t="s">
        <v>202</v>
      </c>
      <c r="AA12" s="80" t="s">
        <v>201</v>
      </c>
      <c r="AB12" s="80" t="s">
        <v>202</v>
      </c>
      <c r="AC12" s="80" t="s">
        <v>201</v>
      </c>
      <c r="AD12" s="80" t="s">
        <v>202</v>
      </c>
      <c r="AE12" s="80" t="s">
        <v>201</v>
      </c>
      <c r="AF12" s="80" t="s">
        <v>202</v>
      </c>
      <c r="AG12" s="80" t="s">
        <v>201</v>
      </c>
      <c r="AH12" s="80" t="s">
        <v>202</v>
      </c>
      <c r="AI12" s="80" t="s">
        <v>201</v>
      </c>
      <c r="AJ12" s="80" t="s">
        <v>202</v>
      </c>
      <c r="AK12" s="80" t="s">
        <v>201</v>
      </c>
      <c r="AL12" s="80" t="s">
        <v>202</v>
      </c>
      <c r="AM12" s="80" t="s">
        <v>201</v>
      </c>
      <c r="AN12" s="80" t="s">
        <v>202</v>
      </c>
      <c r="AO12" s="80" t="s">
        <v>201</v>
      </c>
      <c r="AP12" s="80" t="s">
        <v>202</v>
      </c>
      <c r="AQ12" s="80" t="s">
        <v>201</v>
      </c>
      <c r="AR12" s="80" t="s">
        <v>202</v>
      </c>
      <c r="AS12" s="80" t="s">
        <v>201</v>
      </c>
      <c r="AT12" s="80" t="s">
        <v>202</v>
      </c>
    </row>
    <row r="13" s="36" customFormat="1" spans="1:46">
      <c r="A13" s="81"/>
      <c r="B13" s="82"/>
      <c r="C13" s="83">
        <v>72284.46</v>
      </c>
      <c r="D13" s="83"/>
      <c r="E13" s="83">
        <v>46712.64</v>
      </c>
      <c r="F13" s="83"/>
      <c r="G13" s="83">
        <v>52374.38</v>
      </c>
      <c r="H13" s="83"/>
      <c r="I13" s="101">
        <v>53105.62</v>
      </c>
      <c r="J13" s="116"/>
      <c r="K13" s="101">
        <v>42152.76</v>
      </c>
      <c r="L13" s="83"/>
      <c r="M13" s="101">
        <v>33985.74</v>
      </c>
      <c r="N13" s="83">
        <v>-266629.86</v>
      </c>
      <c r="O13" s="102">
        <v>26841.01</v>
      </c>
      <c r="P13" s="102"/>
      <c r="Q13" s="102">
        <v>26658.89</v>
      </c>
      <c r="R13" s="102"/>
      <c r="S13" s="123">
        <v>16969.58</v>
      </c>
      <c r="T13" s="116"/>
      <c r="U13" s="83">
        <v>362172.94</v>
      </c>
      <c r="V13" s="83"/>
      <c r="W13" s="83"/>
      <c r="X13" s="83">
        <v>-466628.16</v>
      </c>
      <c r="Y13" s="101">
        <v>37126.56</v>
      </c>
      <c r="Z13" s="83"/>
      <c r="AA13" s="123">
        <v>31938.34</v>
      </c>
      <c r="AB13" s="116"/>
      <c r="AC13" s="102">
        <v>13386.86</v>
      </c>
      <c r="AD13" s="102"/>
      <c r="AE13" s="83">
        <v>14267.68</v>
      </c>
      <c r="AF13" s="83"/>
      <c r="AG13" s="83">
        <v>407499.92</v>
      </c>
      <c r="AI13" s="83">
        <v>874818.09</v>
      </c>
      <c r="AK13" s="83">
        <v>167864.73</v>
      </c>
      <c r="AL13" s="101"/>
      <c r="AM13" s="83">
        <v>81345.47</v>
      </c>
      <c r="AO13" s="83">
        <v>81683.37</v>
      </c>
      <c r="AQ13" s="83">
        <v>80899.88</v>
      </c>
      <c r="AT13" s="83">
        <v>-1805328.65</v>
      </c>
    </row>
    <row r="14" s="33" customFormat="1" spans="1:30">
      <c r="A14" s="84" t="s">
        <v>108</v>
      </c>
      <c r="B14" s="42" t="s">
        <v>196</v>
      </c>
      <c r="C14" s="85">
        <v>44626</v>
      </c>
      <c r="D14" s="43"/>
      <c r="E14" s="85">
        <v>44658</v>
      </c>
      <c r="F14" s="43"/>
      <c r="G14" s="85">
        <v>44690</v>
      </c>
      <c r="H14" s="43"/>
      <c r="I14" s="85">
        <v>44722</v>
      </c>
      <c r="J14" s="43"/>
      <c r="K14" s="85">
        <v>44754</v>
      </c>
      <c r="L14" s="43"/>
      <c r="M14" s="85">
        <v>44786</v>
      </c>
      <c r="N14" s="43"/>
      <c r="O14" s="85">
        <v>44818</v>
      </c>
      <c r="P14" s="43"/>
      <c r="Q14" s="85">
        <v>44850</v>
      </c>
      <c r="R14" s="43"/>
      <c r="S14" s="85">
        <v>44882</v>
      </c>
      <c r="T14" s="43"/>
      <c r="U14" s="85">
        <v>44914</v>
      </c>
      <c r="V14" s="43"/>
      <c r="W14" s="85">
        <v>44927</v>
      </c>
      <c r="X14" s="43"/>
      <c r="Y14" s="85">
        <v>44959</v>
      </c>
      <c r="Z14" s="43"/>
      <c r="AA14" s="85">
        <v>44991</v>
      </c>
      <c r="AB14" s="43"/>
      <c r="AC14" s="85">
        <v>45144</v>
      </c>
      <c r="AD14" s="43"/>
    </row>
    <row r="15" s="33" customFormat="1" spans="1:30">
      <c r="A15" s="86"/>
      <c r="B15" s="45"/>
      <c r="C15" s="46" t="s">
        <v>201</v>
      </c>
      <c r="D15" s="46" t="s">
        <v>202</v>
      </c>
      <c r="E15" s="46" t="s">
        <v>201</v>
      </c>
      <c r="F15" s="46" t="s">
        <v>202</v>
      </c>
      <c r="G15" s="46" t="s">
        <v>201</v>
      </c>
      <c r="H15" s="46" t="s">
        <v>202</v>
      </c>
      <c r="I15" s="46" t="s">
        <v>201</v>
      </c>
      <c r="J15" s="46" t="s">
        <v>202</v>
      </c>
      <c r="K15" s="46" t="s">
        <v>201</v>
      </c>
      <c r="L15" s="46" t="s">
        <v>202</v>
      </c>
      <c r="M15" s="46" t="s">
        <v>201</v>
      </c>
      <c r="N15" s="46" t="s">
        <v>202</v>
      </c>
      <c r="O15" s="46" t="s">
        <v>201</v>
      </c>
      <c r="P15" s="46" t="s">
        <v>202</v>
      </c>
      <c r="Q15" s="46" t="s">
        <v>201</v>
      </c>
      <c r="R15" s="46" t="s">
        <v>202</v>
      </c>
      <c r="S15" s="46" t="s">
        <v>201</v>
      </c>
      <c r="T15" s="46" t="s">
        <v>202</v>
      </c>
      <c r="U15" s="46" t="s">
        <v>201</v>
      </c>
      <c r="V15" s="46" t="s">
        <v>202</v>
      </c>
      <c r="W15" s="46" t="s">
        <v>201</v>
      </c>
      <c r="X15" s="46" t="s">
        <v>202</v>
      </c>
      <c r="Y15" s="46" t="s">
        <v>201</v>
      </c>
      <c r="Z15" s="46" t="s">
        <v>202</v>
      </c>
      <c r="AA15" s="46" t="s">
        <v>201</v>
      </c>
      <c r="AB15" s="46" t="s">
        <v>202</v>
      </c>
      <c r="AC15" s="46" t="s">
        <v>201</v>
      </c>
      <c r="AD15" s="46" t="s">
        <v>202</v>
      </c>
    </row>
    <row r="16" s="33" customFormat="1" spans="1:29">
      <c r="A16" s="87"/>
      <c r="B16" s="48"/>
      <c r="C16" s="51">
        <v>28195.51</v>
      </c>
      <c r="D16" s="50"/>
      <c r="E16" s="88">
        <v>159706.87</v>
      </c>
      <c r="F16" s="88"/>
      <c r="G16" s="88">
        <v>282323.93</v>
      </c>
      <c r="H16" s="88"/>
      <c r="I16" s="49">
        <v>17064</v>
      </c>
      <c r="J16" s="88"/>
      <c r="K16" s="117">
        <v>169025.65</v>
      </c>
      <c r="L16" s="88">
        <v>-471698.11</v>
      </c>
      <c r="M16" s="49">
        <v>346538.78</v>
      </c>
      <c r="N16" s="88"/>
      <c r="O16" s="49">
        <v>791793.94</v>
      </c>
      <c r="P16" s="88">
        <v>-1311320.75</v>
      </c>
      <c r="Q16" s="49">
        <v>837498.12</v>
      </c>
      <c r="R16" s="88"/>
      <c r="S16" s="51">
        <v>343420.09</v>
      </c>
      <c r="T16" s="88"/>
      <c r="U16" s="88">
        <v>13339.62</v>
      </c>
      <c r="V16" s="49">
        <v>-1205887.65</v>
      </c>
      <c r="W16" s="103">
        <v>4896.85</v>
      </c>
      <c r="X16" s="103"/>
      <c r="Y16" s="103">
        <v>5334.1</v>
      </c>
      <c r="Z16" s="103"/>
      <c r="AA16" s="88">
        <v>7888.12</v>
      </c>
      <c r="AB16" s="88"/>
      <c r="AC16" s="88">
        <v>4765</v>
      </c>
    </row>
    <row r="17" s="34" customFormat="1" spans="1:28">
      <c r="A17" s="89" t="s">
        <v>123</v>
      </c>
      <c r="B17" s="53" t="s">
        <v>196</v>
      </c>
      <c r="C17" s="54">
        <v>44722</v>
      </c>
      <c r="D17" s="55"/>
      <c r="E17" s="54">
        <v>44754</v>
      </c>
      <c r="F17" s="55"/>
      <c r="G17" s="54">
        <v>44786</v>
      </c>
      <c r="H17" s="55"/>
      <c r="I17" s="54">
        <v>44818</v>
      </c>
      <c r="J17" s="55"/>
      <c r="K17" s="54">
        <v>44882</v>
      </c>
      <c r="L17" s="55"/>
      <c r="M17" s="54">
        <v>44914</v>
      </c>
      <c r="N17" s="55"/>
      <c r="O17" s="54">
        <v>44959</v>
      </c>
      <c r="P17" s="55"/>
      <c r="Q17" s="54">
        <v>44991</v>
      </c>
      <c r="R17" s="55"/>
      <c r="S17" s="54">
        <v>45023</v>
      </c>
      <c r="T17" s="55"/>
      <c r="U17" s="54">
        <v>45055</v>
      </c>
      <c r="V17" s="55"/>
      <c r="W17" s="54">
        <v>45086</v>
      </c>
      <c r="X17" s="55"/>
      <c r="Y17" s="54">
        <v>45239</v>
      </c>
      <c r="Z17" s="55"/>
      <c r="AA17" s="54">
        <v>45269</v>
      </c>
      <c r="AB17" s="55"/>
    </row>
    <row r="18" s="34" customFormat="1" spans="1:28">
      <c r="A18" s="90"/>
      <c r="B18" s="57"/>
      <c r="C18" s="58" t="s">
        <v>201</v>
      </c>
      <c r="D18" s="58" t="s">
        <v>202</v>
      </c>
      <c r="E18" s="58" t="s">
        <v>201</v>
      </c>
      <c r="F18" s="58" t="s">
        <v>202</v>
      </c>
      <c r="G18" s="58" t="s">
        <v>201</v>
      </c>
      <c r="H18" s="58" t="s">
        <v>202</v>
      </c>
      <c r="I18" s="58" t="s">
        <v>201</v>
      </c>
      <c r="J18" s="58" t="s">
        <v>202</v>
      </c>
      <c r="K18" s="58" t="s">
        <v>201</v>
      </c>
      <c r="L18" s="58" t="s">
        <v>202</v>
      </c>
      <c r="M18" s="58" t="s">
        <v>201</v>
      </c>
      <c r="N18" s="58" t="s">
        <v>202</v>
      </c>
      <c r="O18" s="58" t="s">
        <v>201</v>
      </c>
      <c r="P18" s="58" t="s">
        <v>202</v>
      </c>
      <c r="Q18" s="58" t="s">
        <v>201</v>
      </c>
      <c r="R18" s="58" t="s">
        <v>202</v>
      </c>
      <c r="S18" s="58" t="s">
        <v>201</v>
      </c>
      <c r="T18" s="58" t="s">
        <v>202</v>
      </c>
      <c r="U18" s="58" t="s">
        <v>201</v>
      </c>
      <c r="V18" s="58" t="s">
        <v>202</v>
      </c>
      <c r="W18" s="58" t="s">
        <v>201</v>
      </c>
      <c r="X18" s="58" t="s">
        <v>202</v>
      </c>
      <c r="Y18" s="58" t="s">
        <v>201</v>
      </c>
      <c r="Z18" s="58" t="s">
        <v>202</v>
      </c>
      <c r="AA18" s="58" t="s">
        <v>201</v>
      </c>
      <c r="AB18" s="58" t="s">
        <v>202</v>
      </c>
    </row>
    <row r="19" s="34" customFormat="1" spans="1:28">
      <c r="A19" s="91"/>
      <c r="B19" s="60"/>
      <c r="C19" s="61">
        <v>101793.49</v>
      </c>
      <c r="D19" s="92"/>
      <c r="E19" s="92">
        <v>180835.07</v>
      </c>
      <c r="F19" s="93"/>
      <c r="G19" s="61">
        <v>618842.26</v>
      </c>
      <c r="H19" s="92"/>
      <c r="I19" s="61">
        <v>34.76</v>
      </c>
      <c r="J19" s="92"/>
      <c r="K19" s="118">
        <v>26325</v>
      </c>
      <c r="L19" s="92"/>
      <c r="M19" s="92"/>
      <c r="N19" s="61">
        <v>-927830.58</v>
      </c>
      <c r="O19" s="62">
        <v>140736.75</v>
      </c>
      <c r="P19" s="62"/>
      <c r="Q19" s="92">
        <v>137494.59</v>
      </c>
      <c r="R19" s="92"/>
      <c r="S19" s="92">
        <v>313833.9</v>
      </c>
      <c r="T19" s="92"/>
      <c r="U19" s="92">
        <v>52409.54</v>
      </c>
      <c r="V19" s="92"/>
      <c r="W19" s="92">
        <v>25343.96</v>
      </c>
      <c r="Y19" s="92">
        <v>620964.87</v>
      </c>
      <c r="Z19" s="92">
        <v>-1245283.02</v>
      </c>
      <c r="AA19" s="34">
        <v>947</v>
      </c>
      <c r="AB19" s="92">
        <v>-45500.59</v>
      </c>
    </row>
    <row r="20" s="35" customFormat="1" spans="1:60">
      <c r="A20" s="94" t="s">
        <v>130</v>
      </c>
      <c r="B20" s="64" t="s">
        <v>203</v>
      </c>
      <c r="C20" s="65">
        <v>44317</v>
      </c>
      <c r="D20" s="66"/>
      <c r="E20" s="65">
        <v>44348</v>
      </c>
      <c r="F20" s="66"/>
      <c r="G20" s="65">
        <v>44378</v>
      </c>
      <c r="H20" s="66"/>
      <c r="I20" s="65">
        <v>44409</v>
      </c>
      <c r="J20" s="66"/>
      <c r="K20" s="65">
        <v>44440</v>
      </c>
      <c r="L20" s="66"/>
      <c r="M20" s="65">
        <v>44470</v>
      </c>
      <c r="N20" s="66"/>
      <c r="O20" s="65">
        <v>44501</v>
      </c>
      <c r="P20" s="66"/>
      <c r="Q20" s="65">
        <v>44531</v>
      </c>
      <c r="R20" s="66"/>
      <c r="S20" s="65">
        <v>44562</v>
      </c>
      <c r="T20" s="66"/>
      <c r="U20" s="65">
        <v>44594</v>
      </c>
      <c r="V20" s="66"/>
      <c r="W20" s="65">
        <v>44626</v>
      </c>
      <c r="X20" s="66"/>
      <c r="Y20" s="65">
        <v>44658</v>
      </c>
      <c r="Z20" s="66"/>
      <c r="AA20" s="65">
        <v>44690</v>
      </c>
      <c r="AB20" s="66"/>
      <c r="AC20" s="65">
        <v>44722</v>
      </c>
      <c r="AD20" s="66"/>
      <c r="AE20" s="65">
        <v>44754</v>
      </c>
      <c r="AF20" s="66"/>
      <c r="AG20" s="65">
        <v>44786</v>
      </c>
      <c r="AH20" s="66"/>
      <c r="AI20" s="65">
        <v>44818</v>
      </c>
      <c r="AJ20" s="66"/>
      <c r="AK20" s="65">
        <v>44850</v>
      </c>
      <c r="AL20" s="66"/>
      <c r="AM20" s="65">
        <v>44882</v>
      </c>
      <c r="AN20" s="66"/>
      <c r="AO20" s="65">
        <v>44914</v>
      </c>
      <c r="AP20" s="66"/>
      <c r="AQ20" s="65">
        <v>44927</v>
      </c>
      <c r="AR20" s="66"/>
      <c r="AS20" s="65">
        <v>44959</v>
      </c>
      <c r="AT20" s="66"/>
      <c r="AU20" s="65">
        <v>44991</v>
      </c>
      <c r="AV20" s="66"/>
      <c r="AW20" s="65">
        <v>45023</v>
      </c>
      <c r="AX20" s="66"/>
      <c r="AY20" s="65">
        <v>45055</v>
      </c>
      <c r="AZ20" s="66"/>
      <c r="BA20" s="65">
        <v>45086</v>
      </c>
      <c r="BB20" s="66"/>
      <c r="BC20" s="65">
        <v>45116</v>
      </c>
      <c r="BD20" s="66"/>
      <c r="BE20" s="65">
        <v>45147</v>
      </c>
      <c r="BF20" s="66"/>
      <c r="BG20" s="65">
        <v>45178</v>
      </c>
      <c r="BH20" s="66"/>
    </row>
    <row r="21" s="35" customFormat="1" spans="1:60">
      <c r="A21" s="95"/>
      <c r="B21" s="68"/>
      <c r="C21" s="69" t="s">
        <v>201</v>
      </c>
      <c r="D21" s="69" t="s">
        <v>202</v>
      </c>
      <c r="E21" s="69" t="s">
        <v>201</v>
      </c>
      <c r="F21" s="69" t="s">
        <v>202</v>
      </c>
      <c r="G21" s="69" t="s">
        <v>201</v>
      </c>
      <c r="H21" s="69" t="s">
        <v>202</v>
      </c>
      <c r="I21" s="69" t="s">
        <v>201</v>
      </c>
      <c r="J21" s="69" t="s">
        <v>202</v>
      </c>
      <c r="K21" s="69" t="s">
        <v>201</v>
      </c>
      <c r="L21" s="69" t="s">
        <v>202</v>
      </c>
      <c r="M21" s="69" t="s">
        <v>201</v>
      </c>
      <c r="N21" s="69" t="s">
        <v>202</v>
      </c>
      <c r="O21" s="69" t="s">
        <v>201</v>
      </c>
      <c r="P21" s="69" t="s">
        <v>202</v>
      </c>
      <c r="Q21" s="69" t="s">
        <v>201</v>
      </c>
      <c r="R21" s="69" t="s">
        <v>202</v>
      </c>
      <c r="S21" s="69" t="s">
        <v>201</v>
      </c>
      <c r="T21" s="69" t="s">
        <v>202</v>
      </c>
      <c r="U21" s="69" t="s">
        <v>201</v>
      </c>
      <c r="V21" s="69" t="s">
        <v>202</v>
      </c>
      <c r="W21" s="69" t="s">
        <v>201</v>
      </c>
      <c r="X21" s="69" t="s">
        <v>202</v>
      </c>
      <c r="Y21" s="69" t="s">
        <v>201</v>
      </c>
      <c r="Z21" s="69" t="s">
        <v>202</v>
      </c>
      <c r="AA21" s="69" t="s">
        <v>201</v>
      </c>
      <c r="AB21" s="69" t="s">
        <v>202</v>
      </c>
      <c r="AC21" s="69" t="s">
        <v>201</v>
      </c>
      <c r="AD21" s="69" t="s">
        <v>202</v>
      </c>
      <c r="AE21" s="69" t="s">
        <v>201</v>
      </c>
      <c r="AF21" s="69" t="s">
        <v>202</v>
      </c>
      <c r="AG21" s="69" t="s">
        <v>201</v>
      </c>
      <c r="AH21" s="69" t="s">
        <v>202</v>
      </c>
      <c r="AI21" s="69" t="s">
        <v>201</v>
      </c>
      <c r="AJ21" s="69" t="s">
        <v>202</v>
      </c>
      <c r="AK21" s="69" t="s">
        <v>201</v>
      </c>
      <c r="AL21" s="69" t="s">
        <v>202</v>
      </c>
      <c r="AM21" s="69" t="s">
        <v>201</v>
      </c>
      <c r="AN21" s="69" t="s">
        <v>202</v>
      </c>
      <c r="AO21" s="69" t="s">
        <v>201</v>
      </c>
      <c r="AP21" s="69" t="s">
        <v>202</v>
      </c>
      <c r="AQ21" s="69" t="s">
        <v>201</v>
      </c>
      <c r="AR21" s="69" t="s">
        <v>202</v>
      </c>
      <c r="AS21" s="69" t="s">
        <v>201</v>
      </c>
      <c r="AT21" s="69" t="s">
        <v>202</v>
      </c>
      <c r="AU21" s="69" t="s">
        <v>201</v>
      </c>
      <c r="AV21" s="69" t="s">
        <v>202</v>
      </c>
      <c r="AW21" s="69" t="s">
        <v>201</v>
      </c>
      <c r="AX21" s="69" t="s">
        <v>202</v>
      </c>
      <c r="AY21" s="69" t="s">
        <v>201</v>
      </c>
      <c r="AZ21" s="69" t="s">
        <v>202</v>
      </c>
      <c r="BA21" s="69" t="s">
        <v>201</v>
      </c>
      <c r="BB21" s="69" t="s">
        <v>202</v>
      </c>
      <c r="BC21" s="69" t="s">
        <v>201</v>
      </c>
      <c r="BD21" s="69" t="s">
        <v>202</v>
      </c>
      <c r="BE21" s="69" t="s">
        <v>201</v>
      </c>
      <c r="BF21" s="69" t="s">
        <v>202</v>
      </c>
      <c r="BG21" s="69" t="s">
        <v>201</v>
      </c>
      <c r="BH21" s="69" t="s">
        <v>202</v>
      </c>
    </row>
    <row r="22" s="35" customFormat="1" spans="1:60">
      <c r="A22" s="96"/>
      <c r="B22" s="71"/>
      <c r="C22" s="72">
        <v>133791.29</v>
      </c>
      <c r="D22" s="72">
        <v>-35955.19</v>
      </c>
      <c r="E22" s="72">
        <v>174980.17</v>
      </c>
      <c r="F22" s="72"/>
      <c r="G22" s="97">
        <v>155226.22</v>
      </c>
      <c r="H22" s="72">
        <v>-422641.51</v>
      </c>
      <c r="I22" s="97">
        <v>204021.2</v>
      </c>
      <c r="J22" s="72"/>
      <c r="K22" s="97">
        <v>238374.77</v>
      </c>
      <c r="L22" s="119"/>
      <c r="M22" s="97">
        <v>261689.81</v>
      </c>
      <c r="N22" s="72">
        <v>-382400</v>
      </c>
      <c r="O22" s="120">
        <v>290249.18</v>
      </c>
      <c r="P22" s="72"/>
      <c r="Q22" s="72">
        <v>5147193.72</v>
      </c>
      <c r="R22" s="97">
        <f>-2898704.68-1485174.94</f>
        <v>-4383879.62</v>
      </c>
      <c r="S22" s="115">
        <v>217023.88</v>
      </c>
      <c r="T22" s="115"/>
      <c r="U22" s="115">
        <v>298266.36</v>
      </c>
      <c r="V22" s="115"/>
      <c r="W22" s="120">
        <v>336889.44</v>
      </c>
      <c r="X22" s="72"/>
      <c r="Y22" s="72">
        <v>706472.8</v>
      </c>
      <c r="Z22" s="72"/>
      <c r="AA22" s="72">
        <v>268281.07</v>
      </c>
      <c r="AB22" s="72"/>
      <c r="AC22" s="72">
        <v>210841.13</v>
      </c>
      <c r="AD22" s="72"/>
      <c r="AE22" s="72">
        <v>213170.29</v>
      </c>
      <c r="AF22" s="72"/>
      <c r="AG22" s="97">
        <v>283849.74</v>
      </c>
      <c r="AH22" s="72"/>
      <c r="AI22" s="97">
        <v>69600.18</v>
      </c>
      <c r="AJ22" s="119"/>
      <c r="AK22" s="97">
        <v>130644.89</v>
      </c>
      <c r="AL22" s="72"/>
      <c r="AM22" s="120">
        <v>290409.03</v>
      </c>
      <c r="AN22" s="72"/>
      <c r="AO22" s="72">
        <v>4126308.31</v>
      </c>
      <c r="AP22" s="97">
        <v>-9454490.76</v>
      </c>
      <c r="AQ22" s="115">
        <v>991639.05</v>
      </c>
      <c r="AR22" s="115"/>
      <c r="AS22" s="115">
        <v>1272155.54</v>
      </c>
      <c r="AT22" s="115"/>
      <c r="AU22" s="72">
        <v>1825664</v>
      </c>
      <c r="AV22" s="72"/>
      <c r="AW22" s="72">
        <f>1401817.75-0.05</f>
        <v>1401817.7</v>
      </c>
      <c r="AX22" s="72"/>
      <c r="AY22" s="72">
        <v>933915.76</v>
      </c>
      <c r="AZ22" s="72"/>
      <c r="BA22" s="72">
        <v>3065491.85</v>
      </c>
      <c r="BC22" s="72">
        <v>4070365.64</v>
      </c>
      <c r="BE22" s="72">
        <v>79992.39</v>
      </c>
      <c r="BH22" s="72">
        <v>-13575772.33</v>
      </c>
    </row>
    <row r="23" s="36" customFormat="1" spans="1:18">
      <c r="A23" s="98" t="s">
        <v>136</v>
      </c>
      <c r="B23" s="75" t="s">
        <v>196</v>
      </c>
      <c r="C23" s="76">
        <v>44914</v>
      </c>
      <c r="D23" s="77"/>
      <c r="E23" s="76">
        <v>44927</v>
      </c>
      <c r="F23" s="77"/>
      <c r="G23" s="76">
        <v>44959</v>
      </c>
      <c r="H23" s="77"/>
      <c r="I23" s="76">
        <v>44991</v>
      </c>
      <c r="J23" s="77"/>
      <c r="K23" s="76">
        <v>45023</v>
      </c>
      <c r="L23" s="77"/>
      <c r="M23" s="76">
        <v>45055</v>
      </c>
      <c r="N23" s="77"/>
      <c r="O23" s="121">
        <v>45081</v>
      </c>
      <c r="P23" s="122"/>
      <c r="Q23" s="76">
        <v>45116</v>
      </c>
      <c r="R23" s="77"/>
    </row>
    <row r="24" s="36" customFormat="1" spans="1:18">
      <c r="A24" s="99"/>
      <c r="B24" s="79"/>
      <c r="C24" s="80" t="s">
        <v>201</v>
      </c>
      <c r="D24" s="80" t="s">
        <v>202</v>
      </c>
      <c r="E24" s="80" t="s">
        <v>201</v>
      </c>
      <c r="F24" s="80" t="s">
        <v>202</v>
      </c>
      <c r="G24" s="80" t="s">
        <v>201</v>
      </c>
      <c r="H24" s="80" t="s">
        <v>202</v>
      </c>
      <c r="I24" s="80" t="s">
        <v>201</v>
      </c>
      <c r="J24" s="80" t="s">
        <v>202</v>
      </c>
      <c r="K24" s="80" t="s">
        <v>201</v>
      </c>
      <c r="L24" s="80" t="s">
        <v>202</v>
      </c>
      <c r="M24" s="80" t="s">
        <v>201</v>
      </c>
      <c r="N24" s="80" t="s">
        <v>202</v>
      </c>
      <c r="Q24" s="80" t="s">
        <v>201</v>
      </c>
      <c r="R24" s="80" t="s">
        <v>202</v>
      </c>
    </row>
    <row r="25" s="36" customFormat="1" spans="1:17">
      <c r="A25" s="100"/>
      <c r="B25" s="82"/>
      <c r="C25" s="83">
        <v>577964.82</v>
      </c>
      <c r="D25" s="101">
        <v>-577964.82</v>
      </c>
      <c r="E25" s="102">
        <v>445447.81</v>
      </c>
      <c r="F25" s="102"/>
      <c r="G25" s="102">
        <v>532715.94</v>
      </c>
      <c r="H25" s="102"/>
      <c r="I25" s="83">
        <v>1731498.25</v>
      </c>
      <c r="J25" s="83"/>
      <c r="K25" s="83">
        <v>96241.72</v>
      </c>
      <c r="L25" s="83">
        <v>-2709662</v>
      </c>
      <c r="M25" s="83">
        <v>13597.88</v>
      </c>
      <c r="N25" s="83"/>
      <c r="Q25" s="83">
        <v>178623.56</v>
      </c>
    </row>
    <row r="26" s="33" customFormat="1" spans="1:20">
      <c r="A26" s="84" t="s">
        <v>145</v>
      </c>
      <c r="B26" s="42" t="s">
        <v>196</v>
      </c>
      <c r="C26" s="85">
        <v>44914</v>
      </c>
      <c r="D26" s="43"/>
      <c r="E26" s="85">
        <v>44927</v>
      </c>
      <c r="F26" s="43"/>
      <c r="G26" s="85">
        <v>44959</v>
      </c>
      <c r="H26" s="43"/>
      <c r="I26" s="85">
        <v>44991</v>
      </c>
      <c r="J26" s="43"/>
      <c r="K26" s="85">
        <v>45023</v>
      </c>
      <c r="L26" s="43"/>
      <c r="M26" s="85">
        <v>45055</v>
      </c>
      <c r="N26" s="43"/>
      <c r="O26" s="85">
        <v>45086</v>
      </c>
      <c r="P26" s="43"/>
      <c r="Q26" s="85">
        <v>45116</v>
      </c>
      <c r="R26" s="43"/>
      <c r="S26" s="85">
        <v>45147</v>
      </c>
      <c r="T26" s="43"/>
    </row>
    <row r="27" s="33" customFormat="1" spans="1:20">
      <c r="A27" s="86"/>
      <c r="B27" s="45"/>
      <c r="C27" s="46" t="s">
        <v>201</v>
      </c>
      <c r="D27" s="46" t="s">
        <v>202</v>
      </c>
      <c r="E27" s="46" t="s">
        <v>201</v>
      </c>
      <c r="F27" s="46" t="s">
        <v>202</v>
      </c>
      <c r="G27" s="46" t="s">
        <v>201</v>
      </c>
      <c r="H27" s="46" t="s">
        <v>202</v>
      </c>
      <c r="I27" s="46" t="s">
        <v>201</v>
      </c>
      <c r="J27" s="46" t="s">
        <v>202</v>
      </c>
      <c r="K27" s="46" t="s">
        <v>201</v>
      </c>
      <c r="L27" s="46" t="s">
        <v>202</v>
      </c>
      <c r="M27" s="46" t="s">
        <v>201</v>
      </c>
      <c r="N27" s="46" t="s">
        <v>202</v>
      </c>
      <c r="O27" s="46" t="s">
        <v>201</v>
      </c>
      <c r="P27" s="46" t="s">
        <v>202</v>
      </c>
      <c r="Q27" s="46" t="s">
        <v>201</v>
      </c>
      <c r="R27" s="46" t="s">
        <v>202</v>
      </c>
      <c r="S27" s="46" t="s">
        <v>201</v>
      </c>
      <c r="T27" s="46" t="s">
        <v>202</v>
      </c>
    </row>
    <row r="28" s="33" customFormat="1" spans="1:20">
      <c r="A28" s="87"/>
      <c r="B28" s="48"/>
      <c r="C28" s="88">
        <v>285294.92</v>
      </c>
      <c r="D28" s="49">
        <v>-285294.92</v>
      </c>
      <c r="E28" s="103">
        <v>183994.3</v>
      </c>
      <c r="F28" s="103"/>
      <c r="G28" s="103">
        <v>258455.35</v>
      </c>
      <c r="H28" s="103"/>
      <c r="I28" s="88">
        <v>259560.25</v>
      </c>
      <c r="J28" s="88"/>
      <c r="K28" s="88">
        <v>511014.17</v>
      </c>
      <c r="L28" s="88"/>
      <c r="M28" s="88">
        <v>272216.52</v>
      </c>
      <c r="N28" s="88"/>
      <c r="O28" s="88">
        <v>289421.52</v>
      </c>
      <c r="P28" s="88">
        <v>-735849.06</v>
      </c>
      <c r="Q28" s="88">
        <v>319917.08</v>
      </c>
      <c r="R28" s="88"/>
      <c r="S28" s="88"/>
      <c r="T28" s="88">
        <v>-1358730.13</v>
      </c>
    </row>
    <row r="29" s="37" customFormat="1" spans="1:34">
      <c r="A29" s="104" t="s">
        <v>154</v>
      </c>
      <c r="B29" s="105" t="s">
        <v>196</v>
      </c>
      <c r="C29" s="106">
        <v>44927</v>
      </c>
      <c r="D29" s="107"/>
      <c r="E29" s="106">
        <v>44959</v>
      </c>
      <c r="F29" s="107"/>
      <c r="G29" s="106">
        <v>44991</v>
      </c>
      <c r="H29" s="107"/>
      <c r="I29" s="106">
        <v>45023</v>
      </c>
      <c r="J29" s="107"/>
      <c r="K29" s="106">
        <v>45055</v>
      </c>
      <c r="L29" s="107"/>
      <c r="M29" s="106">
        <v>45086</v>
      </c>
      <c r="N29" s="107"/>
      <c r="O29" s="106">
        <v>45116</v>
      </c>
      <c r="P29" s="107"/>
      <c r="Q29" s="106">
        <v>45147</v>
      </c>
      <c r="R29" s="107"/>
      <c r="S29" s="106">
        <v>45239</v>
      </c>
      <c r="T29" s="107"/>
      <c r="U29" s="106">
        <v>45269</v>
      </c>
      <c r="V29" s="107"/>
      <c r="W29" s="106">
        <v>45300</v>
      </c>
      <c r="X29" s="107"/>
      <c r="Y29" s="106">
        <v>45331</v>
      </c>
      <c r="Z29" s="107"/>
      <c r="AA29" s="106">
        <v>45360</v>
      </c>
      <c r="AB29" s="107"/>
      <c r="AC29" s="106">
        <v>45391</v>
      </c>
      <c r="AD29" s="107"/>
      <c r="AE29" s="106">
        <v>45421</v>
      </c>
      <c r="AF29" s="107"/>
      <c r="AG29" s="106">
        <v>45452</v>
      </c>
      <c r="AH29" s="107"/>
    </row>
    <row r="30" s="37" customFormat="1" spans="1:34">
      <c r="A30" s="108"/>
      <c r="B30" s="109"/>
      <c r="C30" s="110" t="s">
        <v>201</v>
      </c>
      <c r="D30" s="110" t="s">
        <v>202</v>
      </c>
      <c r="E30" s="110" t="s">
        <v>201</v>
      </c>
      <c r="F30" s="110" t="s">
        <v>202</v>
      </c>
      <c r="G30" s="110" t="s">
        <v>201</v>
      </c>
      <c r="H30" s="110" t="s">
        <v>202</v>
      </c>
      <c r="I30" s="110" t="s">
        <v>201</v>
      </c>
      <c r="J30" s="110" t="s">
        <v>202</v>
      </c>
      <c r="K30" s="110" t="s">
        <v>201</v>
      </c>
      <c r="L30" s="110" t="s">
        <v>202</v>
      </c>
      <c r="M30" s="110" t="s">
        <v>201</v>
      </c>
      <c r="N30" s="110" t="s">
        <v>202</v>
      </c>
      <c r="O30" s="110" t="s">
        <v>201</v>
      </c>
      <c r="P30" s="110" t="s">
        <v>202</v>
      </c>
      <c r="Q30" s="110" t="s">
        <v>201</v>
      </c>
      <c r="R30" s="110" t="s">
        <v>202</v>
      </c>
      <c r="S30" s="110" t="s">
        <v>201</v>
      </c>
      <c r="T30" s="110" t="s">
        <v>202</v>
      </c>
      <c r="U30" s="110" t="s">
        <v>201</v>
      </c>
      <c r="V30" s="110" t="s">
        <v>202</v>
      </c>
      <c r="W30" s="110" t="s">
        <v>201</v>
      </c>
      <c r="X30" s="110" t="s">
        <v>202</v>
      </c>
      <c r="Y30" s="110" t="s">
        <v>201</v>
      </c>
      <c r="Z30" s="110" t="s">
        <v>202</v>
      </c>
      <c r="AA30" s="110" t="s">
        <v>201</v>
      </c>
      <c r="AB30" s="110" t="s">
        <v>202</v>
      </c>
      <c r="AC30" s="110" t="s">
        <v>201</v>
      </c>
      <c r="AD30" s="110" t="s">
        <v>202</v>
      </c>
      <c r="AE30" s="110" t="s">
        <v>201</v>
      </c>
      <c r="AF30" s="110" t="s">
        <v>202</v>
      </c>
      <c r="AG30" s="110" t="s">
        <v>201</v>
      </c>
      <c r="AH30" s="110" t="s">
        <v>202</v>
      </c>
    </row>
    <row r="31" s="37" customFormat="1" spans="1:33">
      <c r="A31" s="111"/>
      <c r="B31" s="112"/>
      <c r="C31" s="113">
        <v>51993.51</v>
      </c>
      <c r="D31" s="113"/>
      <c r="E31" s="113">
        <v>49610.81</v>
      </c>
      <c r="F31" s="113"/>
      <c r="G31" s="114">
        <v>797140.44</v>
      </c>
      <c r="H31" s="114"/>
      <c r="I31" s="114">
        <v>1064736.64</v>
      </c>
      <c r="J31" s="114"/>
      <c r="K31" s="114">
        <v>909438.3</v>
      </c>
      <c r="L31" s="114"/>
      <c r="M31" s="114">
        <v>11537.03</v>
      </c>
      <c r="O31" s="114">
        <v>6290.45</v>
      </c>
      <c r="Q31" s="114">
        <v>6384.5</v>
      </c>
      <c r="S31" s="114">
        <v>8422138.17</v>
      </c>
      <c r="U31" s="114">
        <v>11317638.07</v>
      </c>
      <c r="V31" s="114">
        <v>-6198113.21</v>
      </c>
      <c r="W31" s="114">
        <v>1242713.78</v>
      </c>
      <c r="Y31" s="114">
        <v>1111580.65</v>
      </c>
      <c r="AA31" s="114">
        <v>1157137.12</v>
      </c>
      <c r="AC31" s="114">
        <v>3202442.77</v>
      </c>
      <c r="AE31" s="114">
        <v>1589274.06</v>
      </c>
      <c r="AG31" s="114">
        <v>1237686.7</v>
      </c>
    </row>
    <row r="32" s="35" customFormat="1" spans="1:56">
      <c r="A32" s="94" t="s">
        <v>166</v>
      </c>
      <c r="B32" s="64" t="s">
        <v>196</v>
      </c>
      <c r="C32" s="65">
        <v>44914</v>
      </c>
      <c r="D32" s="66"/>
      <c r="E32" s="65">
        <v>44927</v>
      </c>
      <c r="F32" s="66"/>
      <c r="G32" s="65">
        <v>44959</v>
      </c>
      <c r="H32" s="66"/>
      <c r="I32" s="65">
        <v>44991</v>
      </c>
      <c r="J32" s="66"/>
      <c r="K32" s="65">
        <v>45023</v>
      </c>
      <c r="L32" s="66"/>
      <c r="M32" s="65">
        <v>45055</v>
      </c>
      <c r="N32" s="66"/>
      <c r="O32" s="65">
        <v>45086</v>
      </c>
      <c r="P32" s="66"/>
      <c r="Q32" s="65">
        <v>45116</v>
      </c>
      <c r="R32" s="66"/>
      <c r="S32" s="65">
        <v>45147</v>
      </c>
      <c r="T32" s="66"/>
      <c r="U32" s="65">
        <v>45178</v>
      </c>
      <c r="V32" s="66"/>
      <c r="W32" s="65">
        <v>45208</v>
      </c>
      <c r="X32" s="66"/>
      <c r="Y32" s="65">
        <v>45239</v>
      </c>
      <c r="Z32" s="66"/>
      <c r="AA32" s="65">
        <v>45269</v>
      </c>
      <c r="AB32" s="66"/>
      <c r="AC32" s="65">
        <v>45300</v>
      </c>
      <c r="AD32" s="66"/>
      <c r="AE32" s="65">
        <v>45331</v>
      </c>
      <c r="AF32" s="66"/>
      <c r="AG32" s="65">
        <v>45360</v>
      </c>
      <c r="AH32" s="66"/>
      <c r="AI32" s="65">
        <v>45391</v>
      </c>
      <c r="AJ32" s="66"/>
      <c r="AK32" s="65">
        <v>45421</v>
      </c>
      <c r="AL32" s="66"/>
      <c r="AM32" s="65">
        <v>45452</v>
      </c>
      <c r="AN32" s="66"/>
      <c r="AO32" s="65">
        <v>45482</v>
      </c>
      <c r="AP32" s="66"/>
      <c r="AQ32" s="65">
        <v>45513</v>
      </c>
      <c r="AR32" s="66"/>
      <c r="AS32" s="65">
        <v>45544</v>
      </c>
      <c r="AT32" s="66"/>
      <c r="AU32" s="65">
        <v>45574</v>
      </c>
      <c r="AV32" s="66"/>
      <c r="AW32" s="65">
        <v>45605</v>
      </c>
      <c r="AX32" s="66"/>
      <c r="AY32" s="65">
        <v>45635</v>
      </c>
      <c r="AZ32" s="66"/>
      <c r="BA32" s="65">
        <v>45666</v>
      </c>
      <c r="BB32" s="66"/>
      <c r="BC32" s="65">
        <v>45697</v>
      </c>
      <c r="BD32" s="66"/>
    </row>
    <row r="33" s="35" customFormat="1" spans="1:56">
      <c r="A33" s="95"/>
      <c r="B33" s="68"/>
      <c r="C33" s="69" t="s">
        <v>201</v>
      </c>
      <c r="D33" s="69" t="s">
        <v>202</v>
      </c>
      <c r="E33" s="69" t="s">
        <v>201</v>
      </c>
      <c r="F33" s="69" t="s">
        <v>202</v>
      </c>
      <c r="G33" s="69" t="s">
        <v>201</v>
      </c>
      <c r="H33" s="69" t="s">
        <v>202</v>
      </c>
      <c r="I33" s="69" t="s">
        <v>201</v>
      </c>
      <c r="J33" s="69" t="s">
        <v>202</v>
      </c>
      <c r="K33" s="69" t="s">
        <v>201</v>
      </c>
      <c r="L33" s="69" t="s">
        <v>202</v>
      </c>
      <c r="M33" s="69" t="s">
        <v>201</v>
      </c>
      <c r="N33" s="69" t="s">
        <v>202</v>
      </c>
      <c r="O33" s="69" t="s">
        <v>201</v>
      </c>
      <c r="P33" s="69" t="s">
        <v>202</v>
      </c>
      <c r="Q33" s="69" t="s">
        <v>201</v>
      </c>
      <c r="R33" s="69" t="s">
        <v>202</v>
      </c>
      <c r="S33" s="69" t="s">
        <v>201</v>
      </c>
      <c r="T33" s="69" t="s">
        <v>202</v>
      </c>
      <c r="U33" s="69" t="s">
        <v>201</v>
      </c>
      <c r="V33" s="69" t="s">
        <v>202</v>
      </c>
      <c r="W33" s="69" t="s">
        <v>201</v>
      </c>
      <c r="X33" s="69" t="s">
        <v>202</v>
      </c>
      <c r="Y33" s="69" t="s">
        <v>201</v>
      </c>
      <c r="Z33" s="69" t="s">
        <v>202</v>
      </c>
      <c r="AA33" s="69" t="s">
        <v>201</v>
      </c>
      <c r="AB33" s="69" t="s">
        <v>202</v>
      </c>
      <c r="AC33" s="69" t="s">
        <v>201</v>
      </c>
      <c r="AD33" s="69" t="s">
        <v>202</v>
      </c>
      <c r="AE33" s="69" t="s">
        <v>201</v>
      </c>
      <c r="AF33" s="69" t="s">
        <v>202</v>
      </c>
      <c r="AG33" s="69" t="s">
        <v>201</v>
      </c>
      <c r="AH33" s="69" t="s">
        <v>202</v>
      </c>
      <c r="AI33" s="69" t="s">
        <v>201</v>
      </c>
      <c r="AJ33" s="69" t="s">
        <v>202</v>
      </c>
      <c r="AK33" s="69" t="s">
        <v>201</v>
      </c>
      <c r="AL33" s="69" t="s">
        <v>202</v>
      </c>
      <c r="AM33" s="69" t="s">
        <v>201</v>
      </c>
      <c r="AN33" s="69" t="s">
        <v>202</v>
      </c>
      <c r="AO33" s="69" t="s">
        <v>201</v>
      </c>
      <c r="AP33" s="69" t="s">
        <v>202</v>
      </c>
      <c r="AQ33" s="69" t="s">
        <v>201</v>
      </c>
      <c r="AR33" s="69" t="s">
        <v>202</v>
      </c>
      <c r="AS33" s="69" t="s">
        <v>201</v>
      </c>
      <c r="AT33" s="69" t="s">
        <v>202</v>
      </c>
      <c r="AU33" s="69" t="s">
        <v>201</v>
      </c>
      <c r="AV33" s="69" t="s">
        <v>202</v>
      </c>
      <c r="AW33" s="69" t="s">
        <v>201</v>
      </c>
      <c r="AX33" s="69" t="s">
        <v>202</v>
      </c>
      <c r="AY33" s="69" t="s">
        <v>201</v>
      </c>
      <c r="AZ33" s="69" t="s">
        <v>202</v>
      </c>
      <c r="BA33" s="69" t="s">
        <v>201</v>
      </c>
      <c r="BB33" s="69" t="s">
        <v>202</v>
      </c>
      <c r="BC33" s="69" t="s">
        <v>201</v>
      </c>
      <c r="BD33" s="69" t="s">
        <v>202</v>
      </c>
    </row>
    <row r="34" s="35" customFormat="1" spans="1:56">
      <c r="A34" s="96"/>
      <c r="B34" s="71"/>
      <c r="C34" s="72">
        <v>16766.73</v>
      </c>
      <c r="D34" s="97"/>
      <c r="E34" s="115">
        <v>60270.37</v>
      </c>
      <c r="F34" s="115"/>
      <c r="G34" s="115">
        <v>87835.98</v>
      </c>
      <c r="H34" s="115"/>
      <c r="I34" s="72">
        <v>182471.42</v>
      </c>
      <c r="J34" s="72"/>
      <c r="K34" s="72">
        <v>232531.82</v>
      </c>
      <c r="L34" s="72"/>
      <c r="M34" s="72">
        <v>110075.33</v>
      </c>
      <c r="N34" s="72"/>
      <c r="O34" s="120">
        <v>209220.08</v>
      </c>
      <c r="Q34" s="120">
        <v>459111.48</v>
      </c>
      <c r="S34" s="120">
        <v>108910.1</v>
      </c>
      <c r="U34" s="120">
        <v>82904.94</v>
      </c>
      <c r="W34" s="120">
        <v>97608.64</v>
      </c>
      <c r="Y34" s="120">
        <v>118489.11</v>
      </c>
      <c r="AA34" s="120">
        <v>982911.87</v>
      </c>
      <c r="AC34" s="120">
        <v>82746.42</v>
      </c>
      <c r="AE34" s="120">
        <v>154962.96</v>
      </c>
      <c r="AG34" s="120">
        <v>160841.21</v>
      </c>
      <c r="AI34" s="120">
        <v>826653.96</v>
      </c>
      <c r="AK34" s="120">
        <v>297604.94</v>
      </c>
      <c r="AM34" s="120">
        <v>136439.78</v>
      </c>
      <c r="AO34" s="120">
        <v>240037.67</v>
      </c>
      <c r="AQ34" s="120">
        <v>142182.74</v>
      </c>
      <c r="AS34" s="120">
        <v>126149.92</v>
      </c>
      <c r="AU34" s="120">
        <v>1709398.56</v>
      </c>
      <c r="AV34" s="120">
        <v>-2340000</v>
      </c>
      <c r="AW34" s="120">
        <v>235600.92</v>
      </c>
      <c r="AX34" s="120">
        <v>-3120000</v>
      </c>
      <c r="AY34" s="120">
        <v>2116541.23</v>
      </c>
      <c r="AZ34" s="120">
        <v>-3518268.18</v>
      </c>
      <c r="BA34" s="124">
        <v>1784</v>
      </c>
      <c r="BD34" s="124">
        <v>-1784</v>
      </c>
    </row>
    <row r="35" s="36" customFormat="1" spans="1:38">
      <c r="A35" s="74" t="s">
        <v>43</v>
      </c>
      <c r="B35" s="75"/>
      <c r="C35" s="76">
        <v>45139</v>
      </c>
      <c r="D35" s="77"/>
      <c r="E35" s="76">
        <v>45170</v>
      </c>
      <c r="F35" s="77"/>
      <c r="G35" s="76">
        <v>45200</v>
      </c>
      <c r="H35" s="77"/>
      <c r="I35" s="76">
        <v>45231</v>
      </c>
      <c r="J35" s="77"/>
      <c r="K35" s="76">
        <v>45261</v>
      </c>
      <c r="L35" s="77"/>
      <c r="M35" s="76">
        <v>45292</v>
      </c>
      <c r="N35" s="77"/>
      <c r="O35" s="76">
        <v>45323</v>
      </c>
      <c r="P35" s="77"/>
      <c r="Q35" s="76">
        <v>45383</v>
      </c>
      <c r="R35" s="77"/>
      <c r="S35" s="76">
        <v>45474</v>
      </c>
      <c r="T35" s="77"/>
      <c r="U35" s="76"/>
      <c r="V35" s="77"/>
      <c r="W35" s="76"/>
      <c r="X35" s="77"/>
      <c r="Y35" s="76"/>
      <c r="Z35" s="77"/>
      <c r="AA35" s="76"/>
      <c r="AB35" s="77"/>
      <c r="AC35" s="76"/>
      <c r="AD35" s="77"/>
      <c r="AE35" s="76"/>
      <c r="AF35" s="77"/>
      <c r="AK35" s="76"/>
      <c r="AL35" s="77"/>
    </row>
    <row r="36" s="36" customFormat="1" spans="1:32">
      <c r="A36" s="78"/>
      <c r="B36" s="79"/>
      <c r="C36" s="80" t="s">
        <v>201</v>
      </c>
      <c r="D36" s="80" t="s">
        <v>202</v>
      </c>
      <c r="E36" s="80" t="s">
        <v>201</v>
      </c>
      <c r="F36" s="80" t="s">
        <v>202</v>
      </c>
      <c r="G36" s="80" t="s">
        <v>201</v>
      </c>
      <c r="H36" s="80" t="s">
        <v>202</v>
      </c>
      <c r="I36" s="80" t="s">
        <v>201</v>
      </c>
      <c r="J36" s="80" t="s">
        <v>202</v>
      </c>
      <c r="K36" s="80" t="s">
        <v>201</v>
      </c>
      <c r="L36" s="80" t="s">
        <v>202</v>
      </c>
      <c r="M36" s="80" t="s">
        <v>201</v>
      </c>
      <c r="N36" s="80" t="s">
        <v>202</v>
      </c>
      <c r="O36" s="80" t="s">
        <v>201</v>
      </c>
      <c r="P36" s="80" t="s">
        <v>202</v>
      </c>
      <c r="Q36" s="80" t="s">
        <v>201</v>
      </c>
      <c r="R36" s="80" t="s">
        <v>202</v>
      </c>
      <c r="S36" s="80" t="s">
        <v>201</v>
      </c>
      <c r="T36" s="80" t="s">
        <v>202</v>
      </c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</row>
    <row r="37" s="36" customFormat="1" spans="1:38">
      <c r="A37" s="81"/>
      <c r="B37" s="82"/>
      <c r="C37" s="83">
        <v>308051.76</v>
      </c>
      <c r="D37" s="83"/>
      <c r="E37" s="83">
        <v>296121.72</v>
      </c>
      <c r="F37" s="83"/>
      <c r="G37" s="83">
        <v>392116.73</v>
      </c>
      <c r="H37" s="83"/>
      <c r="I37" s="101">
        <v>1074612.53</v>
      </c>
      <c r="J37" s="116"/>
      <c r="K37" s="101">
        <v>2329198.4</v>
      </c>
      <c r="L37" s="83"/>
      <c r="M37" s="101">
        <v>131546.7</v>
      </c>
      <c r="N37" s="83"/>
      <c r="O37" s="102">
        <v>184472.57</v>
      </c>
      <c r="P37" s="102"/>
      <c r="Q37" s="102">
        <v>179032.84</v>
      </c>
      <c r="R37" s="102"/>
      <c r="S37" s="123">
        <v>6218.94</v>
      </c>
      <c r="T37" s="116"/>
      <c r="U37" s="83"/>
      <c r="V37" s="83"/>
      <c r="W37" s="83"/>
      <c r="X37" s="83"/>
      <c r="Y37" s="101"/>
      <c r="Z37" s="83"/>
      <c r="AA37" s="123"/>
      <c r="AB37" s="116"/>
      <c r="AC37" s="102"/>
      <c r="AD37" s="102"/>
      <c r="AE37" s="83"/>
      <c r="AF37" s="83"/>
      <c r="AK37" s="83"/>
      <c r="AL37" s="101"/>
    </row>
    <row r="38" spans="1:58">
      <c r="A38" s="84" t="s">
        <v>204</v>
      </c>
      <c r="C38" s="85">
        <v>44945</v>
      </c>
      <c r="D38" s="43"/>
      <c r="E38" s="85">
        <v>44976</v>
      </c>
      <c r="F38" s="43"/>
      <c r="G38" s="85">
        <v>45004</v>
      </c>
      <c r="H38" s="43"/>
      <c r="I38" s="85">
        <v>45035</v>
      </c>
      <c r="J38" s="43"/>
      <c r="K38" s="85">
        <v>45065</v>
      </c>
      <c r="L38" s="43"/>
      <c r="M38" s="85">
        <v>45096</v>
      </c>
      <c r="N38" s="43"/>
      <c r="O38" s="85">
        <v>45126</v>
      </c>
      <c r="P38" s="43"/>
      <c r="Q38" s="85">
        <v>45157</v>
      </c>
      <c r="R38" s="43"/>
      <c r="S38" s="85">
        <v>45188</v>
      </c>
      <c r="T38" s="43"/>
      <c r="U38" s="85">
        <v>45218</v>
      </c>
      <c r="V38" s="43"/>
      <c r="W38" s="85">
        <v>45249</v>
      </c>
      <c r="X38" s="43"/>
      <c r="Y38" s="85">
        <v>45279</v>
      </c>
      <c r="Z38" s="43"/>
      <c r="AA38" s="85">
        <v>45310</v>
      </c>
      <c r="AB38" s="43"/>
      <c r="AC38" s="85">
        <v>45341</v>
      </c>
      <c r="AD38" s="43"/>
      <c r="AE38" s="85">
        <v>45370</v>
      </c>
      <c r="AF38" s="43"/>
      <c r="AG38" s="85">
        <v>45401</v>
      </c>
      <c r="AH38" s="43"/>
      <c r="AI38" s="85">
        <v>45431</v>
      </c>
      <c r="AJ38" s="43"/>
      <c r="AK38" s="85">
        <v>45462</v>
      </c>
      <c r="AL38" s="43"/>
      <c r="AM38" s="85">
        <v>45492</v>
      </c>
      <c r="AN38" s="43"/>
      <c r="AO38" s="85">
        <v>45523</v>
      </c>
      <c r="AP38" s="43"/>
      <c r="AQ38" s="85">
        <v>45554</v>
      </c>
      <c r="AR38" s="43"/>
      <c r="AS38" s="85">
        <v>45584</v>
      </c>
      <c r="AT38" s="43"/>
      <c r="AU38" s="85">
        <v>45597</v>
      </c>
      <c r="AV38" s="43"/>
      <c r="AW38" s="85">
        <v>45627</v>
      </c>
      <c r="AX38" s="43"/>
      <c r="AY38" s="85">
        <v>45658</v>
      </c>
      <c r="AZ38" s="43"/>
      <c r="BA38" s="85">
        <v>45717</v>
      </c>
      <c r="BB38" s="43"/>
      <c r="BC38" s="85">
        <v>45748</v>
      </c>
      <c r="BD38" s="43"/>
      <c r="BE38" s="85">
        <v>45778</v>
      </c>
      <c r="BF38" s="43"/>
    </row>
    <row r="39" spans="1:58">
      <c r="A39" s="86"/>
      <c r="C39" s="46" t="s">
        <v>201</v>
      </c>
      <c r="D39" s="46" t="s">
        <v>202</v>
      </c>
      <c r="E39" s="46" t="s">
        <v>201</v>
      </c>
      <c r="F39" s="46" t="s">
        <v>202</v>
      </c>
      <c r="G39" s="46" t="s">
        <v>201</v>
      </c>
      <c r="H39" s="46" t="s">
        <v>202</v>
      </c>
      <c r="I39" s="46" t="s">
        <v>201</v>
      </c>
      <c r="J39" s="46" t="s">
        <v>202</v>
      </c>
      <c r="K39" s="46" t="s">
        <v>201</v>
      </c>
      <c r="L39" s="46" t="s">
        <v>202</v>
      </c>
      <c r="M39" s="46" t="s">
        <v>201</v>
      </c>
      <c r="N39" s="46" t="s">
        <v>202</v>
      </c>
      <c r="O39" s="46" t="s">
        <v>201</v>
      </c>
      <c r="P39" s="46" t="s">
        <v>202</v>
      </c>
      <c r="Q39" s="46" t="s">
        <v>201</v>
      </c>
      <c r="R39" s="46" t="s">
        <v>202</v>
      </c>
      <c r="S39" s="46" t="s">
        <v>201</v>
      </c>
      <c r="T39" s="46" t="s">
        <v>202</v>
      </c>
      <c r="U39" s="46" t="s">
        <v>201</v>
      </c>
      <c r="V39" s="46" t="s">
        <v>202</v>
      </c>
      <c r="W39" s="46" t="s">
        <v>201</v>
      </c>
      <c r="X39" s="46" t="s">
        <v>202</v>
      </c>
      <c r="Y39" s="46" t="s">
        <v>201</v>
      </c>
      <c r="Z39" s="46" t="s">
        <v>202</v>
      </c>
      <c r="AA39" s="46" t="s">
        <v>201</v>
      </c>
      <c r="AB39" s="46" t="s">
        <v>202</v>
      </c>
      <c r="AC39" s="46" t="s">
        <v>201</v>
      </c>
      <c r="AD39" s="46" t="s">
        <v>202</v>
      </c>
      <c r="AE39" s="46" t="s">
        <v>201</v>
      </c>
      <c r="AF39" s="46" t="s">
        <v>202</v>
      </c>
      <c r="AG39" s="46" t="s">
        <v>201</v>
      </c>
      <c r="AH39" s="46" t="s">
        <v>202</v>
      </c>
      <c r="AI39" s="46" t="s">
        <v>201</v>
      </c>
      <c r="AJ39" s="46" t="s">
        <v>202</v>
      </c>
      <c r="AK39" s="46" t="s">
        <v>201</v>
      </c>
      <c r="AL39" s="46" t="s">
        <v>202</v>
      </c>
      <c r="AM39" s="46" t="s">
        <v>201</v>
      </c>
      <c r="AN39" s="46" t="s">
        <v>202</v>
      </c>
      <c r="AO39" s="46" t="s">
        <v>201</v>
      </c>
      <c r="AP39" s="46" t="s">
        <v>202</v>
      </c>
      <c r="AQ39" s="46" t="s">
        <v>201</v>
      </c>
      <c r="AR39" s="46" t="s">
        <v>202</v>
      </c>
      <c r="AS39" s="46" t="s">
        <v>201</v>
      </c>
      <c r="AT39" s="46" t="s">
        <v>202</v>
      </c>
      <c r="AU39" s="46" t="s">
        <v>201</v>
      </c>
      <c r="AV39" s="46" t="s">
        <v>202</v>
      </c>
      <c r="AW39" s="46" t="s">
        <v>201</v>
      </c>
      <c r="AX39" s="46" t="s">
        <v>202</v>
      </c>
      <c r="AY39" s="46" t="s">
        <v>201</v>
      </c>
      <c r="AZ39" s="46" t="s">
        <v>202</v>
      </c>
      <c r="BA39" s="46" t="s">
        <v>201</v>
      </c>
      <c r="BB39" s="46" t="s">
        <v>202</v>
      </c>
      <c r="BC39" s="46" t="s">
        <v>201</v>
      </c>
      <c r="BD39" s="46" t="s">
        <v>202</v>
      </c>
      <c r="BE39" s="46" t="s">
        <v>201</v>
      </c>
      <c r="BF39" s="46" t="s">
        <v>202</v>
      </c>
    </row>
    <row r="40" spans="1:58">
      <c r="A40" s="87"/>
      <c r="C40" s="88">
        <v>1794209.28</v>
      </c>
      <c r="D40" s="88"/>
      <c r="E40" s="88">
        <v>1296321.55</v>
      </c>
      <c r="F40" s="88"/>
      <c r="G40" s="88">
        <v>1145593.59</v>
      </c>
      <c r="H40" s="88">
        <v>-4236124.42</v>
      </c>
      <c r="I40" s="88">
        <v>1116286.28</v>
      </c>
      <c r="J40" s="88"/>
      <c r="K40" s="88">
        <v>1016217.57</v>
      </c>
      <c r="L40" s="88"/>
      <c r="M40" s="88">
        <v>1157354.04</v>
      </c>
      <c r="N40" s="88"/>
      <c r="O40" s="88">
        <v>1087845.06</v>
      </c>
      <c r="P40" s="88">
        <v>-3289857.89</v>
      </c>
      <c r="Q40" s="88">
        <v>2174158.9</v>
      </c>
      <c r="R40" s="88"/>
      <c r="S40" s="88">
        <v>2897913.82</v>
      </c>
      <c r="T40" s="88"/>
      <c r="U40" s="88">
        <v>1224787.59</v>
      </c>
      <c r="V40" s="88"/>
      <c r="W40" s="88">
        <v>-448956779</v>
      </c>
      <c r="X40" s="88"/>
      <c r="Y40" s="88">
        <v>-2495137.58</v>
      </c>
      <c r="Z40" s="88"/>
      <c r="AA40" s="88">
        <v>1301046.25</v>
      </c>
      <c r="AB40" s="88"/>
      <c r="AC40" s="88">
        <v>1991637.24</v>
      </c>
      <c r="AD40" s="88"/>
      <c r="AE40" s="88">
        <v>1183137.07</v>
      </c>
      <c r="AF40" s="88"/>
      <c r="AG40" s="88">
        <v>1133472.16</v>
      </c>
      <c r="AH40" s="88">
        <v>-4475820.56</v>
      </c>
      <c r="AI40" s="88">
        <v>1154252.2</v>
      </c>
      <c r="AJ40" s="88"/>
      <c r="AK40" s="88">
        <v>1043601.72</v>
      </c>
      <c r="AL40" s="88"/>
      <c r="AM40" s="88">
        <v>2216178.66</v>
      </c>
      <c r="AN40" s="88"/>
      <c r="AO40" s="88">
        <v>1153876.05</v>
      </c>
      <c r="AP40" s="88"/>
      <c r="AQ40" s="88">
        <v>1207897.7</v>
      </c>
      <c r="AR40" s="88"/>
      <c r="AS40" s="88">
        <v>1160798.79</v>
      </c>
      <c r="AT40" s="88">
        <v>7909278.49</v>
      </c>
      <c r="AU40" s="88">
        <v>1249243.93</v>
      </c>
      <c r="AV40" s="88"/>
      <c r="AW40" s="88">
        <v>3357791.71</v>
      </c>
      <c r="AX40" s="88"/>
      <c r="AY40" s="88">
        <v>1985416.39</v>
      </c>
      <c r="AZ40" s="88"/>
      <c r="BA40" s="88">
        <v>1560035.25</v>
      </c>
      <c r="BB40" s="88"/>
      <c r="BC40" s="88">
        <v>1001318.79</v>
      </c>
      <c r="BD40" s="46"/>
      <c r="BE40" s="88">
        <v>1128931.69</v>
      </c>
      <c r="BF40" s="46"/>
    </row>
    <row r="41" s="37" customFormat="1" spans="1:18">
      <c r="A41" s="104" t="s">
        <v>13</v>
      </c>
      <c r="B41" s="105"/>
      <c r="C41" s="106">
        <v>45147</v>
      </c>
      <c r="D41" s="107"/>
      <c r="E41" s="106">
        <v>45178</v>
      </c>
      <c r="F41" s="107"/>
      <c r="G41" s="106">
        <v>45239</v>
      </c>
      <c r="H41" s="107"/>
      <c r="I41" s="106">
        <v>45269</v>
      </c>
      <c r="J41" s="107"/>
      <c r="K41" s="106"/>
      <c r="L41" s="107"/>
      <c r="M41" s="106"/>
      <c r="N41" s="107"/>
      <c r="O41" s="106"/>
      <c r="P41" s="107"/>
      <c r="Q41" s="106"/>
      <c r="R41" s="107"/>
    </row>
    <row r="42" s="37" customFormat="1" spans="1:18">
      <c r="A42" s="108"/>
      <c r="B42" s="109"/>
      <c r="C42" s="110" t="s">
        <v>201</v>
      </c>
      <c r="D42" s="110" t="s">
        <v>202</v>
      </c>
      <c r="E42" s="110" t="s">
        <v>201</v>
      </c>
      <c r="F42" s="110" t="s">
        <v>202</v>
      </c>
      <c r="G42" s="110" t="s">
        <v>201</v>
      </c>
      <c r="H42" s="110" t="s">
        <v>202</v>
      </c>
      <c r="I42" s="110" t="s">
        <v>201</v>
      </c>
      <c r="J42" s="110" t="s">
        <v>202</v>
      </c>
      <c r="K42" s="110"/>
      <c r="L42" s="110"/>
      <c r="M42" s="110"/>
      <c r="N42" s="110"/>
      <c r="O42" s="110"/>
      <c r="P42" s="110"/>
      <c r="Q42" s="110"/>
      <c r="R42" s="110"/>
    </row>
    <row r="43" s="37" customFormat="1" spans="1:17">
      <c r="A43" s="111"/>
      <c r="B43" s="112"/>
      <c r="C43" s="113">
        <v>2644.66</v>
      </c>
      <c r="D43" s="113"/>
      <c r="E43" s="113">
        <v>-1581</v>
      </c>
      <c r="F43" s="113"/>
      <c r="G43" s="114">
        <v>1946</v>
      </c>
      <c r="H43" s="114"/>
      <c r="I43" s="114">
        <v>-1946</v>
      </c>
      <c r="J43" s="114">
        <v>-14735.96</v>
      </c>
      <c r="K43" s="114"/>
      <c r="L43" s="114"/>
      <c r="M43" s="114"/>
      <c r="O43" s="114"/>
      <c r="Q43" s="114"/>
    </row>
    <row r="44" s="35" customFormat="1" spans="1:22">
      <c r="A44" s="94" t="s">
        <v>34</v>
      </c>
      <c r="B44" s="64"/>
      <c r="C44" s="65">
        <v>45139</v>
      </c>
      <c r="D44" s="66"/>
      <c r="E44" s="65">
        <v>45200</v>
      </c>
      <c r="F44" s="66"/>
      <c r="G44" s="65">
        <v>45231</v>
      </c>
      <c r="H44" s="66"/>
      <c r="I44" s="65"/>
      <c r="J44" s="66"/>
      <c r="K44" s="65"/>
      <c r="L44" s="66"/>
      <c r="M44" s="65"/>
      <c r="N44" s="66"/>
      <c r="O44" s="65"/>
      <c r="P44" s="66"/>
      <c r="Q44" s="65"/>
      <c r="R44" s="66"/>
      <c r="S44" s="65"/>
      <c r="T44" s="66"/>
      <c r="U44" s="65"/>
      <c r="V44" s="66"/>
    </row>
    <row r="45" s="35" customFormat="1" spans="1:22">
      <c r="A45" s="95"/>
      <c r="B45" s="68"/>
      <c r="C45" s="69" t="s">
        <v>201</v>
      </c>
      <c r="D45" s="69" t="s">
        <v>202</v>
      </c>
      <c r="E45" s="69" t="s">
        <v>201</v>
      </c>
      <c r="F45" s="69" t="s">
        <v>202</v>
      </c>
      <c r="G45" s="69" t="s">
        <v>201</v>
      </c>
      <c r="H45" s="69" t="s">
        <v>202</v>
      </c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</row>
    <row r="46" s="35" customFormat="1" spans="1:21">
      <c r="A46" s="96"/>
      <c r="B46" s="71"/>
      <c r="C46" s="72">
        <v>15552.75</v>
      </c>
      <c r="D46" s="97"/>
      <c r="E46" s="115">
        <v>39603.96</v>
      </c>
      <c r="F46" s="115"/>
      <c r="G46" s="115"/>
      <c r="H46" s="115">
        <v>-55156.71</v>
      </c>
      <c r="I46" s="72"/>
      <c r="J46" s="72"/>
      <c r="K46" s="72"/>
      <c r="L46" s="72"/>
      <c r="M46" s="72"/>
      <c r="N46" s="72"/>
      <c r="O46" s="120"/>
      <c r="Q46" s="120"/>
      <c r="S46" s="120"/>
      <c r="U46" s="120"/>
    </row>
    <row r="47" s="36" customFormat="1" spans="1:38">
      <c r="A47" s="74" t="s">
        <v>150</v>
      </c>
      <c r="B47" s="75"/>
      <c r="C47" s="76">
        <v>45170</v>
      </c>
      <c r="D47" s="77"/>
      <c r="E47" s="76">
        <v>45200</v>
      </c>
      <c r="F47" s="77"/>
      <c r="G47" s="76">
        <v>45231</v>
      </c>
      <c r="H47" s="77"/>
      <c r="I47" s="76">
        <v>45261</v>
      </c>
      <c r="J47" s="77"/>
      <c r="K47" s="76"/>
      <c r="L47" s="77"/>
      <c r="M47" s="76"/>
      <c r="N47" s="77"/>
      <c r="O47" s="76"/>
      <c r="P47" s="77"/>
      <c r="Q47" s="76"/>
      <c r="R47" s="77"/>
      <c r="S47" s="76"/>
      <c r="T47" s="77"/>
      <c r="U47" s="76"/>
      <c r="V47" s="77"/>
      <c r="W47" s="76"/>
      <c r="X47" s="77"/>
      <c r="Y47" s="76"/>
      <c r="Z47" s="77"/>
      <c r="AA47" s="76"/>
      <c r="AB47" s="77"/>
      <c r="AC47" s="76"/>
      <c r="AD47" s="77"/>
      <c r="AE47" s="76"/>
      <c r="AF47" s="77"/>
      <c r="AK47" s="76"/>
      <c r="AL47" s="77"/>
    </row>
    <row r="48" s="36" customFormat="1" spans="1:32">
      <c r="A48" s="78"/>
      <c r="B48" s="79"/>
      <c r="C48" s="80" t="s">
        <v>201</v>
      </c>
      <c r="D48" s="80" t="s">
        <v>202</v>
      </c>
      <c r="E48" s="80" t="s">
        <v>201</v>
      </c>
      <c r="F48" s="80" t="s">
        <v>202</v>
      </c>
      <c r="G48" s="80" t="s">
        <v>201</v>
      </c>
      <c r="H48" s="80" t="s">
        <v>202</v>
      </c>
      <c r="I48" s="80" t="s">
        <v>201</v>
      </c>
      <c r="J48" s="80" t="s">
        <v>202</v>
      </c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</row>
    <row r="49" s="36" customFormat="1" spans="1:38">
      <c r="A49" s="81"/>
      <c r="B49" s="82"/>
      <c r="C49" s="83">
        <v>157120.16</v>
      </c>
      <c r="D49" s="83"/>
      <c r="E49" s="83">
        <v>406161.67</v>
      </c>
      <c r="F49" s="83">
        <v>-245283.02</v>
      </c>
      <c r="G49" s="83">
        <v>70273.22</v>
      </c>
      <c r="H49" s="83"/>
      <c r="I49" s="83">
        <v>100881.61</v>
      </c>
      <c r="J49" s="116"/>
      <c r="K49" s="101"/>
      <c r="L49" s="83"/>
      <c r="M49" s="101"/>
      <c r="N49" s="83"/>
      <c r="O49" s="102"/>
      <c r="P49" s="102"/>
      <c r="Q49" s="102"/>
      <c r="R49" s="102"/>
      <c r="S49" s="123"/>
      <c r="T49" s="116"/>
      <c r="U49" s="83"/>
      <c r="V49" s="83"/>
      <c r="W49" s="83"/>
      <c r="X49" s="83"/>
      <c r="Y49" s="101"/>
      <c r="Z49" s="83"/>
      <c r="AA49" s="123"/>
      <c r="AB49" s="116"/>
      <c r="AC49" s="102"/>
      <c r="AD49" s="102"/>
      <c r="AE49" s="83"/>
      <c r="AF49" s="83"/>
      <c r="AK49" s="83"/>
      <c r="AL49" s="101"/>
    </row>
    <row r="50" spans="1:34">
      <c r="A50" s="84" t="s">
        <v>115</v>
      </c>
      <c r="C50" s="85">
        <v>45200</v>
      </c>
      <c r="D50" s="43"/>
      <c r="E50" s="85">
        <v>45231</v>
      </c>
      <c r="F50" s="43"/>
      <c r="G50" s="85">
        <v>45261</v>
      </c>
      <c r="H50" s="43"/>
      <c r="I50" s="85">
        <v>45292</v>
      </c>
      <c r="J50" s="43"/>
      <c r="K50" s="85">
        <v>45323</v>
      </c>
      <c r="L50" s="43"/>
      <c r="M50" s="85">
        <v>45352</v>
      </c>
      <c r="N50" s="43"/>
      <c r="O50" s="85">
        <v>45383</v>
      </c>
      <c r="P50" s="43"/>
      <c r="Q50" s="85">
        <v>45413</v>
      </c>
      <c r="R50" s="43"/>
      <c r="S50" s="85">
        <v>45444</v>
      </c>
      <c r="T50" s="43"/>
      <c r="U50" s="85">
        <v>45474</v>
      </c>
      <c r="V50" s="43"/>
      <c r="W50" s="85">
        <v>45505</v>
      </c>
      <c r="X50" s="43"/>
      <c r="Y50" s="85">
        <v>45536</v>
      </c>
      <c r="Z50" s="43"/>
      <c r="AA50" s="85">
        <v>45566</v>
      </c>
      <c r="AB50" s="43"/>
      <c r="AC50" s="85">
        <v>45597</v>
      </c>
      <c r="AD50" s="43"/>
      <c r="AE50" s="85">
        <v>45627</v>
      </c>
      <c r="AF50" s="43"/>
      <c r="AG50" s="85"/>
      <c r="AH50" s="43"/>
    </row>
    <row r="51" spans="1:34">
      <c r="A51" s="86"/>
      <c r="C51" s="46" t="s">
        <v>201</v>
      </c>
      <c r="D51" s="46" t="s">
        <v>202</v>
      </c>
      <c r="E51" s="46" t="s">
        <v>201</v>
      </c>
      <c r="F51" s="46" t="s">
        <v>202</v>
      </c>
      <c r="G51" s="46" t="s">
        <v>201</v>
      </c>
      <c r="H51" s="46" t="s">
        <v>202</v>
      </c>
      <c r="I51" s="46" t="s">
        <v>201</v>
      </c>
      <c r="J51" s="46" t="s">
        <v>202</v>
      </c>
      <c r="K51" s="46" t="s">
        <v>201</v>
      </c>
      <c r="L51" s="46" t="s">
        <v>202</v>
      </c>
      <c r="M51" s="46" t="s">
        <v>201</v>
      </c>
      <c r="N51" s="46" t="s">
        <v>202</v>
      </c>
      <c r="O51" s="46" t="s">
        <v>201</v>
      </c>
      <c r="P51" s="46" t="s">
        <v>202</v>
      </c>
      <c r="Q51" s="46" t="s">
        <v>201</v>
      </c>
      <c r="R51" s="46" t="s">
        <v>202</v>
      </c>
      <c r="S51" s="46" t="s">
        <v>201</v>
      </c>
      <c r="T51" s="46" t="s">
        <v>202</v>
      </c>
      <c r="U51" s="46" t="s">
        <v>201</v>
      </c>
      <c r="V51" s="46" t="s">
        <v>202</v>
      </c>
      <c r="W51" s="46" t="s">
        <v>201</v>
      </c>
      <c r="X51" s="46" t="s">
        <v>202</v>
      </c>
      <c r="Y51" s="46" t="s">
        <v>201</v>
      </c>
      <c r="Z51" s="46" t="s">
        <v>202</v>
      </c>
      <c r="AA51" s="46" t="s">
        <v>201</v>
      </c>
      <c r="AB51" s="46" t="s">
        <v>202</v>
      </c>
      <c r="AC51" s="46" t="s">
        <v>201</v>
      </c>
      <c r="AD51" s="46" t="s">
        <v>202</v>
      </c>
      <c r="AE51" s="46" t="s">
        <v>201</v>
      </c>
      <c r="AF51" s="46" t="s">
        <v>202</v>
      </c>
      <c r="AG51" s="46"/>
      <c r="AH51" s="46"/>
    </row>
    <row r="52" spans="1:34">
      <c r="A52" s="87"/>
      <c r="C52" s="88">
        <v>975122.22</v>
      </c>
      <c r="D52" s="88"/>
      <c r="E52" s="88">
        <v>568921.55</v>
      </c>
      <c r="F52" s="88"/>
      <c r="G52" s="88">
        <v>5025231.65</v>
      </c>
      <c r="H52" s="88">
        <v>-2091509.43</v>
      </c>
      <c r="I52" s="88">
        <v>679495.2</v>
      </c>
      <c r="J52" s="88"/>
      <c r="K52" s="88">
        <v>555999.88</v>
      </c>
      <c r="L52" s="88"/>
      <c r="M52" s="88">
        <v>616544.62</v>
      </c>
      <c r="N52" s="88"/>
      <c r="O52" s="88">
        <v>1635673.62</v>
      </c>
      <c r="P52" s="88"/>
      <c r="Q52" s="88">
        <v>340043.32</v>
      </c>
      <c r="R52" s="88"/>
      <c r="S52" s="88">
        <v>301678.51</v>
      </c>
      <c r="T52" s="88"/>
      <c r="U52" s="88">
        <v>239776.1</v>
      </c>
      <c r="V52" s="88"/>
      <c r="W52" s="88">
        <v>124319.78</v>
      </c>
      <c r="X52" s="88"/>
      <c r="Y52" s="88">
        <v>29490</v>
      </c>
      <c r="Z52" s="88"/>
      <c r="AA52" s="88">
        <v>20055.5</v>
      </c>
      <c r="AB52" s="88"/>
      <c r="AC52" s="88">
        <v>29982</v>
      </c>
      <c r="AD52" s="88"/>
      <c r="AE52" s="88">
        <v>9747.45</v>
      </c>
      <c r="AF52" s="88"/>
      <c r="AG52" s="88"/>
      <c r="AH52" s="88"/>
    </row>
    <row r="53" s="37" customFormat="1" spans="1:18">
      <c r="A53" s="104" t="s">
        <v>162</v>
      </c>
      <c r="B53" s="105"/>
      <c r="C53" s="106">
        <v>45200</v>
      </c>
      <c r="D53" s="107"/>
      <c r="E53" s="106">
        <v>45231</v>
      </c>
      <c r="F53" s="107"/>
      <c r="G53" s="106">
        <v>45261</v>
      </c>
      <c r="H53" s="107"/>
      <c r="I53" s="106">
        <v>45323</v>
      </c>
      <c r="J53" s="107"/>
      <c r="K53" s="106"/>
      <c r="L53" s="107"/>
      <c r="M53" s="106"/>
      <c r="N53" s="107"/>
      <c r="O53" s="106"/>
      <c r="P53" s="107"/>
      <c r="Q53" s="106"/>
      <c r="R53" s="107"/>
    </row>
    <row r="54" s="37" customFormat="1" spans="1:18">
      <c r="A54" s="108"/>
      <c r="B54" s="109"/>
      <c r="C54" s="110" t="s">
        <v>201</v>
      </c>
      <c r="D54" s="110" t="s">
        <v>202</v>
      </c>
      <c r="E54" s="110" t="s">
        <v>201</v>
      </c>
      <c r="F54" s="110" t="s">
        <v>202</v>
      </c>
      <c r="G54" s="110" t="s">
        <v>201</v>
      </c>
      <c r="H54" s="110" t="s">
        <v>202</v>
      </c>
      <c r="I54" s="110" t="s">
        <v>201</v>
      </c>
      <c r="J54" s="110" t="s">
        <v>202</v>
      </c>
      <c r="K54" s="110"/>
      <c r="L54" s="110"/>
      <c r="M54" s="110"/>
      <c r="N54" s="110"/>
      <c r="O54" s="110"/>
      <c r="P54" s="110"/>
      <c r="Q54" s="110"/>
      <c r="R54" s="110"/>
    </row>
    <row r="55" s="37" customFormat="1" spans="1:17">
      <c r="A55" s="111"/>
      <c r="B55" s="112"/>
      <c r="C55" s="113">
        <v>911925.53</v>
      </c>
      <c r="D55" s="113">
        <v>-305660.38</v>
      </c>
      <c r="E55" s="113">
        <v>104599.03</v>
      </c>
      <c r="F55" s="113">
        <v>-710864.18</v>
      </c>
      <c r="G55" s="114">
        <v>362400.43</v>
      </c>
      <c r="H55" s="114"/>
      <c r="I55" s="114">
        <v>63068.28</v>
      </c>
      <c r="J55" s="114"/>
      <c r="K55" s="114"/>
      <c r="L55" s="114"/>
      <c r="M55" s="114"/>
      <c r="O55" s="114"/>
      <c r="Q55" s="114"/>
    </row>
    <row r="56" s="35" customFormat="1" spans="1:36">
      <c r="A56" s="94" t="s">
        <v>177</v>
      </c>
      <c r="B56" s="64"/>
      <c r="C56" s="65">
        <v>45200</v>
      </c>
      <c r="D56" s="66"/>
      <c r="E56" s="65">
        <v>45231</v>
      </c>
      <c r="F56" s="66"/>
      <c r="G56" s="65">
        <v>45261</v>
      </c>
      <c r="H56" s="66"/>
      <c r="I56" s="65">
        <v>45292</v>
      </c>
      <c r="J56" s="66"/>
      <c r="K56" s="65">
        <v>45323</v>
      </c>
      <c r="L56" s="66"/>
      <c r="M56" s="65">
        <v>45352</v>
      </c>
      <c r="N56" s="66"/>
      <c r="O56" s="65">
        <v>45383</v>
      </c>
      <c r="P56" s="66"/>
      <c r="Q56" s="65">
        <v>45413</v>
      </c>
      <c r="R56" s="66"/>
      <c r="S56" s="65">
        <v>45444</v>
      </c>
      <c r="T56" s="66"/>
      <c r="U56" s="65">
        <v>45474</v>
      </c>
      <c r="V56" s="66"/>
      <c r="W56" s="65">
        <v>45505</v>
      </c>
      <c r="X56" s="66"/>
      <c r="Y56" s="65">
        <v>45536</v>
      </c>
      <c r="Z56" s="66"/>
      <c r="AA56" s="65">
        <v>45566</v>
      </c>
      <c r="AB56" s="66"/>
      <c r="AC56" s="65">
        <v>45597</v>
      </c>
      <c r="AD56" s="66"/>
      <c r="AE56" s="65">
        <v>45627</v>
      </c>
      <c r="AF56" s="66"/>
      <c r="AG56" s="65">
        <v>45658</v>
      </c>
      <c r="AH56" s="66"/>
      <c r="AI56" s="65">
        <v>45748</v>
      </c>
      <c r="AJ56" s="66"/>
    </row>
    <row r="57" s="35" customFormat="1" spans="1:36">
      <c r="A57" s="95"/>
      <c r="B57" s="68"/>
      <c r="C57" s="69" t="s">
        <v>201</v>
      </c>
      <c r="D57" s="69" t="s">
        <v>202</v>
      </c>
      <c r="E57" s="69" t="s">
        <v>201</v>
      </c>
      <c r="F57" s="69" t="s">
        <v>202</v>
      </c>
      <c r="G57" s="69" t="s">
        <v>201</v>
      </c>
      <c r="H57" s="69" t="s">
        <v>202</v>
      </c>
      <c r="I57" s="69" t="s">
        <v>201</v>
      </c>
      <c r="J57" s="69" t="s">
        <v>202</v>
      </c>
      <c r="K57" s="69" t="s">
        <v>201</v>
      </c>
      <c r="L57" s="69" t="s">
        <v>202</v>
      </c>
      <c r="M57" s="69" t="s">
        <v>201</v>
      </c>
      <c r="N57" s="69" t="s">
        <v>202</v>
      </c>
      <c r="O57" s="69" t="s">
        <v>201</v>
      </c>
      <c r="P57" s="69" t="s">
        <v>202</v>
      </c>
      <c r="Q57" s="69" t="s">
        <v>201</v>
      </c>
      <c r="R57" s="69" t="s">
        <v>202</v>
      </c>
      <c r="S57" s="69" t="s">
        <v>201</v>
      </c>
      <c r="T57" s="69" t="s">
        <v>202</v>
      </c>
      <c r="U57" s="69" t="s">
        <v>201</v>
      </c>
      <c r="V57" s="69" t="s">
        <v>202</v>
      </c>
      <c r="W57" s="69" t="s">
        <v>201</v>
      </c>
      <c r="X57" s="69" t="s">
        <v>202</v>
      </c>
      <c r="Y57" s="69" t="s">
        <v>201</v>
      </c>
      <c r="Z57" s="69" t="s">
        <v>202</v>
      </c>
      <c r="AA57" s="69" t="s">
        <v>201</v>
      </c>
      <c r="AB57" s="69" t="s">
        <v>202</v>
      </c>
      <c r="AC57" s="69" t="s">
        <v>201</v>
      </c>
      <c r="AD57" s="69" t="s">
        <v>202</v>
      </c>
      <c r="AE57" s="69" t="s">
        <v>201</v>
      </c>
      <c r="AF57" s="69" t="s">
        <v>202</v>
      </c>
      <c r="AG57" s="69" t="s">
        <v>201</v>
      </c>
      <c r="AH57" s="69" t="s">
        <v>202</v>
      </c>
      <c r="AI57" s="69" t="s">
        <v>201</v>
      </c>
      <c r="AJ57" s="69" t="s">
        <v>202</v>
      </c>
    </row>
    <row r="58" s="35" customFormat="1" spans="1:35">
      <c r="A58" s="96"/>
      <c r="B58" s="71"/>
      <c r="C58" s="72">
        <v>2947.11</v>
      </c>
      <c r="D58" s="97"/>
      <c r="E58" s="115">
        <v>6521.99</v>
      </c>
      <c r="F58" s="115"/>
      <c r="G58" s="115">
        <v>240439.9</v>
      </c>
      <c r="H58" s="115"/>
      <c r="I58" s="72">
        <v>69481.99</v>
      </c>
      <c r="J58" s="72"/>
      <c r="K58" s="72">
        <v>37892.39</v>
      </c>
      <c r="L58" s="72"/>
      <c r="M58" s="72">
        <v>49372.71</v>
      </c>
      <c r="N58" s="72"/>
      <c r="O58" s="120">
        <v>54408.04</v>
      </c>
      <c r="Q58" s="120">
        <v>60504.44</v>
      </c>
      <c r="S58" s="120">
        <v>57356.4</v>
      </c>
      <c r="U58" s="120">
        <v>71226.88</v>
      </c>
      <c r="W58" s="120">
        <v>88649.66</v>
      </c>
      <c r="Y58" s="120">
        <v>64586.74</v>
      </c>
      <c r="AA58" s="120">
        <v>35507.98</v>
      </c>
      <c r="AC58" s="120">
        <v>62304.84</v>
      </c>
      <c r="AE58" s="120">
        <v>5642.75</v>
      </c>
      <c r="AG58" s="120">
        <v>2392.92</v>
      </c>
      <c r="AI58" s="120">
        <v>131766.24</v>
      </c>
    </row>
    <row r="59" s="36" customFormat="1" spans="1:38">
      <c r="A59" s="74" t="s">
        <v>183</v>
      </c>
      <c r="B59" s="75"/>
      <c r="C59" s="76">
        <v>45292</v>
      </c>
      <c r="D59" s="77"/>
      <c r="E59" s="76">
        <v>45323</v>
      </c>
      <c r="F59" s="77"/>
      <c r="G59" s="76">
        <v>45352</v>
      </c>
      <c r="H59" s="77"/>
      <c r="I59" s="76">
        <v>45383</v>
      </c>
      <c r="J59" s="77"/>
      <c r="K59" s="76">
        <v>45413</v>
      </c>
      <c r="L59" s="77"/>
      <c r="M59" s="76">
        <v>45444</v>
      </c>
      <c r="N59" s="77"/>
      <c r="O59" s="76">
        <v>45474</v>
      </c>
      <c r="P59" s="77"/>
      <c r="Q59" s="76"/>
      <c r="R59" s="77"/>
      <c r="S59" s="76"/>
      <c r="T59" s="77"/>
      <c r="U59" s="76"/>
      <c r="V59" s="77"/>
      <c r="W59" s="76"/>
      <c r="X59" s="77"/>
      <c r="Y59" s="76"/>
      <c r="Z59" s="77"/>
      <c r="AA59" s="76"/>
      <c r="AB59" s="77"/>
      <c r="AC59" s="76"/>
      <c r="AD59" s="77"/>
      <c r="AE59" s="76"/>
      <c r="AF59" s="77"/>
      <c r="AK59" s="76"/>
      <c r="AL59" s="77"/>
    </row>
    <row r="60" s="36" customFormat="1" spans="1:32">
      <c r="A60" s="78"/>
      <c r="B60" s="79"/>
      <c r="C60" s="80" t="s">
        <v>201</v>
      </c>
      <c r="D60" s="80" t="s">
        <v>202</v>
      </c>
      <c r="E60" s="80" t="s">
        <v>201</v>
      </c>
      <c r="F60" s="80" t="s">
        <v>202</v>
      </c>
      <c r="G60" s="80" t="s">
        <v>201</v>
      </c>
      <c r="H60" s="80" t="s">
        <v>202</v>
      </c>
      <c r="I60" s="80" t="s">
        <v>201</v>
      </c>
      <c r="J60" s="80" t="s">
        <v>202</v>
      </c>
      <c r="K60" s="80" t="s">
        <v>201</v>
      </c>
      <c r="L60" s="80" t="s">
        <v>202</v>
      </c>
      <c r="M60" s="80" t="s">
        <v>201</v>
      </c>
      <c r="N60" s="80" t="s">
        <v>202</v>
      </c>
      <c r="O60" s="80" t="s">
        <v>201</v>
      </c>
      <c r="P60" s="80" t="s">
        <v>202</v>
      </c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</row>
    <row r="61" s="36" customFormat="1" spans="1:38">
      <c r="A61" s="81"/>
      <c r="B61" s="82"/>
      <c r="C61" s="83">
        <v>45530.64</v>
      </c>
      <c r="D61" s="83"/>
      <c r="E61" s="83"/>
      <c r="F61" s="83">
        <v>-25471.7</v>
      </c>
      <c r="G61" s="83">
        <v>86469.4</v>
      </c>
      <c r="H61" s="83"/>
      <c r="I61" s="83">
        <v>-18196.26</v>
      </c>
      <c r="J61" s="83">
        <v>-60545.09</v>
      </c>
      <c r="K61" s="101">
        <v>45530.64</v>
      </c>
      <c r="L61" s="83"/>
      <c r="M61" s="101">
        <v>22335.28</v>
      </c>
      <c r="N61" s="83"/>
      <c r="O61" s="102"/>
      <c r="P61" s="102">
        <v>-73932.26</v>
      </c>
      <c r="Q61" s="102"/>
      <c r="R61" s="102"/>
      <c r="S61" s="123"/>
      <c r="T61" s="116"/>
      <c r="U61" s="83"/>
      <c r="V61" s="83"/>
      <c r="W61" s="83"/>
      <c r="X61" s="83"/>
      <c r="Y61" s="101"/>
      <c r="Z61" s="83"/>
      <c r="AA61" s="123"/>
      <c r="AB61" s="116"/>
      <c r="AC61" s="102"/>
      <c r="AD61" s="102"/>
      <c r="AE61" s="83"/>
      <c r="AF61" s="83"/>
      <c r="AK61" s="83"/>
      <c r="AL61" s="101"/>
    </row>
    <row r="62" spans="1:30">
      <c r="A62" s="84" t="s">
        <v>170</v>
      </c>
      <c r="C62" s="85">
        <v>45352</v>
      </c>
      <c r="D62" s="43"/>
      <c r="E62" s="85">
        <v>45383</v>
      </c>
      <c r="F62" s="43"/>
      <c r="G62" s="85">
        <v>45413</v>
      </c>
      <c r="H62" s="43"/>
      <c r="I62" s="85">
        <v>45444</v>
      </c>
      <c r="J62" s="43"/>
      <c r="K62" s="85">
        <v>45474</v>
      </c>
      <c r="L62" s="43"/>
      <c r="M62" s="85">
        <v>45505</v>
      </c>
      <c r="N62" s="43"/>
      <c r="O62" s="85">
        <v>45536</v>
      </c>
      <c r="P62" s="43"/>
      <c r="Q62" s="85">
        <v>45566</v>
      </c>
      <c r="R62" s="43"/>
      <c r="S62" s="85">
        <v>45597</v>
      </c>
      <c r="T62" s="43"/>
      <c r="U62" s="85">
        <v>45627</v>
      </c>
      <c r="V62" s="43"/>
      <c r="W62" s="85"/>
      <c r="X62" s="43"/>
      <c r="Y62" s="85"/>
      <c r="Z62" s="43"/>
      <c r="AA62" s="85"/>
      <c r="AB62" s="43"/>
      <c r="AC62" s="85"/>
      <c r="AD62" s="43"/>
    </row>
    <row r="63" spans="1:30">
      <c r="A63" s="86"/>
      <c r="C63" s="46" t="s">
        <v>201</v>
      </c>
      <c r="D63" s="46" t="s">
        <v>202</v>
      </c>
      <c r="E63" s="46" t="s">
        <v>201</v>
      </c>
      <c r="F63" s="46" t="s">
        <v>202</v>
      </c>
      <c r="G63" s="46" t="s">
        <v>201</v>
      </c>
      <c r="H63" s="46" t="s">
        <v>202</v>
      </c>
      <c r="I63" s="46" t="s">
        <v>201</v>
      </c>
      <c r="J63" s="46" t="s">
        <v>202</v>
      </c>
      <c r="K63" s="46" t="s">
        <v>201</v>
      </c>
      <c r="L63" s="46" t="s">
        <v>202</v>
      </c>
      <c r="M63" s="46" t="s">
        <v>201</v>
      </c>
      <c r="N63" s="46" t="s">
        <v>202</v>
      </c>
      <c r="O63" s="46" t="s">
        <v>201</v>
      </c>
      <c r="P63" s="46" t="s">
        <v>202</v>
      </c>
      <c r="Q63" s="46" t="s">
        <v>201</v>
      </c>
      <c r="R63" s="46" t="s">
        <v>202</v>
      </c>
      <c r="S63" s="46" t="s">
        <v>201</v>
      </c>
      <c r="T63" s="46" t="s">
        <v>202</v>
      </c>
      <c r="U63" s="46" t="s">
        <v>201</v>
      </c>
      <c r="V63" s="46" t="s">
        <v>202</v>
      </c>
      <c r="W63" s="46"/>
      <c r="X63" s="46"/>
      <c r="Y63" s="46"/>
      <c r="Z63" s="46"/>
      <c r="AA63" s="46"/>
      <c r="AB63" s="46"/>
      <c r="AC63" s="46"/>
      <c r="AD63" s="46"/>
    </row>
    <row r="64" spans="1:30">
      <c r="A64" s="87"/>
      <c r="C64" s="88">
        <v>110977.44</v>
      </c>
      <c r="D64" s="88"/>
      <c r="E64" s="88">
        <v>586831.05</v>
      </c>
      <c r="F64" s="88"/>
      <c r="G64" s="88">
        <v>177250.84</v>
      </c>
      <c r="H64" s="88"/>
      <c r="I64" s="88">
        <v>369528.97</v>
      </c>
      <c r="J64" s="88"/>
      <c r="K64" s="88">
        <v>172374.93</v>
      </c>
      <c r="L64" s="88"/>
      <c r="M64" s="88">
        <v>123821.53</v>
      </c>
      <c r="N64" s="88"/>
      <c r="O64" s="88">
        <v>100632.42</v>
      </c>
      <c r="P64" s="88"/>
      <c r="Q64" s="88">
        <v>1585156.8</v>
      </c>
      <c r="R64" s="88">
        <v>-1140000</v>
      </c>
      <c r="S64" s="88">
        <v>119219.78</v>
      </c>
      <c r="T64" s="88">
        <v>-1520000</v>
      </c>
      <c r="U64" s="88">
        <v>1192418.46</v>
      </c>
      <c r="V64" s="88">
        <v>-1878212.22</v>
      </c>
      <c r="W64" s="88"/>
      <c r="X64" s="88"/>
      <c r="Y64" s="88"/>
      <c r="Z64" s="88"/>
      <c r="AA64" s="88"/>
      <c r="AB64" s="88"/>
      <c r="AC64" s="88"/>
      <c r="AD64" s="88"/>
    </row>
    <row r="65" s="37" customFormat="1" spans="1:28">
      <c r="A65" s="104" t="s">
        <v>47</v>
      </c>
      <c r="B65" s="105"/>
      <c r="C65" s="106">
        <v>45352</v>
      </c>
      <c r="D65" s="107"/>
      <c r="E65" s="106">
        <v>45383</v>
      </c>
      <c r="F65" s="107"/>
      <c r="G65" s="106">
        <v>45413</v>
      </c>
      <c r="H65" s="107"/>
      <c r="I65" s="106">
        <v>45444</v>
      </c>
      <c r="J65" s="107"/>
      <c r="K65" s="106">
        <v>45474</v>
      </c>
      <c r="L65" s="107"/>
      <c r="M65" s="106">
        <v>45505</v>
      </c>
      <c r="N65" s="107"/>
      <c r="O65" s="106">
        <v>45536</v>
      </c>
      <c r="P65" s="107"/>
      <c r="Q65" s="106">
        <v>45566</v>
      </c>
      <c r="R65" s="107"/>
      <c r="S65" s="106">
        <v>45597</v>
      </c>
      <c r="T65" s="107"/>
      <c r="U65" s="106">
        <v>45627</v>
      </c>
      <c r="V65" s="107"/>
      <c r="W65" s="106">
        <v>45658</v>
      </c>
      <c r="X65" s="107"/>
      <c r="Y65" s="106">
        <v>45689</v>
      </c>
      <c r="Z65" s="107"/>
      <c r="AA65" s="106">
        <v>45778</v>
      </c>
      <c r="AB65" s="107"/>
    </row>
    <row r="66" s="37" customFormat="1" spans="1:28">
      <c r="A66" s="108"/>
      <c r="B66" s="109"/>
      <c r="C66" s="110" t="s">
        <v>201</v>
      </c>
      <c r="D66" s="110" t="s">
        <v>202</v>
      </c>
      <c r="E66" s="110" t="s">
        <v>201</v>
      </c>
      <c r="F66" s="110" t="s">
        <v>202</v>
      </c>
      <c r="G66" s="110" t="s">
        <v>201</v>
      </c>
      <c r="H66" s="110" t="s">
        <v>202</v>
      </c>
      <c r="I66" s="110" t="s">
        <v>201</v>
      </c>
      <c r="J66" s="110" t="s">
        <v>202</v>
      </c>
      <c r="K66" s="110" t="s">
        <v>201</v>
      </c>
      <c r="L66" s="110" t="s">
        <v>202</v>
      </c>
      <c r="M66" s="110" t="s">
        <v>201</v>
      </c>
      <c r="N66" s="110" t="s">
        <v>202</v>
      </c>
      <c r="O66" s="110" t="s">
        <v>201</v>
      </c>
      <c r="P66" s="110" t="s">
        <v>202</v>
      </c>
      <c r="Q66" s="110" t="s">
        <v>201</v>
      </c>
      <c r="R66" s="110" t="s">
        <v>202</v>
      </c>
      <c r="S66" s="110" t="s">
        <v>201</v>
      </c>
      <c r="T66" s="110" t="s">
        <v>202</v>
      </c>
      <c r="U66" s="110" t="s">
        <v>201</v>
      </c>
      <c r="V66" s="110" t="s">
        <v>202</v>
      </c>
      <c r="W66" s="110" t="s">
        <v>201</v>
      </c>
      <c r="X66" s="110" t="s">
        <v>202</v>
      </c>
      <c r="Y66" s="110" t="s">
        <v>201</v>
      </c>
      <c r="Z66" s="110" t="s">
        <v>202</v>
      </c>
      <c r="AA66" s="110" t="s">
        <v>201</v>
      </c>
      <c r="AB66" s="110" t="s">
        <v>202</v>
      </c>
    </row>
    <row r="67" s="37" customFormat="1" spans="1:27">
      <c r="A67" s="111"/>
      <c r="B67" s="112"/>
      <c r="C67" s="113">
        <v>88735.54</v>
      </c>
      <c r="D67" s="113"/>
      <c r="E67" s="113">
        <v>328756.56</v>
      </c>
      <c r="F67" s="113"/>
      <c r="G67" s="114">
        <v>108604.55</v>
      </c>
      <c r="H67" s="114"/>
      <c r="I67" s="114">
        <v>107475.14</v>
      </c>
      <c r="J67" s="114"/>
      <c r="K67" s="114">
        <v>153331.24</v>
      </c>
      <c r="L67" s="114"/>
      <c r="M67" s="114">
        <v>238683.48</v>
      </c>
      <c r="O67" s="114">
        <v>95567.75</v>
      </c>
      <c r="Q67" s="114">
        <v>1691455.47</v>
      </c>
      <c r="S67" s="114">
        <v>182851.5</v>
      </c>
      <c r="U67" s="114">
        <v>1317819.05</v>
      </c>
      <c r="W67" s="114">
        <v>146928.51</v>
      </c>
      <c r="Y67" s="114">
        <v>126574.4</v>
      </c>
      <c r="AA67" s="114">
        <v>469807.18</v>
      </c>
    </row>
    <row r="68" s="35" customFormat="1" spans="1:22">
      <c r="A68" s="94" t="s">
        <v>81</v>
      </c>
      <c r="B68" s="64"/>
      <c r="C68" s="65">
        <v>45474</v>
      </c>
      <c r="D68" s="66"/>
      <c r="E68" s="65">
        <v>45505</v>
      </c>
      <c r="F68" s="66"/>
      <c r="G68" s="65">
        <v>45536</v>
      </c>
      <c r="H68" s="66"/>
      <c r="I68" s="65">
        <v>45566</v>
      </c>
      <c r="J68" s="66"/>
      <c r="K68" s="65">
        <v>45597</v>
      </c>
      <c r="L68" s="66"/>
      <c r="M68" s="65">
        <v>45627</v>
      </c>
      <c r="N68" s="66"/>
      <c r="O68" s="65">
        <v>45658</v>
      </c>
      <c r="P68" s="66"/>
      <c r="Q68" s="65"/>
      <c r="R68" s="66"/>
      <c r="S68" s="65"/>
      <c r="T68" s="66"/>
      <c r="U68" s="65"/>
      <c r="V68" s="66"/>
    </row>
    <row r="69" s="35" customFormat="1" spans="1:22">
      <c r="A69" s="95"/>
      <c r="B69" s="68"/>
      <c r="C69" s="69" t="s">
        <v>201</v>
      </c>
      <c r="D69" s="69" t="s">
        <v>202</v>
      </c>
      <c r="E69" s="69" t="s">
        <v>201</v>
      </c>
      <c r="F69" s="69" t="s">
        <v>202</v>
      </c>
      <c r="G69" s="69" t="s">
        <v>201</v>
      </c>
      <c r="H69" s="69" t="s">
        <v>202</v>
      </c>
      <c r="I69" s="69" t="s">
        <v>201</v>
      </c>
      <c r="J69" s="69" t="s">
        <v>202</v>
      </c>
      <c r="K69" s="69" t="s">
        <v>201</v>
      </c>
      <c r="L69" s="69" t="s">
        <v>202</v>
      </c>
      <c r="M69" s="69" t="s">
        <v>201</v>
      </c>
      <c r="N69" s="69" t="s">
        <v>202</v>
      </c>
      <c r="O69" s="69" t="s">
        <v>201</v>
      </c>
      <c r="P69" s="69" t="s">
        <v>202</v>
      </c>
      <c r="Q69" s="69"/>
      <c r="R69" s="69"/>
      <c r="S69" s="69"/>
      <c r="T69" s="69"/>
      <c r="U69" s="69"/>
      <c r="V69" s="69"/>
    </row>
    <row r="70" s="35" customFormat="1" spans="1:21">
      <c r="A70" s="96"/>
      <c r="B70" s="71"/>
      <c r="C70" s="72">
        <v>158685.63</v>
      </c>
      <c r="D70" s="97"/>
      <c r="E70" s="115">
        <v>188233.93</v>
      </c>
      <c r="F70" s="115"/>
      <c r="G70" s="115">
        <v>88129.52</v>
      </c>
      <c r="H70" s="115"/>
      <c r="I70" s="72">
        <v>477864.44</v>
      </c>
      <c r="J70" s="72"/>
      <c r="K70" s="72">
        <v>215856.3</v>
      </c>
      <c r="L70" s="72"/>
      <c r="M70" s="72">
        <v>640612.01</v>
      </c>
      <c r="N70" s="72"/>
      <c r="O70" s="120">
        <v>56127.88</v>
      </c>
      <c r="Q70" s="120"/>
      <c r="S70" s="120"/>
      <c r="U70" s="120"/>
    </row>
    <row r="71" s="36" customFormat="1" spans="1:38">
      <c r="A71" s="74" t="s">
        <v>55</v>
      </c>
      <c r="B71" s="75"/>
      <c r="C71" s="76">
        <v>45474</v>
      </c>
      <c r="D71" s="77"/>
      <c r="E71" s="76">
        <v>45505</v>
      </c>
      <c r="F71" s="77"/>
      <c r="G71" s="76">
        <v>45536</v>
      </c>
      <c r="H71" s="77"/>
      <c r="I71" s="76">
        <v>45566</v>
      </c>
      <c r="J71" s="77"/>
      <c r="K71" s="76">
        <v>45597</v>
      </c>
      <c r="L71" s="77"/>
      <c r="M71" s="76">
        <v>45627</v>
      </c>
      <c r="N71" s="77"/>
      <c r="O71" s="76">
        <v>45658</v>
      </c>
      <c r="P71" s="77"/>
      <c r="Q71" s="76">
        <v>45689</v>
      </c>
      <c r="R71" s="77"/>
      <c r="S71" s="76">
        <v>45717</v>
      </c>
      <c r="T71" s="77"/>
      <c r="U71" s="76">
        <v>45748</v>
      </c>
      <c r="V71" s="77"/>
      <c r="W71" s="76"/>
      <c r="X71" s="77"/>
      <c r="Y71" s="76"/>
      <c r="Z71" s="77"/>
      <c r="AA71" s="76"/>
      <c r="AB71" s="77"/>
      <c r="AC71" s="76"/>
      <c r="AD71" s="77"/>
      <c r="AE71" s="76"/>
      <c r="AF71" s="77"/>
      <c r="AK71" s="76"/>
      <c r="AL71" s="77"/>
    </row>
    <row r="72" s="36" customFormat="1" spans="1:32">
      <c r="A72" s="78"/>
      <c r="B72" s="79"/>
      <c r="C72" s="80" t="s">
        <v>201</v>
      </c>
      <c r="D72" s="80" t="s">
        <v>202</v>
      </c>
      <c r="E72" s="80" t="s">
        <v>201</v>
      </c>
      <c r="F72" s="80" t="s">
        <v>202</v>
      </c>
      <c r="G72" s="80" t="s">
        <v>201</v>
      </c>
      <c r="H72" s="80" t="s">
        <v>202</v>
      </c>
      <c r="I72" s="80" t="s">
        <v>201</v>
      </c>
      <c r="J72" s="80" t="s">
        <v>202</v>
      </c>
      <c r="K72" s="80" t="s">
        <v>201</v>
      </c>
      <c r="L72" s="80" t="s">
        <v>202</v>
      </c>
      <c r="M72" s="80" t="s">
        <v>201</v>
      </c>
      <c r="N72" s="80" t="s">
        <v>202</v>
      </c>
      <c r="O72" s="80" t="s">
        <v>201</v>
      </c>
      <c r="P72" s="80" t="s">
        <v>202</v>
      </c>
      <c r="Q72" s="80" t="s">
        <v>201</v>
      </c>
      <c r="R72" s="80" t="s">
        <v>202</v>
      </c>
      <c r="S72" s="80" t="s">
        <v>201</v>
      </c>
      <c r="T72" s="80" t="s">
        <v>202</v>
      </c>
      <c r="U72" s="80" t="s">
        <v>201</v>
      </c>
      <c r="V72" s="80" t="s">
        <v>202</v>
      </c>
      <c r="W72" s="80"/>
      <c r="X72" s="80"/>
      <c r="Y72" s="80"/>
      <c r="Z72" s="80"/>
      <c r="AA72" s="80"/>
      <c r="AB72" s="80"/>
      <c r="AC72" s="80"/>
      <c r="AD72" s="80"/>
      <c r="AE72" s="80"/>
      <c r="AF72" s="80"/>
    </row>
    <row r="73" s="36" customFormat="1" spans="1:38">
      <c r="A73" s="81"/>
      <c r="B73" s="82"/>
      <c r="C73" s="83">
        <v>322151.52</v>
      </c>
      <c r="D73" s="83"/>
      <c r="E73" s="83">
        <v>423752.95</v>
      </c>
      <c r="F73" s="83"/>
      <c r="G73" s="83">
        <v>78102.03</v>
      </c>
      <c r="H73" s="83"/>
      <c r="I73" s="83">
        <v>2278794.22</v>
      </c>
      <c r="J73" s="83"/>
      <c r="K73" s="101">
        <v>791847.83</v>
      </c>
      <c r="L73" s="83"/>
      <c r="M73" s="101">
        <v>4183178.4</v>
      </c>
      <c r="N73" s="83"/>
      <c r="O73" s="102">
        <v>224410.62</v>
      </c>
      <c r="P73" s="102"/>
      <c r="Q73" s="102">
        <v>189167.76</v>
      </c>
      <c r="R73" s="102"/>
      <c r="S73" s="123">
        <v>369476.14</v>
      </c>
      <c r="T73" s="116"/>
      <c r="U73" s="83">
        <v>7740</v>
      </c>
      <c r="V73" s="83"/>
      <c r="W73" s="83"/>
      <c r="X73" s="83"/>
      <c r="Y73" s="101"/>
      <c r="Z73" s="83"/>
      <c r="AA73" s="123"/>
      <c r="AB73" s="116"/>
      <c r="AC73" s="102"/>
      <c r="AD73" s="102"/>
      <c r="AE73" s="83"/>
      <c r="AF73" s="83"/>
      <c r="AK73" s="83"/>
      <c r="AL73" s="101"/>
    </row>
    <row r="74" spans="1:30">
      <c r="A74" s="84" t="s">
        <v>92</v>
      </c>
      <c r="C74" s="85">
        <v>45474</v>
      </c>
      <c r="D74" s="43"/>
      <c r="E74" s="85">
        <v>45505</v>
      </c>
      <c r="F74" s="43"/>
      <c r="G74" s="85">
        <v>45536</v>
      </c>
      <c r="H74" s="43"/>
      <c r="I74" s="85">
        <v>45566</v>
      </c>
      <c r="J74" s="43"/>
      <c r="K74" s="85">
        <v>45597</v>
      </c>
      <c r="L74" s="43"/>
      <c r="M74" s="85">
        <v>45627</v>
      </c>
      <c r="N74" s="43"/>
      <c r="O74" s="85">
        <v>45658</v>
      </c>
      <c r="P74" s="43"/>
      <c r="Q74" s="85">
        <v>45689</v>
      </c>
      <c r="R74" s="43"/>
      <c r="S74" s="85">
        <v>45717</v>
      </c>
      <c r="T74" s="43"/>
      <c r="U74" s="85">
        <v>45748</v>
      </c>
      <c r="V74" s="43"/>
      <c r="W74" s="85">
        <v>45778</v>
      </c>
      <c r="X74" s="43"/>
      <c r="Y74" s="85"/>
      <c r="Z74" s="43"/>
      <c r="AA74" s="85"/>
      <c r="AB74" s="43"/>
      <c r="AC74" s="85"/>
      <c r="AD74" s="43"/>
    </row>
    <row r="75" spans="1:30">
      <c r="A75" s="86"/>
      <c r="C75" s="46" t="s">
        <v>201</v>
      </c>
      <c r="D75" s="46" t="s">
        <v>202</v>
      </c>
      <c r="E75" s="46" t="s">
        <v>201</v>
      </c>
      <c r="F75" s="46" t="s">
        <v>202</v>
      </c>
      <c r="G75" s="46" t="s">
        <v>201</v>
      </c>
      <c r="H75" s="46" t="s">
        <v>202</v>
      </c>
      <c r="I75" s="46" t="s">
        <v>201</v>
      </c>
      <c r="J75" s="46" t="s">
        <v>202</v>
      </c>
      <c r="K75" s="46" t="s">
        <v>201</v>
      </c>
      <c r="L75" s="46" t="s">
        <v>202</v>
      </c>
      <c r="M75" s="46" t="s">
        <v>201</v>
      </c>
      <c r="N75" s="46" t="s">
        <v>202</v>
      </c>
      <c r="O75" s="46" t="s">
        <v>201</v>
      </c>
      <c r="P75" s="46" t="s">
        <v>202</v>
      </c>
      <c r="Q75" s="46" t="s">
        <v>201</v>
      </c>
      <c r="R75" s="46" t="s">
        <v>202</v>
      </c>
      <c r="S75" s="46" t="s">
        <v>201</v>
      </c>
      <c r="T75" s="46" t="s">
        <v>202</v>
      </c>
      <c r="U75" s="46" t="s">
        <v>201</v>
      </c>
      <c r="V75" s="46" t="s">
        <v>202</v>
      </c>
      <c r="W75" s="46" t="s">
        <v>201</v>
      </c>
      <c r="X75" s="46" t="s">
        <v>202</v>
      </c>
      <c r="Y75" s="46"/>
      <c r="Z75" s="46"/>
      <c r="AA75" s="46"/>
      <c r="AB75" s="46"/>
      <c r="AC75" s="46"/>
      <c r="AD75" s="46"/>
    </row>
    <row r="76" spans="1:30">
      <c r="A76" s="87"/>
      <c r="C76" s="88">
        <v>258196.56</v>
      </c>
      <c r="D76" s="88"/>
      <c r="E76" s="88">
        <v>264737.31</v>
      </c>
      <c r="F76" s="88"/>
      <c r="G76" s="88">
        <v>84876.21</v>
      </c>
      <c r="H76" s="88"/>
      <c r="I76" s="88">
        <v>706997.39</v>
      </c>
      <c r="J76" s="88"/>
      <c r="K76" s="88">
        <v>304287.96</v>
      </c>
      <c r="L76" s="88"/>
      <c r="M76" s="88">
        <v>1121976.05</v>
      </c>
      <c r="N76" s="88"/>
      <c r="O76" s="88">
        <v>86474.91</v>
      </c>
      <c r="P76" s="88"/>
      <c r="Q76" s="88">
        <v>105329.04</v>
      </c>
      <c r="R76" s="88"/>
      <c r="S76" s="88">
        <v>239893.45</v>
      </c>
      <c r="T76" s="88"/>
      <c r="U76" s="88">
        <v>232759.93</v>
      </c>
      <c r="V76" s="88"/>
      <c r="W76" s="88">
        <v>1125681.13</v>
      </c>
      <c r="X76" s="88"/>
      <c r="Y76" s="88"/>
      <c r="Z76" s="88"/>
      <c r="AA76" s="88"/>
      <c r="AB76" s="88"/>
      <c r="AC76" s="88"/>
      <c r="AD76" s="88"/>
    </row>
    <row r="77" s="37" customFormat="1" spans="1:22">
      <c r="A77" s="104" t="s">
        <v>158</v>
      </c>
      <c r="B77" s="105"/>
      <c r="C77" s="106">
        <v>45505</v>
      </c>
      <c r="D77" s="107"/>
      <c r="E77" s="106">
        <v>45536</v>
      </c>
      <c r="F77" s="107"/>
      <c r="G77" s="106">
        <v>45566</v>
      </c>
      <c r="H77" s="107"/>
      <c r="I77" s="106">
        <v>45597</v>
      </c>
      <c r="J77" s="107"/>
      <c r="K77" s="106">
        <v>45627</v>
      </c>
      <c r="L77" s="107"/>
      <c r="M77" s="106">
        <v>45658</v>
      </c>
      <c r="N77" s="107"/>
      <c r="O77" s="106">
        <v>45689</v>
      </c>
      <c r="P77" s="107"/>
      <c r="Q77" s="106">
        <v>45717</v>
      </c>
      <c r="R77" s="107"/>
      <c r="S77" s="106">
        <v>45748</v>
      </c>
      <c r="T77" s="107"/>
      <c r="U77" s="106">
        <v>45778</v>
      </c>
      <c r="V77" s="107"/>
    </row>
    <row r="78" s="37" customFormat="1" spans="1:22">
      <c r="A78" s="108"/>
      <c r="B78" s="109"/>
      <c r="C78" s="110" t="s">
        <v>201</v>
      </c>
      <c r="D78" s="110" t="s">
        <v>202</v>
      </c>
      <c r="E78" s="110" t="s">
        <v>201</v>
      </c>
      <c r="F78" s="110" t="s">
        <v>202</v>
      </c>
      <c r="G78" s="110" t="s">
        <v>201</v>
      </c>
      <c r="H78" s="110" t="s">
        <v>202</v>
      </c>
      <c r="I78" s="110" t="s">
        <v>201</v>
      </c>
      <c r="J78" s="110" t="s">
        <v>202</v>
      </c>
      <c r="K78" s="110" t="s">
        <v>201</v>
      </c>
      <c r="L78" s="110" t="s">
        <v>202</v>
      </c>
      <c r="M78" s="110" t="s">
        <v>201</v>
      </c>
      <c r="N78" s="110" t="s">
        <v>202</v>
      </c>
      <c r="O78" s="110" t="s">
        <v>201</v>
      </c>
      <c r="P78" s="110" t="s">
        <v>202</v>
      </c>
      <c r="Q78" s="110" t="s">
        <v>201</v>
      </c>
      <c r="R78" s="110" t="s">
        <v>202</v>
      </c>
      <c r="S78" s="110" t="s">
        <v>201</v>
      </c>
      <c r="T78" s="110" t="s">
        <v>202</v>
      </c>
      <c r="U78" s="110" t="s">
        <v>201</v>
      </c>
      <c r="V78" s="110" t="s">
        <v>202</v>
      </c>
    </row>
    <row r="79" s="37" customFormat="1" spans="1:21">
      <c r="A79" s="111"/>
      <c r="B79" s="112"/>
      <c r="C79" s="113">
        <v>2351408.51</v>
      </c>
      <c r="D79" s="113"/>
      <c r="E79" s="113">
        <v>3032322.31</v>
      </c>
      <c r="F79" s="113"/>
      <c r="G79" s="114">
        <v>2834015.67</v>
      </c>
      <c r="H79" s="114"/>
      <c r="I79" s="114">
        <v>1724761.07</v>
      </c>
      <c r="J79" s="114"/>
      <c r="K79" s="114">
        <v>8044413.38</v>
      </c>
      <c r="L79" s="114"/>
      <c r="M79" s="114">
        <v>13732.53</v>
      </c>
      <c r="O79" s="114">
        <v>63655.36</v>
      </c>
      <c r="Q79" s="114">
        <v>27268.46</v>
      </c>
      <c r="S79" s="114">
        <v>28847.22</v>
      </c>
      <c r="U79" s="114">
        <v>28239.31</v>
      </c>
    </row>
    <row r="80" s="35" customFormat="1" spans="1:22">
      <c r="A80" s="94" t="s">
        <v>189</v>
      </c>
      <c r="B80" s="64"/>
      <c r="C80" s="65">
        <v>45566</v>
      </c>
      <c r="D80" s="66"/>
      <c r="E80" s="65">
        <v>45597</v>
      </c>
      <c r="F80" s="66"/>
      <c r="G80" s="65">
        <v>45658</v>
      </c>
      <c r="H80" s="66"/>
      <c r="I80" s="65"/>
      <c r="J80" s="66"/>
      <c r="K80" s="65"/>
      <c r="L80" s="66"/>
      <c r="M80" s="65"/>
      <c r="N80" s="66"/>
      <c r="O80" s="65"/>
      <c r="P80" s="66"/>
      <c r="Q80" s="65"/>
      <c r="R80" s="66"/>
      <c r="S80" s="65"/>
      <c r="T80" s="66"/>
      <c r="U80" s="65"/>
      <c r="V80" s="66"/>
    </row>
    <row r="81" s="35" customFormat="1" spans="1:22">
      <c r="A81" s="95"/>
      <c r="B81" s="68"/>
      <c r="C81" s="69" t="s">
        <v>201</v>
      </c>
      <c r="D81" s="69" t="s">
        <v>202</v>
      </c>
      <c r="E81" s="69" t="s">
        <v>201</v>
      </c>
      <c r="F81" s="69" t="s">
        <v>202</v>
      </c>
      <c r="G81" s="69" t="s">
        <v>201</v>
      </c>
      <c r="H81" s="69" t="s">
        <v>202</v>
      </c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</row>
    <row r="82" s="35" customFormat="1" spans="1:21">
      <c r="A82" s="96"/>
      <c r="B82" s="71"/>
      <c r="C82" s="72">
        <v>23194.78</v>
      </c>
      <c r="D82" s="97"/>
      <c r="E82" s="115">
        <v>22643.61</v>
      </c>
      <c r="F82" s="115"/>
      <c r="G82" s="115">
        <v>52907.52</v>
      </c>
      <c r="H82" s="115"/>
      <c r="I82" s="72"/>
      <c r="J82" s="72"/>
      <c r="K82" s="72"/>
      <c r="L82" s="72"/>
      <c r="M82" s="72"/>
      <c r="N82" s="72"/>
      <c r="O82" s="120"/>
      <c r="Q82" s="120"/>
      <c r="S82" s="120"/>
      <c r="U82" s="120"/>
    </row>
    <row r="83" s="36" customFormat="1" spans="1:38">
      <c r="A83" s="74" t="s">
        <v>120</v>
      </c>
      <c r="B83" s="75"/>
      <c r="C83" s="76">
        <v>45627</v>
      </c>
      <c r="D83" s="77"/>
      <c r="E83" s="76">
        <v>45658</v>
      </c>
      <c r="F83" s="77"/>
      <c r="G83" s="76">
        <v>45689</v>
      </c>
      <c r="H83" s="77"/>
      <c r="I83" s="76">
        <v>45717</v>
      </c>
      <c r="J83" s="77"/>
      <c r="K83" s="76">
        <v>45748</v>
      </c>
      <c r="L83" s="77"/>
      <c r="M83" s="76">
        <v>45778</v>
      </c>
      <c r="N83" s="77"/>
      <c r="O83" s="76"/>
      <c r="P83" s="77"/>
      <c r="Q83" s="76"/>
      <c r="R83" s="77"/>
      <c r="S83" s="76"/>
      <c r="T83" s="77"/>
      <c r="U83" s="76"/>
      <c r="V83" s="77"/>
      <c r="W83" s="76"/>
      <c r="X83" s="77"/>
      <c r="Y83" s="76"/>
      <c r="Z83" s="77"/>
      <c r="AA83" s="76"/>
      <c r="AB83" s="77"/>
      <c r="AC83" s="76"/>
      <c r="AD83" s="77"/>
      <c r="AE83" s="76"/>
      <c r="AF83" s="77"/>
      <c r="AK83" s="76"/>
      <c r="AL83" s="77"/>
    </row>
    <row r="84" s="36" customFormat="1" spans="1:32">
      <c r="A84" s="78"/>
      <c r="B84" s="79"/>
      <c r="C84" s="80" t="s">
        <v>201</v>
      </c>
      <c r="D84" s="80" t="s">
        <v>202</v>
      </c>
      <c r="E84" s="80" t="s">
        <v>201</v>
      </c>
      <c r="F84" s="80" t="s">
        <v>202</v>
      </c>
      <c r="G84" s="80" t="s">
        <v>201</v>
      </c>
      <c r="H84" s="80" t="s">
        <v>202</v>
      </c>
      <c r="I84" s="80" t="s">
        <v>201</v>
      </c>
      <c r="J84" s="80" t="s">
        <v>202</v>
      </c>
      <c r="K84" s="80" t="s">
        <v>201</v>
      </c>
      <c r="L84" s="80" t="s">
        <v>202</v>
      </c>
      <c r="M84" s="80" t="s">
        <v>201</v>
      </c>
      <c r="N84" s="80" t="s">
        <v>202</v>
      </c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</row>
    <row r="85" s="36" customFormat="1" spans="1:38">
      <c r="A85" s="81"/>
      <c r="B85" s="82"/>
      <c r="C85" s="83">
        <v>366050.11</v>
      </c>
      <c r="D85" s="83"/>
      <c r="E85" s="83">
        <v>87004.25</v>
      </c>
      <c r="F85" s="83"/>
      <c r="G85" s="83">
        <v>188436.37</v>
      </c>
      <c r="H85" s="83"/>
      <c r="I85" s="83">
        <v>137869.92</v>
      </c>
      <c r="J85" s="83"/>
      <c r="K85" s="101">
        <v>294178.76</v>
      </c>
      <c r="L85" s="83"/>
      <c r="M85" s="101">
        <v>701758.99</v>
      </c>
      <c r="N85" s="83"/>
      <c r="O85" s="102"/>
      <c r="P85" s="102"/>
      <c r="Q85" s="102"/>
      <c r="R85" s="102"/>
      <c r="S85" s="123"/>
      <c r="T85" s="116"/>
      <c r="U85" s="83"/>
      <c r="V85" s="83"/>
      <c r="W85" s="83"/>
      <c r="X85" s="83"/>
      <c r="Y85" s="101"/>
      <c r="Z85" s="83"/>
      <c r="AA85" s="123"/>
      <c r="AB85" s="116"/>
      <c r="AC85" s="102"/>
      <c r="AD85" s="102"/>
      <c r="AE85" s="83"/>
      <c r="AF85" s="83"/>
      <c r="AK85" s="83"/>
      <c r="AL85" s="101"/>
    </row>
    <row r="86" spans="1:30">
      <c r="A86" s="84" t="s">
        <v>173</v>
      </c>
      <c r="C86" s="85">
        <v>45658</v>
      </c>
      <c r="D86" s="43"/>
      <c r="E86" s="85">
        <v>45689</v>
      </c>
      <c r="F86" s="43"/>
      <c r="G86" s="85">
        <v>45717</v>
      </c>
      <c r="H86" s="43"/>
      <c r="I86" s="85">
        <v>45748</v>
      </c>
      <c r="J86" s="43"/>
      <c r="K86" s="85">
        <v>45778</v>
      </c>
      <c r="L86" s="43"/>
      <c r="M86" s="85"/>
      <c r="N86" s="43"/>
      <c r="O86" s="85"/>
      <c r="P86" s="43"/>
      <c r="Q86" s="85"/>
      <c r="R86" s="43"/>
      <c r="S86" s="85"/>
      <c r="T86" s="43"/>
      <c r="U86" s="85"/>
      <c r="V86" s="43"/>
      <c r="W86" s="85"/>
      <c r="X86" s="43"/>
      <c r="Y86" s="85"/>
      <c r="Z86" s="43"/>
      <c r="AA86" s="85"/>
      <c r="AB86" s="43"/>
      <c r="AC86" s="85"/>
      <c r="AD86" s="43"/>
    </row>
    <row r="87" spans="1:30">
      <c r="A87" s="86"/>
      <c r="C87" s="46" t="s">
        <v>201</v>
      </c>
      <c r="D87" s="46" t="s">
        <v>202</v>
      </c>
      <c r="E87" s="46" t="s">
        <v>201</v>
      </c>
      <c r="F87" s="46" t="s">
        <v>202</v>
      </c>
      <c r="G87" s="46" t="s">
        <v>201</v>
      </c>
      <c r="H87" s="46" t="s">
        <v>202</v>
      </c>
      <c r="I87" s="46" t="s">
        <v>201</v>
      </c>
      <c r="J87" s="46" t="s">
        <v>202</v>
      </c>
      <c r="K87" s="46" t="s">
        <v>201</v>
      </c>
      <c r="L87" s="46" t="s">
        <v>202</v>
      </c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</row>
    <row r="88" spans="1:30">
      <c r="A88" s="87"/>
      <c r="C88" s="88">
        <v>101399.51</v>
      </c>
      <c r="D88" s="88"/>
      <c r="E88" s="88">
        <v>68109</v>
      </c>
      <c r="F88" s="88"/>
      <c r="G88" s="88">
        <v>960</v>
      </c>
      <c r="H88" s="88"/>
      <c r="I88" s="88">
        <v>215986.64</v>
      </c>
      <c r="J88" s="88"/>
      <c r="K88" s="88">
        <v>325961.88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</row>
    <row r="89" s="37" customFormat="1" spans="1:18">
      <c r="A89" s="104" t="s">
        <v>52</v>
      </c>
      <c r="B89" s="105"/>
      <c r="C89" s="106">
        <v>45717</v>
      </c>
      <c r="D89" s="107"/>
      <c r="E89" s="106">
        <v>45748</v>
      </c>
      <c r="F89" s="107"/>
      <c r="G89" s="106">
        <v>45778</v>
      </c>
      <c r="H89" s="107"/>
      <c r="I89" s="106"/>
      <c r="J89" s="107"/>
      <c r="K89" s="106"/>
      <c r="L89" s="107"/>
      <c r="M89" s="106"/>
      <c r="N89" s="107"/>
      <c r="O89" s="106"/>
      <c r="P89" s="107"/>
      <c r="Q89" s="106"/>
      <c r="R89" s="107"/>
    </row>
    <row r="90" s="37" customFormat="1" spans="1:18">
      <c r="A90" s="108"/>
      <c r="B90" s="109"/>
      <c r="C90" s="110" t="s">
        <v>201</v>
      </c>
      <c r="D90" s="110" t="s">
        <v>202</v>
      </c>
      <c r="E90" s="110" t="s">
        <v>201</v>
      </c>
      <c r="F90" s="110" t="s">
        <v>202</v>
      </c>
      <c r="G90" s="110" t="s">
        <v>201</v>
      </c>
      <c r="H90" s="110" t="s">
        <v>202</v>
      </c>
      <c r="I90" s="110"/>
      <c r="J90" s="110"/>
      <c r="K90" s="110"/>
      <c r="L90" s="110"/>
      <c r="M90" s="110"/>
      <c r="N90" s="110"/>
      <c r="O90" s="110"/>
      <c r="P90" s="110"/>
      <c r="Q90" s="110"/>
      <c r="R90" s="110"/>
    </row>
    <row r="91" s="37" customFormat="1" spans="1:17">
      <c r="A91" s="111"/>
      <c r="B91" s="112"/>
      <c r="C91" s="113">
        <v>194341.05</v>
      </c>
      <c r="D91" s="113"/>
      <c r="E91" s="113">
        <v>217738.59</v>
      </c>
      <c r="F91" s="113"/>
      <c r="G91" s="114">
        <v>303533.23</v>
      </c>
      <c r="H91" s="114"/>
      <c r="I91" s="114"/>
      <c r="J91" s="114"/>
      <c r="K91" s="114"/>
      <c r="L91" s="114"/>
      <c r="M91" s="114"/>
      <c r="O91" s="114"/>
      <c r="Q91" s="114"/>
    </row>
    <row r="92" s="35" customFormat="1" spans="1:22">
      <c r="A92" s="94" t="s">
        <v>85</v>
      </c>
      <c r="B92" s="64"/>
      <c r="C92" s="65">
        <v>45748</v>
      </c>
      <c r="D92" s="66"/>
      <c r="E92" s="65">
        <v>45778</v>
      </c>
      <c r="F92" s="66"/>
      <c r="G92" s="65"/>
      <c r="H92" s="66"/>
      <c r="I92" s="65"/>
      <c r="J92" s="66"/>
      <c r="K92" s="65"/>
      <c r="L92" s="66"/>
      <c r="M92" s="65"/>
      <c r="N92" s="66"/>
      <c r="O92" s="65"/>
      <c r="P92" s="66"/>
      <c r="Q92" s="65"/>
      <c r="R92" s="66"/>
      <c r="S92" s="65"/>
      <c r="T92" s="66"/>
      <c r="U92" s="65"/>
      <c r="V92" s="66"/>
    </row>
    <row r="93" s="35" customFormat="1" spans="1:22">
      <c r="A93" s="95"/>
      <c r="B93" s="68"/>
      <c r="C93" s="69" t="s">
        <v>201</v>
      </c>
      <c r="D93" s="69" t="s">
        <v>202</v>
      </c>
      <c r="E93" s="69" t="s">
        <v>201</v>
      </c>
      <c r="F93" s="69" t="s">
        <v>202</v>
      </c>
      <c r="G93" s="69" t="s">
        <v>201</v>
      </c>
      <c r="H93" s="69" t="s">
        <v>202</v>
      </c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</row>
    <row r="94" s="35" customFormat="1" spans="1:21">
      <c r="A94" s="96"/>
      <c r="B94" s="71"/>
      <c r="C94" s="72">
        <v>51977.33</v>
      </c>
      <c r="D94" s="97"/>
      <c r="E94" s="115">
        <v>100906.94</v>
      </c>
      <c r="F94" s="115"/>
      <c r="G94" s="115"/>
      <c r="H94" s="115"/>
      <c r="I94" s="72"/>
      <c r="J94" s="72"/>
      <c r="K94" s="72"/>
      <c r="L94" s="72"/>
      <c r="M94" s="72"/>
      <c r="N94" s="72"/>
      <c r="O94" s="120"/>
      <c r="Q94" s="120"/>
      <c r="S94" s="120"/>
      <c r="U94" s="120"/>
    </row>
    <row r="95" s="36" customFormat="1" spans="1:38">
      <c r="A95" s="74" t="s">
        <v>59</v>
      </c>
      <c r="B95" s="75"/>
      <c r="C95" s="76">
        <v>45748</v>
      </c>
      <c r="D95" s="77"/>
      <c r="E95" s="76">
        <v>45778</v>
      </c>
      <c r="F95" s="77"/>
      <c r="G95" s="76"/>
      <c r="H95" s="77"/>
      <c r="I95" s="76"/>
      <c r="J95" s="77"/>
      <c r="K95" s="76"/>
      <c r="L95" s="77"/>
      <c r="M95" s="76"/>
      <c r="N95" s="77"/>
      <c r="O95" s="76"/>
      <c r="P95" s="77"/>
      <c r="Q95" s="76"/>
      <c r="R95" s="77"/>
      <c r="S95" s="76"/>
      <c r="T95" s="77"/>
      <c r="U95" s="76"/>
      <c r="V95" s="77"/>
      <c r="W95" s="76"/>
      <c r="X95" s="77"/>
      <c r="Y95" s="76"/>
      <c r="Z95" s="77"/>
      <c r="AA95" s="76"/>
      <c r="AB95" s="77"/>
      <c r="AC95" s="76"/>
      <c r="AD95" s="77"/>
      <c r="AE95" s="76"/>
      <c r="AF95" s="77"/>
      <c r="AK95" s="76"/>
      <c r="AL95" s="77"/>
    </row>
    <row r="96" s="36" customFormat="1" spans="1:32">
      <c r="A96" s="78"/>
      <c r="B96" s="79"/>
      <c r="C96" s="80" t="s">
        <v>201</v>
      </c>
      <c r="D96" s="80" t="s">
        <v>202</v>
      </c>
      <c r="E96" s="80" t="s">
        <v>201</v>
      </c>
      <c r="F96" s="80" t="s">
        <v>202</v>
      </c>
      <c r="G96" s="80" t="s">
        <v>201</v>
      </c>
      <c r="H96" s="80" t="s">
        <v>202</v>
      </c>
      <c r="I96" s="80" t="s">
        <v>201</v>
      </c>
      <c r="J96" s="80" t="s">
        <v>202</v>
      </c>
      <c r="K96" s="80" t="s">
        <v>201</v>
      </c>
      <c r="L96" s="80" t="s">
        <v>202</v>
      </c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</row>
    <row r="97" s="36" customFormat="1" spans="1:38">
      <c r="A97" s="81"/>
      <c r="B97" s="82"/>
      <c r="C97" s="83">
        <v>152523.25</v>
      </c>
      <c r="D97" s="83"/>
      <c r="E97" s="83">
        <v>416836.85</v>
      </c>
      <c r="F97" s="83"/>
      <c r="G97" s="83"/>
      <c r="H97" s="83"/>
      <c r="I97" s="83"/>
      <c r="J97" s="83"/>
      <c r="K97" s="101"/>
      <c r="L97" s="83"/>
      <c r="M97" s="101"/>
      <c r="N97" s="83"/>
      <c r="O97" s="102"/>
      <c r="P97" s="102"/>
      <c r="Q97" s="102"/>
      <c r="R97" s="102"/>
      <c r="S97" s="123"/>
      <c r="T97" s="116"/>
      <c r="U97" s="83"/>
      <c r="V97" s="83"/>
      <c r="W97" s="83"/>
      <c r="X97" s="83"/>
      <c r="Y97" s="101"/>
      <c r="Z97" s="83"/>
      <c r="AA97" s="123"/>
      <c r="AB97" s="116"/>
      <c r="AC97" s="102"/>
      <c r="AD97" s="102"/>
      <c r="AE97" s="83"/>
      <c r="AF97" s="83"/>
      <c r="AK97" s="83"/>
      <c r="AL97" s="101"/>
    </row>
    <row r="98" spans="1:30">
      <c r="A98" s="84" t="s">
        <v>87</v>
      </c>
      <c r="C98" s="85">
        <v>45748</v>
      </c>
      <c r="D98" s="43"/>
      <c r="E98" s="85">
        <v>45778</v>
      </c>
      <c r="F98" s="43"/>
      <c r="G98" s="85"/>
      <c r="H98" s="43"/>
      <c r="I98" s="85"/>
      <c r="J98" s="43"/>
      <c r="K98" s="85"/>
      <c r="L98" s="43"/>
      <c r="M98" s="85"/>
      <c r="N98" s="43"/>
      <c r="O98" s="85"/>
      <c r="P98" s="43"/>
      <c r="Q98" s="85"/>
      <c r="R98" s="43"/>
      <c r="S98" s="85"/>
      <c r="T98" s="43"/>
      <c r="U98" s="85"/>
      <c r="V98" s="43"/>
      <c r="W98" s="85"/>
      <c r="X98" s="43"/>
      <c r="Y98" s="85"/>
      <c r="Z98" s="43"/>
      <c r="AA98" s="85"/>
      <c r="AB98" s="43"/>
      <c r="AC98" s="85"/>
      <c r="AD98" s="43"/>
    </row>
    <row r="99" spans="1:30">
      <c r="A99" s="86"/>
      <c r="C99" s="46" t="s">
        <v>201</v>
      </c>
      <c r="D99" s="46" t="s">
        <v>202</v>
      </c>
      <c r="E99" s="46" t="s">
        <v>201</v>
      </c>
      <c r="F99" s="46" t="s">
        <v>202</v>
      </c>
      <c r="G99" s="46" t="s">
        <v>201</v>
      </c>
      <c r="H99" s="46" t="s">
        <v>202</v>
      </c>
      <c r="I99" s="46" t="s">
        <v>201</v>
      </c>
      <c r="J99" s="46" t="s">
        <v>202</v>
      </c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</row>
    <row r="100" spans="1:30">
      <c r="A100" s="87"/>
      <c r="C100" s="88">
        <v>3200</v>
      </c>
      <c r="D100" s="88"/>
      <c r="E100" s="88">
        <v>154782.42</v>
      </c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</row>
    <row r="101" s="37" customFormat="1" spans="1:18">
      <c r="A101" s="104" t="s">
        <v>89</v>
      </c>
      <c r="B101" s="105"/>
      <c r="C101" s="106">
        <v>45778</v>
      </c>
      <c r="D101" s="107"/>
      <c r="E101" s="106"/>
      <c r="F101" s="107"/>
      <c r="G101" s="106"/>
      <c r="H101" s="107"/>
      <c r="I101" s="106"/>
      <c r="J101" s="107"/>
      <c r="K101" s="106"/>
      <c r="L101" s="107"/>
      <c r="M101" s="106"/>
      <c r="N101" s="107"/>
      <c r="O101" s="106"/>
      <c r="P101" s="107"/>
      <c r="Q101" s="106"/>
      <c r="R101" s="107"/>
    </row>
    <row r="102" s="37" customFormat="1" spans="1:18">
      <c r="A102" s="108"/>
      <c r="B102" s="109"/>
      <c r="C102" s="110" t="s">
        <v>201</v>
      </c>
      <c r="D102" s="110" t="s">
        <v>202</v>
      </c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</row>
    <row r="103" s="37" customFormat="1" spans="1:17">
      <c r="A103" s="111"/>
      <c r="B103" s="112"/>
      <c r="C103" s="113">
        <v>133141.87</v>
      </c>
      <c r="D103" s="113"/>
      <c r="E103" s="113"/>
      <c r="F103" s="113"/>
      <c r="G103" s="114"/>
      <c r="H103" s="114"/>
      <c r="I103" s="114"/>
      <c r="J103" s="114"/>
      <c r="K103" s="114"/>
      <c r="L103" s="114"/>
      <c r="M103" s="114"/>
      <c r="O103" s="114"/>
      <c r="Q103" s="114"/>
    </row>
    <row r="104" s="38" customFormat="1" spans="1:28">
      <c r="A104" s="126" t="s">
        <v>193</v>
      </c>
      <c r="C104" s="127">
        <v>45413</v>
      </c>
      <c r="D104" s="126"/>
      <c r="E104" s="127">
        <v>45444</v>
      </c>
      <c r="F104" s="126"/>
      <c r="G104" s="127">
        <v>45474</v>
      </c>
      <c r="H104" s="126"/>
      <c r="I104" s="127">
        <v>45505</v>
      </c>
      <c r="J104" s="126"/>
      <c r="K104" s="127">
        <v>45536</v>
      </c>
      <c r="L104" s="126"/>
      <c r="M104" s="127">
        <v>45566</v>
      </c>
      <c r="N104" s="126"/>
      <c r="O104" s="127">
        <v>45597</v>
      </c>
      <c r="P104" s="126"/>
      <c r="Q104" s="127">
        <v>45627</v>
      </c>
      <c r="R104" s="126"/>
      <c r="S104" s="127">
        <v>45658</v>
      </c>
      <c r="T104" s="126"/>
      <c r="U104" s="127">
        <v>45689</v>
      </c>
      <c r="V104" s="126"/>
      <c r="W104" s="127">
        <v>45717</v>
      </c>
      <c r="X104" s="126"/>
      <c r="Y104" s="127">
        <v>45748</v>
      </c>
      <c r="Z104" s="126"/>
      <c r="AA104" s="127">
        <v>45778</v>
      </c>
      <c r="AB104" s="126"/>
    </row>
    <row r="105" s="39" customFormat="1" spans="1:28">
      <c r="A105" s="128"/>
      <c r="C105" s="128" t="s">
        <v>201</v>
      </c>
      <c r="D105" s="128" t="s">
        <v>202</v>
      </c>
      <c r="E105" s="128" t="s">
        <v>201</v>
      </c>
      <c r="F105" s="128" t="s">
        <v>202</v>
      </c>
      <c r="G105" s="128" t="s">
        <v>201</v>
      </c>
      <c r="H105" s="128" t="s">
        <v>202</v>
      </c>
      <c r="I105" s="128" t="s">
        <v>201</v>
      </c>
      <c r="J105" s="128" t="s">
        <v>202</v>
      </c>
      <c r="K105" s="128" t="s">
        <v>201</v>
      </c>
      <c r="L105" s="128" t="s">
        <v>202</v>
      </c>
      <c r="M105" s="128" t="s">
        <v>201</v>
      </c>
      <c r="N105" s="128" t="s">
        <v>202</v>
      </c>
      <c r="O105" s="128" t="s">
        <v>201</v>
      </c>
      <c r="P105" s="128" t="s">
        <v>202</v>
      </c>
      <c r="Q105" s="128" t="s">
        <v>201</v>
      </c>
      <c r="R105" s="128" t="s">
        <v>202</v>
      </c>
      <c r="S105" s="128" t="s">
        <v>201</v>
      </c>
      <c r="T105" s="128" t="s">
        <v>202</v>
      </c>
      <c r="U105" s="128" t="s">
        <v>201</v>
      </c>
      <c r="V105" s="128" t="s">
        <v>202</v>
      </c>
      <c r="W105" s="128" t="s">
        <v>201</v>
      </c>
      <c r="X105" s="128" t="s">
        <v>202</v>
      </c>
      <c r="Y105" s="128" t="s">
        <v>201</v>
      </c>
      <c r="Z105" s="128" t="s">
        <v>202</v>
      </c>
      <c r="AA105" s="128" t="s">
        <v>201</v>
      </c>
      <c r="AB105" s="128" t="s">
        <v>202</v>
      </c>
    </row>
    <row r="106" s="39" customFormat="1" spans="1:28">
      <c r="A106" s="128"/>
      <c r="C106" s="129">
        <v>14578.56</v>
      </c>
      <c r="D106" s="130"/>
      <c r="E106" s="129">
        <v>6598</v>
      </c>
      <c r="F106" s="130"/>
      <c r="G106" s="129">
        <v>20305.17</v>
      </c>
      <c r="H106" s="130"/>
      <c r="I106" s="129">
        <v>4371.16</v>
      </c>
      <c r="J106" s="130"/>
      <c r="K106" s="129">
        <v>95166.4</v>
      </c>
      <c r="L106" s="130"/>
      <c r="M106" s="129">
        <v>1333577.01</v>
      </c>
      <c r="N106" s="130"/>
      <c r="O106" s="129">
        <v>775973.49</v>
      </c>
      <c r="P106" s="130"/>
      <c r="Q106" s="129">
        <v>9796238.5</v>
      </c>
      <c r="R106" s="130"/>
      <c r="S106" s="129">
        <v>1684390.7</v>
      </c>
      <c r="T106" s="130"/>
      <c r="U106" s="129">
        <v>1707970.08</v>
      </c>
      <c r="V106" s="130"/>
      <c r="W106" s="129">
        <v>989317.04</v>
      </c>
      <c r="X106" s="130"/>
      <c r="Y106" s="129">
        <v>1292928.05</v>
      </c>
      <c r="Z106" s="130"/>
      <c r="AA106" s="129">
        <v>3836955.93</v>
      </c>
      <c r="AB106" s="130"/>
    </row>
  </sheetData>
  <mergeCells count="613"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N11"/>
    <mergeCell ref="AO11:AP11"/>
    <mergeCell ref="AQ11:AR11"/>
    <mergeCell ref="AS11:AT11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N20"/>
    <mergeCell ref="AO20:AP20"/>
    <mergeCell ref="AQ20:AR20"/>
    <mergeCell ref="AS20:AT20"/>
    <mergeCell ref="AU20:AV20"/>
    <mergeCell ref="AW20:AX20"/>
    <mergeCell ref="AY20:AZ20"/>
    <mergeCell ref="BA20:BB20"/>
    <mergeCell ref="BC20:BD20"/>
    <mergeCell ref="BE20:BF20"/>
    <mergeCell ref="BG20:BH20"/>
    <mergeCell ref="C23:D23"/>
    <mergeCell ref="E23:F23"/>
    <mergeCell ref="G23:H23"/>
    <mergeCell ref="I23:J23"/>
    <mergeCell ref="K23:L23"/>
    <mergeCell ref="M23:N23"/>
    <mergeCell ref="O23:P23"/>
    <mergeCell ref="Q23:R23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N32"/>
    <mergeCell ref="AO32:AP32"/>
    <mergeCell ref="AQ32:AR32"/>
    <mergeCell ref="AS32:AT32"/>
    <mergeCell ref="AU32:AV32"/>
    <mergeCell ref="AW32:AX32"/>
    <mergeCell ref="AY32:AZ32"/>
    <mergeCell ref="BA32:BB32"/>
    <mergeCell ref="BC32:BD32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K35:AL35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AY38:AZ38"/>
    <mergeCell ref="BA38:BB38"/>
    <mergeCell ref="BC38:BD38"/>
    <mergeCell ref="BE38:BF38"/>
    <mergeCell ref="C41:D41"/>
    <mergeCell ref="E41:F41"/>
    <mergeCell ref="G41:H41"/>
    <mergeCell ref="I41:J41"/>
    <mergeCell ref="K41:L41"/>
    <mergeCell ref="M41:N41"/>
    <mergeCell ref="O41:P41"/>
    <mergeCell ref="Q41:R41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K47:AL47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C53:D53"/>
    <mergeCell ref="E53:F53"/>
    <mergeCell ref="G53:H53"/>
    <mergeCell ref="I53:J53"/>
    <mergeCell ref="K53:L53"/>
    <mergeCell ref="M53:N53"/>
    <mergeCell ref="O53:P53"/>
    <mergeCell ref="Q53:R53"/>
    <mergeCell ref="C56:D56"/>
    <mergeCell ref="E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G56:AH56"/>
    <mergeCell ref="AI56:AJ56"/>
    <mergeCell ref="C59:D59"/>
    <mergeCell ref="E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K59:AL59"/>
    <mergeCell ref="C62:D62"/>
    <mergeCell ref="E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C65:D65"/>
    <mergeCell ref="E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C68:D68"/>
    <mergeCell ref="E68:F68"/>
    <mergeCell ref="G68:H68"/>
    <mergeCell ref="I68:J68"/>
    <mergeCell ref="K68:L68"/>
    <mergeCell ref="M68:N68"/>
    <mergeCell ref="O68:P68"/>
    <mergeCell ref="Q68:R68"/>
    <mergeCell ref="S68:T68"/>
    <mergeCell ref="U68:V68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Z71"/>
    <mergeCell ref="AA71:AB71"/>
    <mergeCell ref="AC71:AD71"/>
    <mergeCell ref="AE71:AF71"/>
    <mergeCell ref="AK71:AL71"/>
    <mergeCell ref="C74:D74"/>
    <mergeCell ref="E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Z74"/>
    <mergeCell ref="AA74:AB74"/>
    <mergeCell ref="AC74:AD74"/>
    <mergeCell ref="C77:D77"/>
    <mergeCell ref="E77:F77"/>
    <mergeCell ref="G77:H77"/>
    <mergeCell ref="I77:J77"/>
    <mergeCell ref="K77:L77"/>
    <mergeCell ref="M77:N77"/>
    <mergeCell ref="O77:P77"/>
    <mergeCell ref="Q77:R77"/>
    <mergeCell ref="S77:T77"/>
    <mergeCell ref="U77:V77"/>
    <mergeCell ref="C80:D80"/>
    <mergeCell ref="E80:F80"/>
    <mergeCell ref="G80:H80"/>
    <mergeCell ref="I80:J80"/>
    <mergeCell ref="K80:L80"/>
    <mergeCell ref="M80:N80"/>
    <mergeCell ref="O80:P80"/>
    <mergeCell ref="Q80:R80"/>
    <mergeCell ref="S80:T80"/>
    <mergeCell ref="U80:V80"/>
    <mergeCell ref="C83:D83"/>
    <mergeCell ref="E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Z83"/>
    <mergeCell ref="AA83:AB83"/>
    <mergeCell ref="AC83:AD83"/>
    <mergeCell ref="AE83:AF83"/>
    <mergeCell ref="AK83:AL83"/>
    <mergeCell ref="C86:D86"/>
    <mergeCell ref="E86:F86"/>
    <mergeCell ref="G86:H86"/>
    <mergeCell ref="I86:J86"/>
    <mergeCell ref="K86:L86"/>
    <mergeCell ref="M86:N86"/>
    <mergeCell ref="O86:P86"/>
    <mergeCell ref="Q86:R86"/>
    <mergeCell ref="S86:T86"/>
    <mergeCell ref="U86:V86"/>
    <mergeCell ref="W86:X86"/>
    <mergeCell ref="Y86:Z86"/>
    <mergeCell ref="AA86:AB86"/>
    <mergeCell ref="AC86:AD86"/>
    <mergeCell ref="C89:D89"/>
    <mergeCell ref="E89:F89"/>
    <mergeCell ref="G89:H89"/>
    <mergeCell ref="I89:J89"/>
    <mergeCell ref="K89:L89"/>
    <mergeCell ref="M89:N89"/>
    <mergeCell ref="O89:P89"/>
    <mergeCell ref="Q89:R89"/>
    <mergeCell ref="C92:D92"/>
    <mergeCell ref="E92:F92"/>
    <mergeCell ref="G92:H92"/>
    <mergeCell ref="I92:J92"/>
    <mergeCell ref="K92:L92"/>
    <mergeCell ref="M92:N92"/>
    <mergeCell ref="O92:P92"/>
    <mergeCell ref="Q92:R92"/>
    <mergeCell ref="S92:T92"/>
    <mergeCell ref="U92:V92"/>
    <mergeCell ref="C95:D95"/>
    <mergeCell ref="E95:F95"/>
    <mergeCell ref="G95:H95"/>
    <mergeCell ref="I95:J95"/>
    <mergeCell ref="K95:L95"/>
    <mergeCell ref="M95:N95"/>
    <mergeCell ref="O95:P95"/>
    <mergeCell ref="Q95:R95"/>
    <mergeCell ref="S95:T95"/>
    <mergeCell ref="U95:V95"/>
    <mergeCell ref="W95:X95"/>
    <mergeCell ref="Y95:Z95"/>
    <mergeCell ref="AA95:AB95"/>
    <mergeCell ref="AC95:AD95"/>
    <mergeCell ref="AE95:AF95"/>
    <mergeCell ref="AK95:AL95"/>
    <mergeCell ref="C98:D98"/>
    <mergeCell ref="E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Z98"/>
    <mergeCell ref="AA98:AB98"/>
    <mergeCell ref="AC98:AD98"/>
    <mergeCell ref="C101:D101"/>
    <mergeCell ref="E101:F101"/>
    <mergeCell ref="G101:H101"/>
    <mergeCell ref="I101:J101"/>
    <mergeCell ref="K101:L101"/>
    <mergeCell ref="M101:N101"/>
    <mergeCell ref="O101:P101"/>
    <mergeCell ref="Q101:R101"/>
    <mergeCell ref="C104:D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W104:X104"/>
    <mergeCell ref="Y104:Z104"/>
    <mergeCell ref="AA104:AB104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41:B43"/>
    <mergeCell ref="B44:B46"/>
    <mergeCell ref="B47:B49"/>
    <mergeCell ref="B53:B55"/>
    <mergeCell ref="B56:B58"/>
    <mergeCell ref="B59:B61"/>
    <mergeCell ref="B65:B67"/>
    <mergeCell ref="B68:B70"/>
    <mergeCell ref="B71:B73"/>
    <mergeCell ref="B77:B79"/>
    <mergeCell ref="B80:B82"/>
    <mergeCell ref="B83:B85"/>
    <mergeCell ref="B89:B91"/>
    <mergeCell ref="B92:B94"/>
    <mergeCell ref="B95:B97"/>
    <mergeCell ref="B101:B103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79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C2" sqref="B$1:C$1048576"/>
    </sheetView>
  </sheetViews>
  <sheetFormatPr defaultColWidth="9" defaultRowHeight="13.5"/>
  <cols>
    <col min="1" max="1" width="9.875" style="11" customWidth="1"/>
    <col min="2" max="4" width="14.125" style="12" customWidth="1"/>
    <col min="5" max="5" width="13.125" style="12" customWidth="1"/>
    <col min="6" max="6" width="14.125" style="12" customWidth="1"/>
    <col min="7" max="7" width="15" style="12" customWidth="1"/>
    <col min="8" max="8" width="12.125" style="12" customWidth="1"/>
    <col min="9" max="9" width="15" style="12" customWidth="1"/>
    <col min="10" max="10" width="10.125" style="12" customWidth="1"/>
    <col min="11" max="11" width="13.125" style="12" customWidth="1"/>
    <col min="12" max="12" width="10.125" style="12" customWidth="1"/>
    <col min="13" max="13" width="13.125" style="12" customWidth="1"/>
    <col min="14" max="14" width="12.125" style="12" customWidth="1"/>
    <col min="15" max="16" width="14" style="12" customWidth="1"/>
    <col min="17" max="17" width="15" style="12" customWidth="1"/>
    <col min="18" max="18" width="12.125" style="12" customWidth="1"/>
    <col min="19" max="19" width="15" style="12" customWidth="1"/>
    <col min="20" max="20" width="14.125" style="12" customWidth="1"/>
    <col min="21" max="21" width="13.125" style="12" customWidth="1"/>
    <col min="22" max="22" width="14.125" style="12" customWidth="1"/>
    <col min="23" max="23" width="13.125" style="12" customWidth="1"/>
    <col min="24" max="24" width="12.125" style="12" customWidth="1"/>
    <col min="25" max="25" width="6.875" style="12" customWidth="1"/>
    <col min="26" max="26" width="15" style="12" customWidth="1"/>
    <col min="27" max="27" width="14" style="12" customWidth="1"/>
    <col min="28" max="69" width="14.125" style="12" customWidth="1"/>
    <col min="70" max="70" width="16.125" style="12" customWidth="1"/>
    <col min="71" max="71" width="14.125" style="12" customWidth="1"/>
    <col min="72" max="73" width="9" style="12"/>
    <col min="74" max="74" width="10.5" style="12" customWidth="1"/>
    <col min="75" max="16384" width="9" style="12"/>
  </cols>
  <sheetData>
    <row r="1" s="10" customFormat="1" spans="1:75">
      <c r="A1" s="13" t="s">
        <v>205</v>
      </c>
      <c r="B1" s="14" t="s">
        <v>66</v>
      </c>
      <c r="C1" s="14"/>
      <c r="D1" s="14" t="s">
        <v>77</v>
      </c>
      <c r="E1" s="14"/>
      <c r="F1" s="14" t="s">
        <v>97</v>
      </c>
      <c r="G1" s="14"/>
      <c r="H1" s="14" t="s">
        <v>101</v>
      </c>
      <c r="I1" s="14"/>
      <c r="J1" s="14" t="s">
        <v>108</v>
      </c>
      <c r="K1" s="14"/>
      <c r="L1" s="14" t="s">
        <v>123</v>
      </c>
      <c r="M1" s="14"/>
      <c r="N1" s="14" t="s">
        <v>130</v>
      </c>
      <c r="O1" s="14"/>
      <c r="P1" s="14" t="s">
        <v>136</v>
      </c>
      <c r="Q1" s="14"/>
      <c r="R1" s="24" t="s">
        <v>145</v>
      </c>
      <c r="S1" s="24"/>
      <c r="T1" s="25" t="s">
        <v>154</v>
      </c>
      <c r="U1" s="25"/>
      <c r="V1" s="24" t="s">
        <v>166</v>
      </c>
      <c r="W1" s="24"/>
      <c r="X1" s="26" t="s">
        <v>43</v>
      </c>
      <c r="Y1" s="26"/>
      <c r="Z1" s="24" t="s">
        <v>204</v>
      </c>
      <c r="AA1" s="24"/>
      <c r="AB1" s="25" t="s">
        <v>13</v>
      </c>
      <c r="AC1" s="25"/>
      <c r="AD1" s="24" t="s">
        <v>34</v>
      </c>
      <c r="AE1" s="24"/>
      <c r="AF1" s="26" t="s">
        <v>150</v>
      </c>
      <c r="AG1" s="26"/>
      <c r="AH1" s="24" t="s">
        <v>115</v>
      </c>
      <c r="AI1" s="24"/>
      <c r="AJ1" s="25" t="s">
        <v>162</v>
      </c>
      <c r="AK1" s="25"/>
      <c r="AL1" s="24" t="s">
        <v>177</v>
      </c>
      <c r="AM1" s="24"/>
      <c r="AN1" s="26" t="s">
        <v>183</v>
      </c>
      <c r="AO1" s="26"/>
      <c r="AP1" s="24" t="s">
        <v>170</v>
      </c>
      <c r="AQ1" s="24"/>
      <c r="AR1" s="25" t="s">
        <v>47</v>
      </c>
      <c r="AS1" s="25"/>
      <c r="AT1" s="24" t="s">
        <v>81</v>
      </c>
      <c r="AU1" s="24"/>
      <c r="AV1" s="26" t="s">
        <v>55</v>
      </c>
      <c r="AW1" s="26"/>
      <c r="AX1" s="24" t="s">
        <v>92</v>
      </c>
      <c r="AY1" s="24"/>
      <c r="AZ1" s="25" t="s">
        <v>158</v>
      </c>
      <c r="BA1" s="25"/>
      <c r="BB1" s="24" t="s">
        <v>189</v>
      </c>
      <c r="BC1" s="24"/>
      <c r="BD1" s="26" t="s">
        <v>120</v>
      </c>
      <c r="BE1" s="26"/>
      <c r="BF1" s="24" t="s">
        <v>173</v>
      </c>
      <c r="BG1" s="24"/>
      <c r="BH1" s="25" t="s">
        <v>52</v>
      </c>
      <c r="BI1" s="25"/>
      <c r="BJ1" s="25" t="s">
        <v>89</v>
      </c>
      <c r="BK1" s="25"/>
      <c r="BL1" s="25" t="s">
        <v>85</v>
      </c>
      <c r="BM1" s="25"/>
      <c r="BN1" s="25" t="s">
        <v>59</v>
      </c>
      <c r="BO1" s="25"/>
      <c r="BP1" s="25" t="s">
        <v>87</v>
      </c>
      <c r="BQ1" s="25"/>
      <c r="BR1" s="25" t="s">
        <v>193</v>
      </c>
      <c r="BS1" s="25"/>
      <c r="BT1" s="25" t="s">
        <v>206</v>
      </c>
      <c r="BU1" s="25"/>
      <c r="BV1" s="28" t="s">
        <v>186</v>
      </c>
      <c r="BW1" s="28"/>
    </row>
    <row r="2" s="10" customFormat="1" spans="1:75">
      <c r="A2" s="13"/>
      <c r="B2" s="14" t="s">
        <v>201</v>
      </c>
      <c r="C2" s="14" t="s">
        <v>202</v>
      </c>
      <c r="D2" s="14" t="s">
        <v>201</v>
      </c>
      <c r="E2" s="14" t="s">
        <v>202</v>
      </c>
      <c r="F2" s="15" t="s">
        <v>201</v>
      </c>
      <c r="G2" s="15" t="s">
        <v>202</v>
      </c>
      <c r="H2" s="15" t="s">
        <v>201</v>
      </c>
      <c r="I2" s="15" t="s">
        <v>202</v>
      </c>
      <c r="J2" s="14" t="s">
        <v>201</v>
      </c>
      <c r="K2" s="14" t="s">
        <v>202</v>
      </c>
      <c r="L2" s="14" t="s">
        <v>201</v>
      </c>
      <c r="M2" s="14" t="s">
        <v>202</v>
      </c>
      <c r="N2" s="15" t="s">
        <v>201</v>
      </c>
      <c r="O2" s="15" t="s">
        <v>202</v>
      </c>
      <c r="P2" s="15" t="s">
        <v>201</v>
      </c>
      <c r="Q2" s="15" t="s">
        <v>202</v>
      </c>
      <c r="R2" s="14" t="s">
        <v>201</v>
      </c>
      <c r="S2" s="14" t="s">
        <v>202</v>
      </c>
      <c r="T2" s="14" t="s">
        <v>201</v>
      </c>
      <c r="U2" s="14" t="s">
        <v>202</v>
      </c>
      <c r="V2" s="15" t="s">
        <v>201</v>
      </c>
      <c r="W2" s="15" t="s">
        <v>202</v>
      </c>
      <c r="X2" s="15" t="s">
        <v>201</v>
      </c>
      <c r="Y2" s="15" t="s">
        <v>202</v>
      </c>
      <c r="Z2" s="14" t="s">
        <v>201</v>
      </c>
      <c r="AA2" s="14" t="s">
        <v>202</v>
      </c>
      <c r="AB2" s="14" t="s">
        <v>201</v>
      </c>
      <c r="AC2" s="14" t="s">
        <v>202</v>
      </c>
      <c r="AD2" s="15" t="s">
        <v>201</v>
      </c>
      <c r="AE2" s="15" t="s">
        <v>202</v>
      </c>
      <c r="AF2" s="15" t="s">
        <v>201</v>
      </c>
      <c r="AG2" s="15" t="s">
        <v>202</v>
      </c>
      <c r="AH2" s="14" t="s">
        <v>201</v>
      </c>
      <c r="AI2" s="14" t="s">
        <v>202</v>
      </c>
      <c r="AJ2" s="14" t="s">
        <v>201</v>
      </c>
      <c r="AK2" s="14" t="s">
        <v>202</v>
      </c>
      <c r="AL2" s="15" t="s">
        <v>201</v>
      </c>
      <c r="AM2" s="15" t="s">
        <v>202</v>
      </c>
      <c r="AN2" s="15" t="s">
        <v>201</v>
      </c>
      <c r="AO2" s="15" t="s">
        <v>202</v>
      </c>
      <c r="AP2" s="14" t="s">
        <v>201</v>
      </c>
      <c r="AQ2" s="14" t="s">
        <v>202</v>
      </c>
      <c r="AR2" s="14" t="s">
        <v>201</v>
      </c>
      <c r="AS2" s="14" t="s">
        <v>202</v>
      </c>
      <c r="AT2" s="15" t="s">
        <v>201</v>
      </c>
      <c r="AU2" s="15" t="s">
        <v>202</v>
      </c>
      <c r="AV2" s="15" t="s">
        <v>201</v>
      </c>
      <c r="AW2" s="15" t="s">
        <v>202</v>
      </c>
      <c r="AX2" s="14" t="s">
        <v>201</v>
      </c>
      <c r="AY2" s="14" t="s">
        <v>202</v>
      </c>
      <c r="AZ2" s="14" t="s">
        <v>201</v>
      </c>
      <c r="BA2" s="14" t="s">
        <v>202</v>
      </c>
      <c r="BB2" s="15" t="s">
        <v>201</v>
      </c>
      <c r="BC2" s="15" t="s">
        <v>202</v>
      </c>
      <c r="BD2" s="15" t="s">
        <v>201</v>
      </c>
      <c r="BE2" s="15" t="s">
        <v>202</v>
      </c>
      <c r="BF2" s="14" t="s">
        <v>201</v>
      </c>
      <c r="BG2" s="14" t="s">
        <v>202</v>
      </c>
      <c r="BH2" s="14" t="s">
        <v>201</v>
      </c>
      <c r="BI2" s="14" t="s">
        <v>202</v>
      </c>
      <c r="BJ2" s="14" t="s">
        <v>201</v>
      </c>
      <c r="BK2" s="14" t="s">
        <v>202</v>
      </c>
      <c r="BL2" s="14" t="s">
        <v>201</v>
      </c>
      <c r="BM2" s="14" t="s">
        <v>202</v>
      </c>
      <c r="BN2" s="14" t="s">
        <v>201</v>
      </c>
      <c r="BO2" s="14" t="s">
        <v>202</v>
      </c>
      <c r="BP2" s="14" t="s">
        <v>201</v>
      </c>
      <c r="BQ2" s="14" t="s">
        <v>202</v>
      </c>
      <c r="BR2" s="15" t="s">
        <v>201</v>
      </c>
      <c r="BS2" s="15" t="s">
        <v>202</v>
      </c>
      <c r="BT2" s="28" t="s">
        <v>201</v>
      </c>
      <c r="BU2" s="28" t="s">
        <v>202</v>
      </c>
      <c r="BV2" s="28" t="s">
        <v>201</v>
      </c>
      <c r="BW2" s="28" t="s">
        <v>202</v>
      </c>
    </row>
    <row r="3" spans="1:75">
      <c r="A3" s="16" t="s">
        <v>207</v>
      </c>
      <c r="B3" s="17">
        <v>8830.19</v>
      </c>
      <c r="C3" s="18">
        <v>0</v>
      </c>
      <c r="D3" s="18">
        <v>0</v>
      </c>
      <c r="E3" s="18">
        <v>0</v>
      </c>
      <c r="F3" s="19">
        <v>0</v>
      </c>
      <c r="G3" s="19">
        <v>0</v>
      </c>
      <c r="H3" s="19">
        <v>0</v>
      </c>
      <c r="I3" s="19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0</v>
      </c>
      <c r="AN3" s="18">
        <v>0</v>
      </c>
      <c r="AO3" s="18">
        <v>0</v>
      </c>
      <c r="AP3" s="18">
        <v>0</v>
      </c>
      <c r="AQ3" s="18">
        <v>0</v>
      </c>
      <c r="AR3" s="18">
        <v>0</v>
      </c>
      <c r="AS3" s="18">
        <v>0</v>
      </c>
      <c r="AT3" s="18">
        <v>0</v>
      </c>
      <c r="AU3" s="18">
        <v>0</v>
      </c>
      <c r="AV3" s="18">
        <v>0</v>
      </c>
      <c r="AW3" s="18">
        <v>0</v>
      </c>
      <c r="AX3" s="18">
        <v>0</v>
      </c>
      <c r="AY3" s="18">
        <v>0</v>
      </c>
      <c r="AZ3" s="18">
        <v>0</v>
      </c>
      <c r="BA3" s="18">
        <v>0</v>
      </c>
      <c r="BB3" s="18">
        <v>0</v>
      </c>
      <c r="BC3" s="18">
        <v>0</v>
      </c>
      <c r="BD3" s="18">
        <v>0</v>
      </c>
      <c r="BE3" s="18">
        <v>0</v>
      </c>
      <c r="BF3" s="18">
        <v>0</v>
      </c>
      <c r="BG3" s="18">
        <v>0</v>
      </c>
      <c r="BH3" s="18">
        <v>0</v>
      </c>
      <c r="BI3" s="18">
        <v>0</v>
      </c>
      <c r="BJ3" s="18"/>
      <c r="BK3" s="18"/>
      <c r="BL3" s="18"/>
      <c r="BM3" s="18"/>
      <c r="BN3" s="18"/>
      <c r="BO3" s="18"/>
      <c r="BP3" s="18"/>
      <c r="BQ3" s="18"/>
      <c r="BR3" s="18">
        <v>0</v>
      </c>
      <c r="BS3" s="18">
        <v>0</v>
      </c>
      <c r="BT3" s="29"/>
      <c r="BU3" s="29"/>
      <c r="BV3" s="29"/>
      <c r="BW3" s="29"/>
    </row>
    <row r="4" spans="1:75">
      <c r="A4" s="16" t="s">
        <v>198</v>
      </c>
      <c r="B4" s="17">
        <v>140001.87</v>
      </c>
      <c r="C4" s="18">
        <v>0</v>
      </c>
      <c r="D4" s="18">
        <v>0</v>
      </c>
      <c r="E4" s="18">
        <v>0</v>
      </c>
      <c r="F4" s="19">
        <v>0</v>
      </c>
      <c r="G4" s="19">
        <v>0</v>
      </c>
      <c r="H4" s="19">
        <v>0</v>
      </c>
      <c r="I4" s="19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0</v>
      </c>
      <c r="AE4" s="18">
        <v>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0</v>
      </c>
      <c r="AO4" s="18">
        <v>0</v>
      </c>
      <c r="AP4" s="18">
        <v>0</v>
      </c>
      <c r="AQ4" s="18">
        <v>0</v>
      </c>
      <c r="AR4" s="18">
        <v>0</v>
      </c>
      <c r="AS4" s="18">
        <v>0</v>
      </c>
      <c r="AT4" s="18">
        <v>0</v>
      </c>
      <c r="AU4" s="18">
        <v>0</v>
      </c>
      <c r="AV4" s="18">
        <v>0</v>
      </c>
      <c r="AW4" s="18">
        <v>0</v>
      </c>
      <c r="AX4" s="18">
        <v>0</v>
      </c>
      <c r="AY4" s="18">
        <v>0</v>
      </c>
      <c r="AZ4" s="18">
        <v>0</v>
      </c>
      <c r="BA4" s="18">
        <v>0</v>
      </c>
      <c r="BB4" s="18">
        <v>0</v>
      </c>
      <c r="BC4" s="18">
        <v>0</v>
      </c>
      <c r="BD4" s="18">
        <v>0</v>
      </c>
      <c r="BE4" s="18">
        <v>0</v>
      </c>
      <c r="BF4" s="18">
        <v>0</v>
      </c>
      <c r="BG4" s="18">
        <v>0</v>
      </c>
      <c r="BH4" s="18">
        <v>0</v>
      </c>
      <c r="BI4" s="18">
        <v>0</v>
      </c>
      <c r="BJ4" s="18"/>
      <c r="BK4" s="18"/>
      <c r="BL4" s="18"/>
      <c r="BM4" s="18"/>
      <c r="BN4" s="18"/>
      <c r="BO4" s="18"/>
      <c r="BP4" s="18"/>
      <c r="BQ4" s="18"/>
      <c r="BR4" s="18">
        <v>0</v>
      </c>
      <c r="BS4" s="18">
        <v>0</v>
      </c>
      <c r="BT4" s="29"/>
      <c r="BU4" s="29"/>
      <c r="BV4" s="29"/>
      <c r="BW4" s="29"/>
    </row>
    <row r="5" spans="1:75">
      <c r="A5" s="16" t="s">
        <v>199</v>
      </c>
      <c r="B5" s="17">
        <v>217398.2</v>
      </c>
      <c r="C5" s="18">
        <v>0</v>
      </c>
      <c r="D5" s="18">
        <v>0</v>
      </c>
      <c r="E5" s="18">
        <v>0</v>
      </c>
      <c r="F5" s="19">
        <v>0</v>
      </c>
      <c r="G5" s="19">
        <v>0</v>
      </c>
      <c r="H5" s="19">
        <v>0</v>
      </c>
      <c r="I5" s="19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/>
      <c r="BK5" s="18"/>
      <c r="BL5" s="18"/>
      <c r="BM5" s="18"/>
      <c r="BN5" s="18"/>
      <c r="BO5" s="18"/>
      <c r="BP5" s="18"/>
      <c r="BQ5" s="18"/>
      <c r="BR5" s="18">
        <v>0</v>
      </c>
      <c r="BS5" s="18">
        <v>0</v>
      </c>
      <c r="BT5" s="29"/>
      <c r="BU5" s="29"/>
      <c r="BV5" s="29"/>
      <c r="BW5" s="29"/>
    </row>
    <row r="6" spans="1:75">
      <c r="A6" s="16" t="s">
        <v>200</v>
      </c>
      <c r="B6" s="17">
        <v>445673.25</v>
      </c>
      <c r="C6" s="18">
        <v>0</v>
      </c>
      <c r="D6" s="18">
        <v>0</v>
      </c>
      <c r="E6" s="18">
        <v>0</v>
      </c>
      <c r="F6" s="19">
        <v>0</v>
      </c>
      <c r="G6" s="19">
        <v>0</v>
      </c>
      <c r="H6" s="19">
        <v>0</v>
      </c>
      <c r="I6" s="19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/>
      <c r="BK6" s="18"/>
      <c r="BL6" s="18"/>
      <c r="BM6" s="18"/>
      <c r="BN6" s="18"/>
      <c r="BO6" s="18"/>
      <c r="BP6" s="18"/>
      <c r="BQ6" s="18"/>
      <c r="BR6" s="18">
        <v>0</v>
      </c>
      <c r="BS6" s="18">
        <v>0</v>
      </c>
      <c r="BT6" s="29"/>
      <c r="BU6" s="29"/>
      <c r="BV6" s="29"/>
      <c r="BW6" s="29"/>
    </row>
    <row r="7" spans="1:75">
      <c r="A7" s="16" t="s">
        <v>208</v>
      </c>
      <c r="B7" s="17">
        <v>206019.22</v>
      </c>
      <c r="C7" s="18">
        <v>0</v>
      </c>
      <c r="D7" s="18">
        <v>0</v>
      </c>
      <c r="E7" s="18">
        <v>0</v>
      </c>
      <c r="F7" s="19">
        <v>0</v>
      </c>
      <c r="G7" s="19">
        <v>0</v>
      </c>
      <c r="H7" s="19">
        <v>0</v>
      </c>
      <c r="I7" s="19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/>
      <c r="BK7" s="18"/>
      <c r="BL7" s="18"/>
      <c r="BM7" s="18"/>
      <c r="BN7" s="18"/>
      <c r="BO7" s="18"/>
      <c r="BP7" s="18"/>
      <c r="BQ7" s="18"/>
      <c r="BR7" s="18">
        <v>0</v>
      </c>
      <c r="BS7" s="18">
        <v>0</v>
      </c>
      <c r="BT7" s="29"/>
      <c r="BU7" s="29"/>
      <c r="BV7" s="29"/>
      <c r="BW7" s="29"/>
    </row>
    <row r="8" spans="1:75">
      <c r="A8" s="16" t="s">
        <v>209</v>
      </c>
      <c r="B8" s="17">
        <v>157040.53</v>
      </c>
      <c r="C8" s="18">
        <v>0</v>
      </c>
      <c r="D8" s="18">
        <v>0</v>
      </c>
      <c r="E8" s="18">
        <v>0</v>
      </c>
      <c r="F8" s="19">
        <v>0</v>
      </c>
      <c r="G8" s="19">
        <v>0</v>
      </c>
      <c r="H8" s="19">
        <v>0</v>
      </c>
      <c r="I8" s="19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/>
      <c r="BK8" s="18"/>
      <c r="BL8" s="18"/>
      <c r="BM8" s="18"/>
      <c r="BN8" s="18"/>
      <c r="BO8" s="18"/>
      <c r="BP8" s="18"/>
      <c r="BQ8" s="18"/>
      <c r="BR8" s="18">
        <v>0</v>
      </c>
      <c r="BS8" s="18">
        <v>0</v>
      </c>
      <c r="BT8" s="29"/>
      <c r="BU8" s="29"/>
      <c r="BV8" s="29"/>
      <c r="BW8" s="29"/>
    </row>
    <row r="9" spans="1:75">
      <c r="A9" s="16" t="s">
        <v>210</v>
      </c>
      <c r="B9" s="17">
        <v>48829.42</v>
      </c>
      <c r="C9" s="18">
        <v>0</v>
      </c>
      <c r="D9" s="18">
        <v>0</v>
      </c>
      <c r="E9" s="18">
        <v>0</v>
      </c>
      <c r="F9" s="19">
        <v>0</v>
      </c>
      <c r="G9" s="19">
        <v>0</v>
      </c>
      <c r="H9" s="19">
        <v>0</v>
      </c>
      <c r="I9" s="19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29"/>
      <c r="BU9" s="29"/>
      <c r="BV9" s="29"/>
      <c r="BW9" s="29"/>
    </row>
    <row r="10" spans="1:75">
      <c r="A10" s="16" t="s">
        <v>211</v>
      </c>
      <c r="B10" s="17">
        <v>146177.44</v>
      </c>
      <c r="C10" s="18">
        <v>0</v>
      </c>
      <c r="D10" s="18">
        <v>0</v>
      </c>
      <c r="E10" s="18">
        <v>0</v>
      </c>
      <c r="F10" s="20">
        <v>97593.5</v>
      </c>
      <c r="G10" s="19">
        <v>0</v>
      </c>
      <c r="H10" s="19">
        <v>0</v>
      </c>
      <c r="I10" s="19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29"/>
      <c r="BU10" s="29"/>
      <c r="BV10" s="29"/>
      <c r="BW10" s="29"/>
    </row>
    <row r="11" spans="1:75">
      <c r="A11" s="16" t="s">
        <v>212</v>
      </c>
      <c r="B11" s="17">
        <v>149141.29</v>
      </c>
      <c r="C11" s="18">
        <v>0</v>
      </c>
      <c r="D11" s="18">
        <v>0</v>
      </c>
      <c r="E11" s="18">
        <v>0</v>
      </c>
      <c r="F11" s="20">
        <v>111227.27</v>
      </c>
      <c r="G11" s="19">
        <v>0</v>
      </c>
      <c r="H11" s="19">
        <v>0</v>
      </c>
      <c r="I11" s="19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29"/>
      <c r="BU11" s="29"/>
      <c r="BV11" s="29"/>
      <c r="BW11" s="29"/>
    </row>
    <row r="12" spans="1:75">
      <c r="A12" s="16" t="s">
        <v>213</v>
      </c>
      <c r="B12" s="17">
        <v>146734.04</v>
      </c>
      <c r="C12" s="18">
        <v>0</v>
      </c>
      <c r="D12" s="18">
        <v>0</v>
      </c>
      <c r="E12" s="18">
        <v>0</v>
      </c>
      <c r="F12" s="20">
        <v>102717.02</v>
      </c>
      <c r="G12" s="19">
        <v>0</v>
      </c>
      <c r="H12" s="19">
        <v>0</v>
      </c>
      <c r="I12" s="19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29"/>
      <c r="BU12" s="29"/>
      <c r="BV12" s="29"/>
      <c r="BW12" s="29"/>
    </row>
    <row r="13" spans="1:75">
      <c r="A13" s="16" t="s">
        <v>214</v>
      </c>
      <c r="B13" s="17">
        <v>237000.17</v>
      </c>
      <c r="C13" s="18">
        <v>0</v>
      </c>
      <c r="D13" s="18">
        <v>0</v>
      </c>
      <c r="E13" s="18">
        <v>0</v>
      </c>
      <c r="F13" s="21">
        <v>79971.3</v>
      </c>
      <c r="G13" s="19">
        <v>0</v>
      </c>
      <c r="H13" s="19">
        <v>0</v>
      </c>
      <c r="I13" s="19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29"/>
      <c r="BU13" s="29"/>
      <c r="BV13" s="29"/>
      <c r="BW13" s="29"/>
    </row>
    <row r="14" spans="1:75">
      <c r="A14" s="16" t="s">
        <v>215</v>
      </c>
      <c r="B14" s="17">
        <v>225044.41</v>
      </c>
      <c r="C14" s="18">
        <v>0</v>
      </c>
      <c r="D14" s="18">
        <v>0</v>
      </c>
      <c r="E14" s="18">
        <v>0</v>
      </c>
      <c r="F14" s="21">
        <v>76607.91</v>
      </c>
      <c r="G14" s="19">
        <v>0</v>
      </c>
      <c r="H14" s="19">
        <v>0</v>
      </c>
      <c r="I14" s="19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29"/>
      <c r="BU14" s="29"/>
      <c r="BV14" s="29"/>
      <c r="BW14" s="29"/>
    </row>
    <row r="15" spans="1:75">
      <c r="A15" s="16" t="s">
        <v>216</v>
      </c>
      <c r="B15" s="17">
        <v>285933.54</v>
      </c>
      <c r="C15" s="18">
        <v>0</v>
      </c>
      <c r="D15" s="18">
        <v>0</v>
      </c>
      <c r="E15" s="18">
        <v>0</v>
      </c>
      <c r="F15" s="21">
        <v>119403.79</v>
      </c>
      <c r="G15" s="19">
        <v>0</v>
      </c>
      <c r="H15" s="19">
        <v>0</v>
      </c>
      <c r="I15" s="19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29"/>
      <c r="BU15" s="29"/>
      <c r="BV15" s="29"/>
      <c r="BW15" s="29"/>
    </row>
    <row r="16" spans="1:75">
      <c r="A16" s="16" t="s">
        <v>217</v>
      </c>
      <c r="B16" s="17">
        <v>256327.27</v>
      </c>
      <c r="C16" s="18">
        <v>0</v>
      </c>
      <c r="D16" s="18">
        <v>0</v>
      </c>
      <c r="E16" s="18">
        <v>0</v>
      </c>
      <c r="F16" s="21">
        <v>90082.59</v>
      </c>
      <c r="G16" s="19">
        <v>0</v>
      </c>
      <c r="H16" s="19">
        <v>0</v>
      </c>
      <c r="I16" s="19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29"/>
      <c r="BU16" s="29"/>
      <c r="BV16" s="29"/>
      <c r="BW16" s="29"/>
    </row>
    <row r="17" spans="1:75">
      <c r="A17" s="16" t="s">
        <v>218</v>
      </c>
      <c r="B17" s="17">
        <v>360119.76</v>
      </c>
      <c r="C17" s="17">
        <v>-4132075.47</v>
      </c>
      <c r="D17" s="17">
        <v>24600</v>
      </c>
      <c r="E17" s="18">
        <v>0</v>
      </c>
      <c r="F17" s="22">
        <v>106411.65</v>
      </c>
      <c r="G17" s="20">
        <v>-1464618.41</v>
      </c>
      <c r="H17" s="19">
        <v>0</v>
      </c>
      <c r="I17" s="19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29"/>
      <c r="BU17" s="29"/>
      <c r="BV17" s="29"/>
      <c r="BW17" s="29"/>
    </row>
    <row r="18" spans="1:75">
      <c r="A18" s="16" t="s">
        <v>219</v>
      </c>
      <c r="B18" s="17">
        <v>6007320.14</v>
      </c>
      <c r="C18" s="17">
        <v>-1101804.87</v>
      </c>
      <c r="D18" s="17">
        <v>1581260.93</v>
      </c>
      <c r="E18" s="17">
        <v>-1605860.93</v>
      </c>
      <c r="F18" s="21">
        <f>618600.17+680603.38</f>
        <v>1299203.55</v>
      </c>
      <c r="G18" s="19">
        <v>0</v>
      </c>
      <c r="H18" s="19">
        <v>0</v>
      </c>
      <c r="I18" s="19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29"/>
      <c r="BU18" s="29"/>
      <c r="BV18" s="29"/>
      <c r="BW18" s="29"/>
    </row>
    <row r="19" spans="1:75">
      <c r="A19" s="16" t="s">
        <v>220</v>
      </c>
      <c r="B19" s="17">
        <v>393670.66</v>
      </c>
      <c r="C19" s="17">
        <v>-5306928.68</v>
      </c>
      <c r="D19" s="17">
        <v>16839.78</v>
      </c>
      <c r="E19" s="18">
        <v>0</v>
      </c>
      <c r="F19" s="19">
        <v>0</v>
      </c>
      <c r="G19" s="19">
        <v>0</v>
      </c>
      <c r="H19" s="19">
        <v>0</v>
      </c>
      <c r="I19" s="19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29"/>
      <c r="BU19" s="29"/>
      <c r="BV19" s="29"/>
      <c r="BW19" s="29"/>
    </row>
    <row r="20" spans="1:75">
      <c r="A20" s="16" t="s">
        <v>221</v>
      </c>
      <c r="B20" s="17">
        <v>379634.51</v>
      </c>
      <c r="C20" s="18">
        <v>0</v>
      </c>
      <c r="D20" s="17">
        <v>36596.86</v>
      </c>
      <c r="E20" s="18">
        <v>0</v>
      </c>
      <c r="F20" s="20">
        <v>1942.29</v>
      </c>
      <c r="G20" s="19">
        <v>0</v>
      </c>
      <c r="H20" s="19">
        <v>0</v>
      </c>
      <c r="I20" s="19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29"/>
      <c r="BU20" s="29"/>
      <c r="BV20" s="29"/>
      <c r="BW20" s="29"/>
    </row>
    <row r="21" spans="1:75">
      <c r="A21" s="16" t="s">
        <v>222</v>
      </c>
      <c r="B21" s="17">
        <v>608186.64</v>
      </c>
      <c r="C21" s="18">
        <v>0</v>
      </c>
      <c r="D21" s="17">
        <v>45235.92</v>
      </c>
      <c r="E21" s="18">
        <v>0</v>
      </c>
      <c r="F21" s="19">
        <v>0</v>
      </c>
      <c r="G21" s="19">
        <v>0</v>
      </c>
      <c r="H21" s="19">
        <v>0</v>
      </c>
      <c r="I21" s="19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29"/>
      <c r="BU21" s="29"/>
      <c r="BV21" s="29"/>
      <c r="BW21" s="29"/>
    </row>
    <row r="22" spans="1:75">
      <c r="A22" s="16" t="s">
        <v>223</v>
      </c>
      <c r="B22" s="17">
        <v>653620.97</v>
      </c>
      <c r="C22" s="18">
        <v>0</v>
      </c>
      <c r="D22" s="17">
        <v>40194.99</v>
      </c>
      <c r="E22" s="18">
        <v>0</v>
      </c>
      <c r="F22" s="19">
        <v>0</v>
      </c>
      <c r="G22" s="19">
        <v>0</v>
      </c>
      <c r="H22" s="19">
        <v>72284.46</v>
      </c>
      <c r="I22" s="19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29"/>
      <c r="BU22" s="29"/>
      <c r="BV22" s="29"/>
      <c r="BW22" s="29"/>
    </row>
    <row r="23" spans="1:75">
      <c r="A23" s="16" t="s">
        <v>224</v>
      </c>
      <c r="B23" s="17">
        <v>494855.16</v>
      </c>
      <c r="C23" s="18">
        <v>0</v>
      </c>
      <c r="D23" s="17">
        <v>13761.46</v>
      </c>
      <c r="E23" s="18">
        <v>0</v>
      </c>
      <c r="F23" s="19">
        <v>23992.17</v>
      </c>
      <c r="G23" s="19">
        <v>0</v>
      </c>
      <c r="H23" s="19">
        <v>46712.64</v>
      </c>
      <c r="I23" s="19">
        <v>0</v>
      </c>
      <c r="J23" s="18">
        <v>0</v>
      </c>
      <c r="K23" s="18">
        <v>0</v>
      </c>
      <c r="L23" s="18">
        <v>0</v>
      </c>
      <c r="M23" s="18">
        <v>0</v>
      </c>
      <c r="N23" s="17">
        <v>133791.29</v>
      </c>
      <c r="O23" s="17">
        <v>-35955.19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29"/>
      <c r="BU23" s="29"/>
      <c r="BV23" s="29"/>
      <c r="BW23" s="29"/>
    </row>
    <row r="24" spans="1:75">
      <c r="A24" s="16" t="s">
        <v>225</v>
      </c>
      <c r="B24" s="17">
        <v>445559.37</v>
      </c>
      <c r="C24" s="18">
        <v>0</v>
      </c>
      <c r="D24" s="17">
        <v>23321.59</v>
      </c>
      <c r="E24" s="18">
        <v>0</v>
      </c>
      <c r="F24" s="19"/>
      <c r="G24" s="19">
        <v>0</v>
      </c>
      <c r="H24" s="19">
        <v>52374.38</v>
      </c>
      <c r="I24" s="19">
        <v>0</v>
      </c>
      <c r="J24" s="18">
        <v>0</v>
      </c>
      <c r="K24" s="18">
        <v>0</v>
      </c>
      <c r="L24" s="18">
        <v>0</v>
      </c>
      <c r="M24" s="18">
        <v>0</v>
      </c>
      <c r="N24" s="17">
        <v>174980.17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29"/>
      <c r="BU24" s="29"/>
      <c r="BV24" s="29"/>
      <c r="BW24" s="29"/>
    </row>
    <row r="25" spans="1:75">
      <c r="A25" s="16" t="s">
        <v>226</v>
      </c>
      <c r="B25" s="17">
        <v>429574.77</v>
      </c>
      <c r="C25" s="18">
        <v>0</v>
      </c>
      <c r="D25" s="17">
        <v>23521.96</v>
      </c>
      <c r="E25" s="18">
        <v>0</v>
      </c>
      <c r="F25" s="19">
        <v>0</v>
      </c>
      <c r="G25" s="19">
        <v>-644534.63</v>
      </c>
      <c r="H25" s="19">
        <v>53105.62</v>
      </c>
      <c r="I25" s="19">
        <v>0</v>
      </c>
      <c r="J25" s="18">
        <v>0</v>
      </c>
      <c r="K25" s="18">
        <v>0</v>
      </c>
      <c r="L25" s="18">
        <v>0</v>
      </c>
      <c r="M25" s="18">
        <v>0</v>
      </c>
      <c r="N25" s="17">
        <v>155226.22</v>
      </c>
      <c r="O25" s="17">
        <v>-422641.51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29"/>
      <c r="BU25" s="29"/>
      <c r="BV25" s="29"/>
      <c r="BW25" s="29"/>
    </row>
    <row r="26" spans="1:75">
      <c r="A26" s="16" t="s">
        <v>227</v>
      </c>
      <c r="B26" s="17">
        <v>358984.13</v>
      </c>
      <c r="C26" s="18">
        <v>0</v>
      </c>
      <c r="D26" s="17">
        <v>52051.48</v>
      </c>
      <c r="E26" s="18">
        <v>0</v>
      </c>
      <c r="F26" s="19">
        <v>0</v>
      </c>
      <c r="G26" s="19">
        <v>0</v>
      </c>
      <c r="H26" s="19">
        <v>42152.76</v>
      </c>
      <c r="I26" s="19">
        <v>0</v>
      </c>
      <c r="J26" s="18">
        <v>0</v>
      </c>
      <c r="K26" s="18">
        <v>0</v>
      </c>
      <c r="L26" s="18">
        <v>0</v>
      </c>
      <c r="M26" s="18">
        <v>0</v>
      </c>
      <c r="N26" s="17">
        <v>204021.2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29"/>
      <c r="BU26" s="29"/>
      <c r="BV26" s="29"/>
      <c r="BW26" s="29"/>
    </row>
    <row r="27" spans="1:75">
      <c r="A27" s="16" t="s">
        <v>228</v>
      </c>
      <c r="B27" s="17">
        <v>380656.81</v>
      </c>
      <c r="C27" s="18">
        <v>0</v>
      </c>
      <c r="D27" s="17">
        <v>158820.2</v>
      </c>
      <c r="E27" s="18">
        <v>0</v>
      </c>
      <c r="F27" s="19">
        <v>0</v>
      </c>
      <c r="G27" s="19">
        <v>0</v>
      </c>
      <c r="H27" s="19">
        <v>33985.74</v>
      </c>
      <c r="I27" s="19">
        <v>-266629.86</v>
      </c>
      <c r="J27" s="18">
        <v>0</v>
      </c>
      <c r="K27" s="18">
        <v>0</v>
      </c>
      <c r="L27" s="18">
        <v>0</v>
      </c>
      <c r="M27" s="18">
        <v>0</v>
      </c>
      <c r="N27" s="17">
        <v>238374.77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29"/>
      <c r="BU27" s="29"/>
      <c r="BV27" s="29"/>
      <c r="BW27" s="29"/>
    </row>
    <row r="28" spans="1:75">
      <c r="A28" s="16" t="s">
        <v>229</v>
      </c>
      <c r="B28" s="17">
        <v>429842.76</v>
      </c>
      <c r="C28" s="18">
        <v>0</v>
      </c>
      <c r="D28" s="17">
        <v>39635.45</v>
      </c>
      <c r="E28" s="17">
        <v>-449979.69</v>
      </c>
      <c r="F28" s="19">
        <v>0</v>
      </c>
      <c r="G28" s="19">
        <v>0</v>
      </c>
      <c r="H28" s="19">
        <v>0</v>
      </c>
      <c r="I28" s="19">
        <v>0</v>
      </c>
      <c r="J28" s="18">
        <v>0</v>
      </c>
      <c r="K28" s="18">
        <v>0</v>
      </c>
      <c r="L28" s="18">
        <v>0</v>
      </c>
      <c r="M28" s="18">
        <v>0</v>
      </c>
      <c r="N28" s="17">
        <v>261689.81</v>
      </c>
      <c r="O28" s="17">
        <v>-382400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29"/>
      <c r="BU28" s="29"/>
      <c r="BV28" s="29"/>
      <c r="BW28" s="29"/>
    </row>
    <row r="29" spans="1:75">
      <c r="A29" s="16" t="s">
        <v>230</v>
      </c>
      <c r="B29" s="17">
        <v>294809.22</v>
      </c>
      <c r="C29" s="18">
        <v>0</v>
      </c>
      <c r="D29" s="17">
        <v>104489.95</v>
      </c>
      <c r="E29" s="18">
        <v>0</v>
      </c>
      <c r="F29" s="19">
        <v>0</v>
      </c>
      <c r="G29" s="19">
        <v>0</v>
      </c>
      <c r="H29" s="19">
        <v>0</v>
      </c>
      <c r="I29" s="19">
        <v>0</v>
      </c>
      <c r="J29" s="18">
        <v>0</v>
      </c>
      <c r="K29" s="18">
        <v>0</v>
      </c>
      <c r="L29" s="18">
        <v>0</v>
      </c>
      <c r="M29" s="18">
        <v>0</v>
      </c>
      <c r="N29" s="17">
        <v>290249.18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29"/>
      <c r="BU29" s="29"/>
      <c r="BV29" s="29"/>
      <c r="BW29" s="29"/>
    </row>
    <row r="30" spans="1:75">
      <c r="A30" s="16" t="s">
        <v>231</v>
      </c>
      <c r="B30" s="17">
        <v>6269872.4</v>
      </c>
      <c r="C30" s="17">
        <v>-9341799.22</v>
      </c>
      <c r="D30" s="17">
        <v>467184.62</v>
      </c>
      <c r="E30" s="18">
        <v>0</v>
      </c>
      <c r="F30" s="19">
        <v>0</v>
      </c>
      <c r="G30" s="19">
        <v>0</v>
      </c>
      <c r="H30" s="19">
        <v>0</v>
      </c>
      <c r="I30" s="19">
        <v>0</v>
      </c>
      <c r="J30" s="18">
        <v>0</v>
      </c>
      <c r="K30" s="18">
        <v>0</v>
      </c>
      <c r="L30" s="18">
        <v>0</v>
      </c>
      <c r="M30" s="18">
        <v>0</v>
      </c>
      <c r="N30" s="17">
        <v>5147193.72</v>
      </c>
      <c r="O30" s="17">
        <v>-4383879.62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29"/>
      <c r="BU30" s="29"/>
      <c r="BV30" s="29"/>
      <c r="BW30" s="29"/>
    </row>
    <row r="31" spans="1:75">
      <c r="A31" s="16" t="s">
        <v>232</v>
      </c>
      <c r="B31" s="17">
        <v>259895.35</v>
      </c>
      <c r="C31" s="18">
        <v>0</v>
      </c>
      <c r="D31" s="17">
        <v>76573.28</v>
      </c>
      <c r="E31" s="18">
        <v>0</v>
      </c>
      <c r="F31" s="19">
        <v>0</v>
      </c>
      <c r="G31" s="19">
        <v>0</v>
      </c>
      <c r="H31" s="19">
        <v>26841.01</v>
      </c>
      <c r="I31" s="19">
        <v>0</v>
      </c>
      <c r="J31" s="18">
        <v>0</v>
      </c>
      <c r="K31" s="18">
        <v>0</v>
      </c>
      <c r="L31" s="18">
        <v>0</v>
      </c>
      <c r="M31" s="18">
        <v>0</v>
      </c>
      <c r="N31" s="17">
        <v>217023.88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29"/>
      <c r="BU31" s="29"/>
      <c r="BV31" s="29"/>
      <c r="BW31" s="29"/>
    </row>
    <row r="32" spans="1:75">
      <c r="A32" s="16" t="s">
        <v>233</v>
      </c>
      <c r="B32" s="17">
        <v>270284.28</v>
      </c>
      <c r="C32" s="18">
        <v>0</v>
      </c>
      <c r="D32" s="17">
        <v>93736.59</v>
      </c>
      <c r="E32" s="18">
        <v>0</v>
      </c>
      <c r="F32" s="19">
        <v>0</v>
      </c>
      <c r="G32" s="19">
        <v>0</v>
      </c>
      <c r="H32" s="19">
        <v>26658.89</v>
      </c>
      <c r="I32" s="19">
        <v>0</v>
      </c>
      <c r="J32" s="18">
        <v>0</v>
      </c>
      <c r="K32" s="18">
        <v>0</v>
      </c>
      <c r="L32" s="18">
        <v>0</v>
      </c>
      <c r="M32" s="18">
        <v>0</v>
      </c>
      <c r="N32" s="17">
        <v>298266.36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29"/>
      <c r="BU32" s="29"/>
      <c r="BV32" s="29"/>
      <c r="BW32" s="29"/>
    </row>
    <row r="33" spans="1:75">
      <c r="A33" s="16" t="s">
        <v>234</v>
      </c>
      <c r="B33" s="17">
        <v>254891.62</v>
      </c>
      <c r="C33" s="18">
        <v>0</v>
      </c>
      <c r="D33" s="17">
        <v>81793.55</v>
      </c>
      <c r="E33" s="18">
        <v>0</v>
      </c>
      <c r="F33" s="19">
        <v>0</v>
      </c>
      <c r="G33" s="19">
        <v>0</v>
      </c>
      <c r="H33" s="19">
        <v>16969.58</v>
      </c>
      <c r="I33" s="19">
        <v>0</v>
      </c>
      <c r="J33" s="17">
        <v>28195.51</v>
      </c>
      <c r="K33" s="18">
        <v>0</v>
      </c>
      <c r="L33" s="18">
        <v>0</v>
      </c>
      <c r="M33" s="18">
        <v>0</v>
      </c>
      <c r="N33" s="17">
        <v>336889.44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29"/>
      <c r="BU33" s="29"/>
      <c r="BV33" s="29"/>
      <c r="BW33" s="29"/>
    </row>
    <row r="34" spans="1:75">
      <c r="A34" s="16" t="s">
        <v>235</v>
      </c>
      <c r="B34" s="17">
        <v>281870.01</v>
      </c>
      <c r="C34" s="18">
        <v>0</v>
      </c>
      <c r="D34" s="17">
        <v>102009.93</v>
      </c>
      <c r="E34" s="18">
        <v>0</v>
      </c>
      <c r="F34" s="19">
        <v>0</v>
      </c>
      <c r="G34" s="19">
        <v>0</v>
      </c>
      <c r="H34" s="19">
        <v>362172.94</v>
      </c>
      <c r="I34" s="19">
        <v>0</v>
      </c>
      <c r="J34" s="17">
        <v>159706.87</v>
      </c>
      <c r="K34" s="18">
        <v>0</v>
      </c>
      <c r="L34" s="18">
        <v>0</v>
      </c>
      <c r="M34" s="18">
        <v>0</v>
      </c>
      <c r="N34" s="17">
        <v>706472.8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29"/>
      <c r="BU34" s="29"/>
      <c r="BV34" s="29"/>
      <c r="BW34" s="29"/>
    </row>
    <row r="35" spans="1:75">
      <c r="A35" s="16" t="s">
        <v>236</v>
      </c>
      <c r="B35" s="17">
        <v>364592.07</v>
      </c>
      <c r="C35" s="18">
        <v>0</v>
      </c>
      <c r="D35" s="17">
        <v>56464.31</v>
      </c>
      <c r="E35" s="18">
        <v>0</v>
      </c>
      <c r="F35" s="19">
        <v>0</v>
      </c>
      <c r="G35" s="19">
        <v>0</v>
      </c>
      <c r="H35" s="19">
        <v>0</v>
      </c>
      <c r="I35" s="19">
        <v>0</v>
      </c>
      <c r="J35" s="17">
        <v>282323.93</v>
      </c>
      <c r="K35" s="18">
        <v>0</v>
      </c>
      <c r="L35" s="18">
        <v>0</v>
      </c>
      <c r="M35" s="18">
        <v>0</v>
      </c>
      <c r="N35" s="17">
        <v>268281.07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29"/>
      <c r="BU35" s="29"/>
      <c r="BV35" s="29"/>
      <c r="BW35" s="29"/>
    </row>
    <row r="36" spans="1:75">
      <c r="A36" s="16" t="s">
        <v>237</v>
      </c>
      <c r="B36" s="17">
        <v>360035.17</v>
      </c>
      <c r="C36" s="18">
        <v>0</v>
      </c>
      <c r="D36" s="17">
        <v>89990.78</v>
      </c>
      <c r="E36" s="18">
        <v>0</v>
      </c>
      <c r="F36" s="19">
        <v>0</v>
      </c>
      <c r="G36" s="19">
        <v>0</v>
      </c>
      <c r="H36" s="19">
        <v>0</v>
      </c>
      <c r="I36" s="19">
        <v>-466628.16</v>
      </c>
      <c r="J36" s="17">
        <v>17064</v>
      </c>
      <c r="K36" s="18">
        <v>0</v>
      </c>
      <c r="L36" s="17">
        <v>101793.49</v>
      </c>
      <c r="M36" s="18">
        <v>0</v>
      </c>
      <c r="N36" s="17">
        <v>210841.13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29"/>
      <c r="BU36" s="29"/>
      <c r="BV36" s="29"/>
      <c r="BW36" s="29"/>
    </row>
    <row r="37" spans="1:75">
      <c r="A37" s="16" t="s">
        <v>238</v>
      </c>
      <c r="B37" s="17">
        <v>615164.48</v>
      </c>
      <c r="C37" s="18">
        <v>0</v>
      </c>
      <c r="D37" s="17">
        <v>156264.63</v>
      </c>
      <c r="E37" s="18">
        <v>0</v>
      </c>
      <c r="F37" s="19">
        <v>0</v>
      </c>
      <c r="G37" s="19">
        <v>0</v>
      </c>
      <c r="H37" s="19">
        <v>0</v>
      </c>
      <c r="I37" s="19">
        <v>0</v>
      </c>
      <c r="J37" s="17">
        <v>169025.65</v>
      </c>
      <c r="K37" s="17">
        <v>-471698.11</v>
      </c>
      <c r="L37" s="17">
        <v>180835.07</v>
      </c>
      <c r="M37" s="18">
        <v>0</v>
      </c>
      <c r="N37" s="17">
        <v>213170.29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29"/>
      <c r="BU37" s="29"/>
      <c r="BV37" s="29"/>
      <c r="BW37" s="29"/>
    </row>
    <row r="38" spans="1:75">
      <c r="A38" s="16" t="s">
        <v>239</v>
      </c>
      <c r="B38" s="17">
        <v>612234.16</v>
      </c>
      <c r="C38" s="18">
        <v>0</v>
      </c>
      <c r="D38" s="17">
        <v>241297.71</v>
      </c>
      <c r="E38" s="18">
        <v>0</v>
      </c>
      <c r="F38" s="19">
        <v>0</v>
      </c>
      <c r="G38" s="19">
        <v>0</v>
      </c>
      <c r="H38" s="19">
        <v>0</v>
      </c>
      <c r="I38" s="19">
        <v>0</v>
      </c>
      <c r="J38" s="17">
        <v>346538.78</v>
      </c>
      <c r="K38" s="23"/>
      <c r="L38" s="17">
        <v>618842.26</v>
      </c>
      <c r="M38" s="18">
        <v>0</v>
      </c>
      <c r="N38" s="17">
        <v>283849.74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29"/>
      <c r="BU38" s="29"/>
      <c r="BV38" s="29"/>
      <c r="BW38" s="29"/>
    </row>
    <row r="39" spans="1:75">
      <c r="A39" s="16" t="s">
        <v>240</v>
      </c>
      <c r="B39" s="17">
        <v>1286734.09</v>
      </c>
      <c r="C39" s="18">
        <v>0</v>
      </c>
      <c r="D39" s="17">
        <v>9131.64</v>
      </c>
      <c r="E39" s="18">
        <v>0</v>
      </c>
      <c r="F39" s="19">
        <v>0</v>
      </c>
      <c r="G39" s="19">
        <v>0</v>
      </c>
      <c r="H39" s="19">
        <v>0</v>
      </c>
      <c r="I39" s="19">
        <v>0</v>
      </c>
      <c r="J39" s="17">
        <v>791793.94</v>
      </c>
      <c r="K39" s="17">
        <v>-1311320.75</v>
      </c>
      <c r="L39" s="23">
        <v>34.76</v>
      </c>
      <c r="M39" s="18">
        <v>0</v>
      </c>
      <c r="N39" s="17">
        <v>69600.18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29"/>
      <c r="BU39" s="29"/>
      <c r="BV39" s="29"/>
      <c r="BW39" s="29"/>
    </row>
    <row r="40" spans="1:75">
      <c r="A40" s="16" t="s">
        <v>241</v>
      </c>
      <c r="B40" s="17">
        <v>486290.4</v>
      </c>
      <c r="C40" s="18">
        <v>0</v>
      </c>
      <c r="D40" s="17">
        <v>10519.35</v>
      </c>
      <c r="E40" s="18">
        <v>0</v>
      </c>
      <c r="F40" s="19">
        <v>0</v>
      </c>
      <c r="G40" s="19">
        <v>0</v>
      </c>
      <c r="H40" s="19">
        <v>37126.56</v>
      </c>
      <c r="I40" s="19">
        <v>0</v>
      </c>
      <c r="J40" s="17">
        <v>837498.12</v>
      </c>
      <c r="K40" s="18">
        <v>0</v>
      </c>
      <c r="L40" s="18">
        <v>0</v>
      </c>
      <c r="M40" s="18">
        <v>0</v>
      </c>
      <c r="N40" s="17">
        <v>130644.89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29"/>
      <c r="BU40" s="29"/>
      <c r="BV40" s="29"/>
      <c r="BW40" s="29"/>
    </row>
    <row r="41" spans="1:75">
      <c r="A41" s="16" t="s">
        <v>242</v>
      </c>
      <c r="B41" s="17">
        <v>201280.36</v>
      </c>
      <c r="C41" s="18">
        <v>0</v>
      </c>
      <c r="D41" s="17">
        <v>32845.39</v>
      </c>
      <c r="E41" s="18">
        <v>0</v>
      </c>
      <c r="F41" s="19">
        <v>0</v>
      </c>
      <c r="G41" s="19">
        <v>0</v>
      </c>
      <c r="H41" s="19">
        <v>31938.34</v>
      </c>
      <c r="I41" s="19">
        <v>0</v>
      </c>
      <c r="J41" s="17">
        <v>343420.09</v>
      </c>
      <c r="K41" s="18">
        <v>0</v>
      </c>
      <c r="L41" s="17">
        <v>26325</v>
      </c>
      <c r="M41" s="18">
        <v>0</v>
      </c>
      <c r="N41" s="17">
        <v>290409.03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29"/>
      <c r="BU41" s="29"/>
      <c r="BV41" s="29"/>
      <c r="BW41" s="29"/>
    </row>
    <row r="42" spans="1:75">
      <c r="A42" s="16" t="s">
        <v>243</v>
      </c>
      <c r="B42" s="17">
        <v>3351222.89</v>
      </c>
      <c r="C42" s="17">
        <v>-8105660.38</v>
      </c>
      <c r="D42" s="17">
        <v>4386660.6</v>
      </c>
      <c r="E42" s="18">
        <v>0</v>
      </c>
      <c r="F42" s="19">
        <v>0</v>
      </c>
      <c r="G42" s="19">
        <v>0</v>
      </c>
      <c r="H42" s="19">
        <v>0</v>
      </c>
      <c r="I42" s="19">
        <v>0</v>
      </c>
      <c r="J42" s="17">
        <v>13339.62</v>
      </c>
      <c r="K42" s="17">
        <v>-1205887.65</v>
      </c>
      <c r="L42" s="18">
        <v>0</v>
      </c>
      <c r="M42" s="17">
        <v>-927830.58</v>
      </c>
      <c r="N42" s="17">
        <v>4126308.31</v>
      </c>
      <c r="O42" s="17">
        <v>-9454490.76</v>
      </c>
      <c r="P42" s="20">
        <v>577964.82</v>
      </c>
      <c r="Q42" s="21">
        <v>-577964.82</v>
      </c>
      <c r="R42" s="19">
        <v>285294.92</v>
      </c>
      <c r="S42" s="17">
        <v>-285294.92</v>
      </c>
      <c r="T42" s="18">
        <v>0</v>
      </c>
      <c r="U42" s="18">
        <v>0</v>
      </c>
      <c r="V42" s="17">
        <v>16766.73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29"/>
      <c r="BU42" s="29"/>
      <c r="BV42" s="29"/>
      <c r="BW42" s="29"/>
    </row>
    <row r="43" spans="1:75">
      <c r="A43" s="16" t="s">
        <v>244</v>
      </c>
      <c r="B43" s="17">
        <v>268990.59</v>
      </c>
      <c r="C43" s="18">
        <v>0</v>
      </c>
      <c r="D43" s="17">
        <v>32578.82</v>
      </c>
      <c r="E43" s="18">
        <v>0</v>
      </c>
      <c r="F43" s="19">
        <v>0</v>
      </c>
      <c r="G43" s="19">
        <v>0</v>
      </c>
      <c r="H43" s="19">
        <v>13386.86</v>
      </c>
      <c r="I43" s="19">
        <v>0</v>
      </c>
      <c r="J43" s="17">
        <v>4896.85</v>
      </c>
      <c r="K43" s="18">
        <v>0</v>
      </c>
      <c r="L43" s="18">
        <v>0</v>
      </c>
      <c r="M43" s="18">
        <v>0</v>
      </c>
      <c r="N43" s="17">
        <v>991639.05</v>
      </c>
      <c r="O43" s="18">
        <v>0</v>
      </c>
      <c r="P43" s="20">
        <v>445447.81</v>
      </c>
      <c r="Q43" s="18">
        <v>0</v>
      </c>
      <c r="R43" s="19">
        <v>183994.3</v>
      </c>
      <c r="S43" s="18">
        <v>0</v>
      </c>
      <c r="T43" s="17">
        <v>51993.51</v>
      </c>
      <c r="U43" s="18">
        <v>0</v>
      </c>
      <c r="V43" s="17">
        <v>60270.37</v>
      </c>
      <c r="W43" s="18">
        <v>0</v>
      </c>
      <c r="X43" s="18">
        <v>0</v>
      </c>
      <c r="Y43" s="18">
        <v>0</v>
      </c>
      <c r="Z43" s="17">
        <v>1794209.28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29"/>
      <c r="BU43" s="29"/>
      <c r="BV43" s="29"/>
      <c r="BW43" s="29"/>
    </row>
    <row r="44" spans="1:75">
      <c r="A44" s="16" t="s">
        <v>245</v>
      </c>
      <c r="B44" s="17">
        <v>256278.05</v>
      </c>
      <c r="C44" s="18">
        <v>0</v>
      </c>
      <c r="D44" s="17">
        <v>37965.19</v>
      </c>
      <c r="E44" s="18">
        <v>0</v>
      </c>
      <c r="F44" s="19">
        <v>0</v>
      </c>
      <c r="G44" s="19">
        <v>0</v>
      </c>
      <c r="H44" s="19">
        <v>0</v>
      </c>
      <c r="I44" s="19">
        <v>0</v>
      </c>
      <c r="J44" s="17">
        <v>5334.1</v>
      </c>
      <c r="K44" s="18">
        <v>0</v>
      </c>
      <c r="L44" s="17">
        <v>140736.75</v>
      </c>
      <c r="M44" s="18">
        <v>0</v>
      </c>
      <c r="N44" s="17">
        <v>1272155.54</v>
      </c>
      <c r="O44" s="18">
        <v>0</v>
      </c>
      <c r="P44" s="20">
        <v>532715.94</v>
      </c>
      <c r="Q44" s="18">
        <v>0</v>
      </c>
      <c r="R44" s="19">
        <v>258455.35</v>
      </c>
      <c r="S44" s="18">
        <v>0</v>
      </c>
      <c r="T44" s="17">
        <v>49610.81</v>
      </c>
      <c r="U44" s="18">
        <v>0</v>
      </c>
      <c r="V44" s="17">
        <v>87835.98</v>
      </c>
      <c r="W44" s="18">
        <v>0</v>
      </c>
      <c r="X44" s="18">
        <v>0</v>
      </c>
      <c r="Y44" s="18">
        <v>0</v>
      </c>
      <c r="Z44" s="17">
        <v>1296321.55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29"/>
      <c r="BU44" s="29"/>
      <c r="BV44" s="29"/>
      <c r="BW44" s="29"/>
    </row>
    <row r="45" spans="1:75">
      <c r="A45" s="16" t="s">
        <v>246</v>
      </c>
      <c r="B45" s="17">
        <v>1129720.43</v>
      </c>
      <c r="C45" s="18">
        <v>0</v>
      </c>
      <c r="D45" s="17">
        <v>15246.39</v>
      </c>
      <c r="E45" s="18">
        <v>0</v>
      </c>
      <c r="F45" s="19">
        <v>0</v>
      </c>
      <c r="G45" s="19">
        <v>0</v>
      </c>
      <c r="H45" s="19">
        <v>0</v>
      </c>
      <c r="I45" s="19">
        <v>0</v>
      </c>
      <c r="J45" s="17">
        <v>7888.12</v>
      </c>
      <c r="K45" s="18">
        <v>0</v>
      </c>
      <c r="L45" s="17">
        <v>137494.59</v>
      </c>
      <c r="M45" s="18">
        <v>0</v>
      </c>
      <c r="N45" s="17">
        <v>1825664</v>
      </c>
      <c r="O45" s="18">
        <v>0</v>
      </c>
      <c r="P45" s="19">
        <v>1731498.25</v>
      </c>
      <c r="Q45" s="18">
        <v>0</v>
      </c>
      <c r="R45" s="19">
        <v>259560.25</v>
      </c>
      <c r="S45" s="18">
        <v>0</v>
      </c>
      <c r="T45" s="17">
        <v>797140.44</v>
      </c>
      <c r="U45" s="18">
        <v>0</v>
      </c>
      <c r="V45" s="17">
        <v>182471.42</v>
      </c>
      <c r="W45" s="18">
        <v>0</v>
      </c>
      <c r="X45" s="18">
        <v>0</v>
      </c>
      <c r="Y45" s="18">
        <v>0</v>
      </c>
      <c r="Z45" s="17">
        <v>1145593.59</v>
      </c>
      <c r="AA45" s="17">
        <v>-4236124.42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29"/>
      <c r="BU45" s="29"/>
      <c r="BV45" s="29"/>
      <c r="BW45" s="29"/>
    </row>
    <row r="46" spans="1:75">
      <c r="A46" s="16" t="s">
        <v>247</v>
      </c>
      <c r="B46" s="17">
        <v>88773.7</v>
      </c>
      <c r="C46" s="17">
        <v>-3289878.34</v>
      </c>
      <c r="D46" s="17">
        <v>0.07</v>
      </c>
      <c r="E46" s="17">
        <v>-5994752.8</v>
      </c>
      <c r="F46" s="19">
        <v>0</v>
      </c>
      <c r="G46" s="19">
        <v>0</v>
      </c>
      <c r="H46" s="19">
        <v>0</v>
      </c>
      <c r="I46" s="19">
        <v>0</v>
      </c>
      <c r="J46" s="18">
        <v>0</v>
      </c>
      <c r="K46" s="18">
        <v>0</v>
      </c>
      <c r="L46" s="17">
        <v>313833.9</v>
      </c>
      <c r="M46" s="18">
        <v>0</v>
      </c>
      <c r="N46" s="17">
        <v>1401817.7</v>
      </c>
      <c r="O46" s="18">
        <v>0</v>
      </c>
      <c r="P46" s="19">
        <v>96241.72</v>
      </c>
      <c r="Q46" s="19">
        <v>-2709662</v>
      </c>
      <c r="R46" s="19">
        <v>511014.17</v>
      </c>
      <c r="S46" s="18">
        <v>0</v>
      </c>
      <c r="T46" s="17">
        <v>1064736.64</v>
      </c>
      <c r="U46" s="18">
        <v>0</v>
      </c>
      <c r="V46" s="17">
        <v>232531.82</v>
      </c>
      <c r="W46" s="18">
        <v>0</v>
      </c>
      <c r="X46" s="18">
        <v>0</v>
      </c>
      <c r="Y46" s="18">
        <v>0</v>
      </c>
      <c r="Z46" s="17">
        <v>1116286.28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29"/>
      <c r="BU46" s="29"/>
      <c r="BV46" s="29"/>
      <c r="BW46" s="29"/>
    </row>
    <row r="47" spans="1:75">
      <c r="A47" s="16" t="s">
        <v>248</v>
      </c>
      <c r="B47" s="17">
        <v>227306.9</v>
      </c>
      <c r="C47" s="18">
        <v>0</v>
      </c>
      <c r="D47" s="18">
        <v>0</v>
      </c>
      <c r="E47" s="18">
        <v>0</v>
      </c>
      <c r="F47" s="19">
        <v>0</v>
      </c>
      <c r="G47" s="19">
        <v>0</v>
      </c>
      <c r="H47" s="19">
        <v>0</v>
      </c>
      <c r="I47" s="19">
        <v>0</v>
      </c>
      <c r="J47" s="18">
        <v>0</v>
      </c>
      <c r="K47" s="18">
        <v>0</v>
      </c>
      <c r="L47" s="17">
        <v>52409.54</v>
      </c>
      <c r="M47" s="18">
        <v>0</v>
      </c>
      <c r="N47" s="17">
        <v>933915.76</v>
      </c>
      <c r="O47" s="18">
        <v>0</v>
      </c>
      <c r="P47" s="19">
        <v>13597.88</v>
      </c>
      <c r="Q47" s="18">
        <v>0</v>
      </c>
      <c r="R47" s="19">
        <v>272216.52</v>
      </c>
      <c r="S47" s="18">
        <v>0</v>
      </c>
      <c r="T47" s="17">
        <v>909438.3</v>
      </c>
      <c r="U47" s="18">
        <v>0</v>
      </c>
      <c r="V47" s="17">
        <v>110075.33</v>
      </c>
      <c r="W47" s="18">
        <v>0</v>
      </c>
      <c r="X47" s="18">
        <v>0</v>
      </c>
      <c r="Y47" s="18">
        <v>0</v>
      </c>
      <c r="Z47" s="17">
        <v>1016217.57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29"/>
      <c r="BU47" s="29"/>
      <c r="BV47" s="29"/>
      <c r="BW47" s="29"/>
    </row>
    <row r="48" spans="1:75">
      <c r="A48" s="16" t="s">
        <v>249</v>
      </c>
      <c r="B48" s="17">
        <v>205692.73</v>
      </c>
      <c r="C48" s="18">
        <v>0</v>
      </c>
      <c r="D48" s="18">
        <v>0</v>
      </c>
      <c r="E48" s="18">
        <v>0</v>
      </c>
      <c r="F48" s="19">
        <v>0</v>
      </c>
      <c r="G48" s="19">
        <v>0</v>
      </c>
      <c r="H48" s="19">
        <v>14267.68</v>
      </c>
      <c r="I48" s="19">
        <v>0</v>
      </c>
      <c r="J48" s="18">
        <v>0</v>
      </c>
      <c r="K48" s="18">
        <v>0</v>
      </c>
      <c r="L48" s="17">
        <v>25343.96</v>
      </c>
      <c r="M48" s="18">
        <v>0</v>
      </c>
      <c r="N48" s="17">
        <v>3065491.85</v>
      </c>
      <c r="O48" s="18">
        <v>0</v>
      </c>
      <c r="P48" s="18">
        <v>0</v>
      </c>
      <c r="Q48" s="18">
        <v>0</v>
      </c>
      <c r="R48" s="19">
        <v>289421.52</v>
      </c>
      <c r="S48" s="19">
        <v>-735849.06</v>
      </c>
      <c r="T48" s="17">
        <v>11537.03</v>
      </c>
      <c r="U48" s="18">
        <v>0</v>
      </c>
      <c r="V48" s="17">
        <v>209220.08</v>
      </c>
      <c r="W48" s="18">
        <v>0</v>
      </c>
      <c r="X48" s="18">
        <v>0</v>
      </c>
      <c r="Y48" s="18">
        <v>0</v>
      </c>
      <c r="Z48" s="17">
        <v>1157354.04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29"/>
      <c r="BU48" s="29"/>
      <c r="BV48" s="29"/>
      <c r="BW48" s="29"/>
    </row>
    <row r="49" spans="1:75">
      <c r="A49" s="16" t="s">
        <v>250</v>
      </c>
      <c r="B49" s="17">
        <v>1718098.09</v>
      </c>
      <c r="C49" s="17">
        <v>-2239871.42</v>
      </c>
      <c r="D49" s="18">
        <v>0</v>
      </c>
      <c r="E49" s="18">
        <v>0</v>
      </c>
      <c r="F49" s="19">
        <v>0</v>
      </c>
      <c r="G49" s="19">
        <v>0</v>
      </c>
      <c r="H49" s="19">
        <v>407499.92</v>
      </c>
      <c r="I49" s="19">
        <v>0</v>
      </c>
      <c r="J49" s="18">
        <v>0</v>
      </c>
      <c r="K49" s="18">
        <v>0</v>
      </c>
      <c r="L49" s="18">
        <v>0</v>
      </c>
      <c r="M49" s="18">
        <v>0</v>
      </c>
      <c r="N49" s="17">
        <v>4070365.64</v>
      </c>
      <c r="O49" s="18">
        <v>0</v>
      </c>
      <c r="P49" s="19">
        <v>178623.56</v>
      </c>
      <c r="Q49" s="18">
        <v>0</v>
      </c>
      <c r="R49" s="19">
        <v>319917.08</v>
      </c>
      <c r="S49" s="18">
        <v>0</v>
      </c>
      <c r="T49" s="17">
        <v>6290.45</v>
      </c>
      <c r="U49" s="18">
        <v>0</v>
      </c>
      <c r="V49" s="17">
        <v>459111.48</v>
      </c>
      <c r="W49" s="18">
        <v>0</v>
      </c>
      <c r="X49" s="18">
        <v>0</v>
      </c>
      <c r="Y49" s="18">
        <v>0</v>
      </c>
      <c r="Z49" s="17">
        <v>1087845.06</v>
      </c>
      <c r="AA49" s="17">
        <v>-3289857.89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29"/>
      <c r="BU49" s="29"/>
      <c r="BV49" s="29"/>
      <c r="BW49" s="29"/>
    </row>
    <row r="50" spans="1:75">
      <c r="A50" s="16" t="s">
        <v>251</v>
      </c>
      <c r="B50" s="17">
        <v>2614</v>
      </c>
      <c r="C50" s="17">
        <v>-2614</v>
      </c>
      <c r="D50" s="18">
        <v>0</v>
      </c>
      <c r="E50" s="18">
        <v>0</v>
      </c>
      <c r="F50" s="19">
        <v>0</v>
      </c>
      <c r="G50" s="19">
        <v>0</v>
      </c>
      <c r="H50" s="19">
        <v>874818.09</v>
      </c>
      <c r="I50" s="19">
        <v>0</v>
      </c>
      <c r="J50" s="17">
        <v>4765</v>
      </c>
      <c r="K50" s="18">
        <v>0</v>
      </c>
      <c r="L50" s="18">
        <v>0</v>
      </c>
      <c r="M50" s="18">
        <v>0</v>
      </c>
      <c r="N50" s="17">
        <v>79992.39</v>
      </c>
      <c r="O50" s="18">
        <v>0</v>
      </c>
      <c r="P50" s="18">
        <v>0</v>
      </c>
      <c r="Q50" s="18">
        <v>0</v>
      </c>
      <c r="R50" s="18">
        <v>0</v>
      </c>
      <c r="S50" s="19">
        <v>-1358730.13</v>
      </c>
      <c r="T50" s="17">
        <v>6384.5</v>
      </c>
      <c r="U50" s="18">
        <v>0</v>
      </c>
      <c r="V50" s="17">
        <v>108910.1</v>
      </c>
      <c r="W50" s="18">
        <v>0</v>
      </c>
      <c r="X50" s="19">
        <v>308051.76</v>
      </c>
      <c r="Y50" s="18">
        <v>0</v>
      </c>
      <c r="Z50" s="17">
        <v>2174158.9</v>
      </c>
      <c r="AA50" s="18">
        <v>0</v>
      </c>
      <c r="AB50" s="27">
        <v>2644.66</v>
      </c>
      <c r="AC50" s="18">
        <v>0</v>
      </c>
      <c r="AD50" s="19">
        <v>15552.75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29"/>
      <c r="BU50" s="29"/>
      <c r="BV50" s="29"/>
      <c r="BW50" s="29"/>
    </row>
    <row r="51" spans="1:75">
      <c r="A51" s="16" t="s">
        <v>252</v>
      </c>
      <c r="B51" s="18">
        <v>0</v>
      </c>
      <c r="C51" s="18">
        <v>0</v>
      </c>
      <c r="D51" s="18">
        <v>0</v>
      </c>
      <c r="E51" s="18">
        <v>0</v>
      </c>
      <c r="F51" s="19">
        <v>0</v>
      </c>
      <c r="G51" s="19">
        <v>0</v>
      </c>
      <c r="H51" s="19">
        <v>167864.73</v>
      </c>
      <c r="I51" s="19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7">
        <v>-13575772.33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7">
        <v>82904.94</v>
      </c>
      <c r="W51" s="18">
        <v>0</v>
      </c>
      <c r="X51" s="19">
        <v>296121.72</v>
      </c>
      <c r="Y51" s="18">
        <v>0</v>
      </c>
      <c r="Z51" s="17">
        <v>2897913.82</v>
      </c>
      <c r="AA51" s="18">
        <v>0</v>
      </c>
      <c r="AB51" s="27">
        <v>-1581</v>
      </c>
      <c r="AC51" s="18">
        <v>0</v>
      </c>
      <c r="AD51" s="18">
        <v>0</v>
      </c>
      <c r="AE51" s="18">
        <v>0</v>
      </c>
      <c r="AF51" s="19">
        <v>157120.16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29"/>
      <c r="BU51" s="29"/>
      <c r="BV51" s="29"/>
      <c r="BW51" s="29"/>
    </row>
    <row r="52" spans="1:75">
      <c r="A52" s="16" t="s">
        <v>253</v>
      </c>
      <c r="B52" s="18">
        <v>0</v>
      </c>
      <c r="C52" s="18">
        <v>0</v>
      </c>
      <c r="D52" s="18">
        <v>0</v>
      </c>
      <c r="E52" s="18">
        <v>0</v>
      </c>
      <c r="F52" s="19">
        <v>0</v>
      </c>
      <c r="G52" s="19">
        <v>0</v>
      </c>
      <c r="H52" s="19">
        <v>81345.47</v>
      </c>
      <c r="I52" s="19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7">
        <v>97608.64</v>
      </c>
      <c r="W52" s="18">
        <v>0</v>
      </c>
      <c r="X52" s="19">
        <v>392116.73</v>
      </c>
      <c r="Y52" s="18">
        <v>0</v>
      </c>
      <c r="Z52" s="17">
        <v>1224787.59</v>
      </c>
      <c r="AA52" s="18">
        <v>0</v>
      </c>
      <c r="AB52" s="18">
        <v>0</v>
      </c>
      <c r="AC52" s="18">
        <v>0</v>
      </c>
      <c r="AD52" s="19">
        <v>39603.96</v>
      </c>
      <c r="AE52" s="18">
        <v>0</v>
      </c>
      <c r="AF52" s="19">
        <v>406161.67</v>
      </c>
      <c r="AG52" s="19">
        <v>-245283.02</v>
      </c>
      <c r="AH52" s="17">
        <v>975122.22</v>
      </c>
      <c r="AI52" s="18">
        <v>0</v>
      </c>
      <c r="AJ52" s="27">
        <v>911925.53</v>
      </c>
      <c r="AK52" s="27">
        <v>-305660.38</v>
      </c>
      <c r="AL52" s="17">
        <v>2947.11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29"/>
      <c r="BU52" s="29"/>
      <c r="BV52" s="29"/>
      <c r="BW52" s="29"/>
    </row>
    <row r="53" spans="1:75">
      <c r="A53" s="16" t="s">
        <v>254</v>
      </c>
      <c r="B53" s="18">
        <v>0</v>
      </c>
      <c r="C53" s="18">
        <v>0</v>
      </c>
      <c r="D53" s="18">
        <v>0</v>
      </c>
      <c r="E53" s="18">
        <v>0</v>
      </c>
      <c r="F53" s="19">
        <v>0</v>
      </c>
      <c r="G53" s="19">
        <v>0</v>
      </c>
      <c r="H53" s="19">
        <v>81683.37</v>
      </c>
      <c r="I53" s="19">
        <v>0</v>
      </c>
      <c r="J53" s="18">
        <v>0</v>
      </c>
      <c r="K53" s="18">
        <v>0</v>
      </c>
      <c r="L53" s="17">
        <v>620964.87</v>
      </c>
      <c r="M53" s="17">
        <v>-1245283.02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7">
        <v>8422138.17</v>
      </c>
      <c r="U53" s="18">
        <v>0</v>
      </c>
      <c r="V53" s="17">
        <v>118489.11</v>
      </c>
      <c r="W53" s="18">
        <v>0</v>
      </c>
      <c r="X53" s="17">
        <v>1074612.53</v>
      </c>
      <c r="Y53" s="18">
        <v>0</v>
      </c>
      <c r="Z53" s="17">
        <v>-448956779</v>
      </c>
      <c r="AA53" s="18">
        <v>0</v>
      </c>
      <c r="AB53" s="27">
        <v>1946</v>
      </c>
      <c r="AC53" s="18">
        <v>0</v>
      </c>
      <c r="AD53" s="18">
        <v>0</v>
      </c>
      <c r="AE53" s="19">
        <v>-55156.71</v>
      </c>
      <c r="AF53" s="19">
        <v>70273.22</v>
      </c>
      <c r="AG53" s="18">
        <v>0</v>
      </c>
      <c r="AH53" s="17">
        <v>568921.55</v>
      </c>
      <c r="AI53" s="18">
        <v>0</v>
      </c>
      <c r="AJ53" s="27">
        <v>104599.03</v>
      </c>
      <c r="AK53" s="27">
        <v>-710864.18</v>
      </c>
      <c r="AL53" s="17">
        <v>6521.99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0</v>
      </c>
      <c r="BG53" s="18">
        <v>0</v>
      </c>
      <c r="BH53" s="18">
        <v>0</v>
      </c>
      <c r="BI53" s="18">
        <v>0</v>
      </c>
      <c r="BJ53" s="18">
        <v>0</v>
      </c>
      <c r="BK53" s="18">
        <v>0</v>
      </c>
      <c r="BL53" s="18">
        <v>0</v>
      </c>
      <c r="BM53" s="18">
        <v>0</v>
      </c>
      <c r="BN53" s="18">
        <v>0</v>
      </c>
      <c r="BO53" s="18">
        <v>0</v>
      </c>
      <c r="BP53" s="18">
        <v>0</v>
      </c>
      <c r="BQ53" s="18">
        <v>0</v>
      </c>
      <c r="BR53" s="18">
        <v>0</v>
      </c>
      <c r="BS53" s="18">
        <v>0</v>
      </c>
      <c r="BT53" s="29"/>
      <c r="BU53" s="29"/>
      <c r="BV53" s="29"/>
      <c r="BW53" s="29"/>
    </row>
    <row r="54" spans="1:75">
      <c r="A54" s="16" t="s">
        <v>255</v>
      </c>
      <c r="B54" s="18">
        <v>0</v>
      </c>
      <c r="C54" s="18">
        <v>0</v>
      </c>
      <c r="D54" s="18">
        <v>0</v>
      </c>
      <c r="E54" s="18">
        <v>0</v>
      </c>
      <c r="F54" s="19">
        <v>0</v>
      </c>
      <c r="G54" s="19">
        <v>0</v>
      </c>
      <c r="H54" s="19">
        <v>80899.88</v>
      </c>
      <c r="I54" s="19">
        <v>0</v>
      </c>
      <c r="J54" s="18">
        <v>0</v>
      </c>
      <c r="K54" s="18">
        <v>0</v>
      </c>
      <c r="L54" s="23">
        <v>947</v>
      </c>
      <c r="M54" s="17">
        <v>-45500.59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7">
        <v>11317638.07</v>
      </c>
      <c r="U54" s="17">
        <v>-6198113.21</v>
      </c>
      <c r="V54" s="17">
        <v>982911.87</v>
      </c>
      <c r="W54" s="18">
        <v>0</v>
      </c>
      <c r="X54" s="17">
        <v>2329198.4</v>
      </c>
      <c r="Y54" s="18">
        <v>0</v>
      </c>
      <c r="Z54" s="17">
        <v>-2495137.58</v>
      </c>
      <c r="AA54" s="18">
        <v>0</v>
      </c>
      <c r="AB54" s="27">
        <v>-1946</v>
      </c>
      <c r="AC54" s="27">
        <v>-14735.96</v>
      </c>
      <c r="AD54" s="18">
        <v>0</v>
      </c>
      <c r="AE54" s="18">
        <v>0</v>
      </c>
      <c r="AF54" s="19">
        <v>100881.61</v>
      </c>
      <c r="AG54" s="18">
        <v>0</v>
      </c>
      <c r="AH54" s="17">
        <v>5025231.65</v>
      </c>
      <c r="AI54" s="17">
        <v>-2091509.43</v>
      </c>
      <c r="AJ54" s="27">
        <v>362400.43</v>
      </c>
      <c r="AK54" s="18">
        <v>0</v>
      </c>
      <c r="AL54" s="17">
        <v>240439.9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18">
        <v>0</v>
      </c>
      <c r="BN54" s="18">
        <v>0</v>
      </c>
      <c r="BO54" s="18">
        <v>0</v>
      </c>
      <c r="BP54" s="18">
        <v>0</v>
      </c>
      <c r="BQ54" s="18">
        <v>0</v>
      </c>
      <c r="BR54" s="18">
        <v>0</v>
      </c>
      <c r="BS54" s="18">
        <v>0</v>
      </c>
      <c r="BT54" s="29"/>
      <c r="BU54" s="29"/>
      <c r="BV54" s="29"/>
      <c r="BW54" s="29"/>
    </row>
    <row r="55" spans="1:75">
      <c r="A55" s="16" t="s">
        <v>256</v>
      </c>
      <c r="B55" s="18">
        <v>0</v>
      </c>
      <c r="C55" s="18">
        <v>0</v>
      </c>
      <c r="D55" s="18">
        <v>0</v>
      </c>
      <c r="E55" s="18">
        <v>0</v>
      </c>
      <c r="F55" s="19">
        <v>0</v>
      </c>
      <c r="G55" s="19">
        <v>0</v>
      </c>
      <c r="H55" s="19">
        <v>0</v>
      </c>
      <c r="I55" s="19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7">
        <v>1242713.78</v>
      </c>
      <c r="U55" s="18">
        <v>0</v>
      </c>
      <c r="V55" s="17">
        <v>82746.42</v>
      </c>
      <c r="W55" s="18">
        <v>0</v>
      </c>
      <c r="X55" s="17">
        <v>131546.7</v>
      </c>
      <c r="Y55" s="18">
        <v>0</v>
      </c>
      <c r="Z55" s="17">
        <v>1301046.25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7">
        <v>679495.2</v>
      </c>
      <c r="AI55" s="18">
        <v>0</v>
      </c>
      <c r="AJ55" s="18">
        <v>0</v>
      </c>
      <c r="AK55" s="18">
        <v>0</v>
      </c>
      <c r="AL55" s="17">
        <v>69481.99</v>
      </c>
      <c r="AM55" s="18">
        <v>0</v>
      </c>
      <c r="AN55" s="20">
        <v>45530.64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0</v>
      </c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0</v>
      </c>
      <c r="BT55" s="29"/>
      <c r="BU55" s="29"/>
      <c r="BV55" s="29"/>
      <c r="BW55" s="29"/>
    </row>
    <row r="56" spans="1:75">
      <c r="A56" s="16" t="s">
        <v>257</v>
      </c>
      <c r="B56" s="18">
        <v>0</v>
      </c>
      <c r="C56" s="18">
        <v>0</v>
      </c>
      <c r="D56" s="18">
        <v>0</v>
      </c>
      <c r="E56" s="18">
        <v>0</v>
      </c>
      <c r="F56" s="19">
        <v>0</v>
      </c>
      <c r="G56" s="19">
        <v>0</v>
      </c>
      <c r="H56" s="19">
        <v>0</v>
      </c>
      <c r="I56" s="19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7">
        <v>1111580.65</v>
      </c>
      <c r="U56" s="18">
        <v>0</v>
      </c>
      <c r="V56" s="17">
        <v>154962.96</v>
      </c>
      <c r="W56" s="18">
        <v>0</v>
      </c>
      <c r="X56" s="19">
        <v>184472.57</v>
      </c>
      <c r="Y56" s="18">
        <v>0</v>
      </c>
      <c r="Z56" s="17">
        <v>1991637.24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7">
        <v>555999.88</v>
      </c>
      <c r="AI56" s="18">
        <v>0</v>
      </c>
      <c r="AJ56" s="27">
        <v>63068.28</v>
      </c>
      <c r="AK56" s="18">
        <v>0</v>
      </c>
      <c r="AL56" s="17">
        <v>37892.39</v>
      </c>
      <c r="AM56" s="18">
        <v>0</v>
      </c>
      <c r="AN56" s="18">
        <v>0</v>
      </c>
      <c r="AO56" s="20">
        <v>-25471.7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0</v>
      </c>
      <c r="BN56" s="18">
        <v>0</v>
      </c>
      <c r="BO56" s="18">
        <v>0</v>
      </c>
      <c r="BP56" s="18">
        <v>0</v>
      </c>
      <c r="BQ56" s="18">
        <v>0</v>
      </c>
      <c r="BR56" s="18">
        <v>0</v>
      </c>
      <c r="BS56" s="18">
        <v>0</v>
      </c>
      <c r="BT56" s="29"/>
      <c r="BU56" s="29"/>
      <c r="BV56" s="29"/>
      <c r="BW56" s="29"/>
    </row>
    <row r="57" spans="1:75">
      <c r="A57" s="16" t="s">
        <v>258</v>
      </c>
      <c r="B57" s="18">
        <v>0</v>
      </c>
      <c r="C57" s="18">
        <v>0</v>
      </c>
      <c r="D57" s="18">
        <v>0</v>
      </c>
      <c r="E57" s="18">
        <v>0</v>
      </c>
      <c r="F57" s="19">
        <v>0</v>
      </c>
      <c r="G57" s="19">
        <v>0</v>
      </c>
      <c r="H57" s="19">
        <v>0</v>
      </c>
      <c r="I57" s="19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7">
        <v>1157137.12</v>
      </c>
      <c r="U57" s="18">
        <v>0</v>
      </c>
      <c r="V57" s="17">
        <v>160841.21</v>
      </c>
      <c r="W57" s="18">
        <v>0</v>
      </c>
      <c r="X57" s="18">
        <v>0</v>
      </c>
      <c r="Y57" s="18">
        <v>0</v>
      </c>
      <c r="Z57" s="17">
        <v>1183137.07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7">
        <v>616544.62</v>
      </c>
      <c r="AI57" s="18">
        <v>0</v>
      </c>
      <c r="AJ57" s="18">
        <v>0</v>
      </c>
      <c r="AK57" s="18">
        <v>0</v>
      </c>
      <c r="AL57" s="17">
        <v>49372.71</v>
      </c>
      <c r="AM57" s="18">
        <v>0</v>
      </c>
      <c r="AN57" s="20">
        <v>86469.4</v>
      </c>
      <c r="AO57" s="18">
        <v>0</v>
      </c>
      <c r="AP57" s="17">
        <v>110977.44</v>
      </c>
      <c r="AQ57" s="18">
        <v>0</v>
      </c>
      <c r="AR57" s="17">
        <v>88735.54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0</v>
      </c>
      <c r="BM57" s="18">
        <v>0</v>
      </c>
      <c r="BN57" s="18">
        <v>0</v>
      </c>
      <c r="BO57" s="18">
        <v>0</v>
      </c>
      <c r="BP57" s="18">
        <v>0</v>
      </c>
      <c r="BQ57" s="18">
        <v>0</v>
      </c>
      <c r="BR57" s="18">
        <v>0</v>
      </c>
      <c r="BS57" s="18">
        <v>0</v>
      </c>
      <c r="BT57" s="29"/>
      <c r="BU57" s="29"/>
      <c r="BV57" s="29"/>
      <c r="BW57" s="29"/>
    </row>
    <row r="58" spans="1:75">
      <c r="A58" s="16" t="s">
        <v>259</v>
      </c>
      <c r="B58" s="18">
        <v>0</v>
      </c>
      <c r="C58" s="18">
        <v>0</v>
      </c>
      <c r="D58" s="18">
        <v>0</v>
      </c>
      <c r="E58" s="18">
        <v>0</v>
      </c>
      <c r="F58" s="19">
        <v>0</v>
      </c>
      <c r="G58" s="19">
        <v>0</v>
      </c>
      <c r="H58" s="19">
        <v>0</v>
      </c>
      <c r="I58" s="19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7">
        <v>3202442.77</v>
      </c>
      <c r="U58" s="18">
        <v>0</v>
      </c>
      <c r="V58" s="17">
        <v>826653.96</v>
      </c>
      <c r="W58" s="18">
        <v>0</v>
      </c>
      <c r="X58" s="19">
        <v>179032.84</v>
      </c>
      <c r="Y58" s="18">
        <v>0</v>
      </c>
      <c r="Z58" s="17">
        <v>1133472.16</v>
      </c>
      <c r="AA58" s="17">
        <v>-4475820.56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7">
        <v>1635673.62</v>
      </c>
      <c r="AI58" s="18">
        <v>0</v>
      </c>
      <c r="AJ58" s="18">
        <v>0</v>
      </c>
      <c r="AK58" s="18">
        <v>0</v>
      </c>
      <c r="AL58" s="17">
        <v>54408.04</v>
      </c>
      <c r="AM58" s="18">
        <v>0</v>
      </c>
      <c r="AN58" s="20">
        <v>-18196.26</v>
      </c>
      <c r="AO58" s="20">
        <v>-60545.09</v>
      </c>
      <c r="AP58" s="17">
        <v>586831.05</v>
      </c>
      <c r="AQ58" s="18">
        <v>0</v>
      </c>
      <c r="AR58" s="17">
        <v>328756.56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0</v>
      </c>
      <c r="BM58" s="18">
        <v>0</v>
      </c>
      <c r="BN58" s="18">
        <v>0</v>
      </c>
      <c r="BO58" s="18">
        <v>0</v>
      </c>
      <c r="BP58" s="18">
        <v>0</v>
      </c>
      <c r="BQ58" s="18">
        <v>0</v>
      </c>
      <c r="BR58" s="18">
        <v>0</v>
      </c>
      <c r="BS58" s="18">
        <v>0</v>
      </c>
      <c r="BT58" s="29"/>
      <c r="BU58" s="29"/>
      <c r="BV58" s="29"/>
      <c r="BW58" s="29"/>
    </row>
    <row r="59" spans="1:75">
      <c r="A59" s="16" t="s">
        <v>260</v>
      </c>
      <c r="B59" s="18">
        <v>0</v>
      </c>
      <c r="C59" s="18">
        <v>0</v>
      </c>
      <c r="D59" s="18">
        <v>0</v>
      </c>
      <c r="E59" s="18">
        <v>0</v>
      </c>
      <c r="F59" s="19">
        <v>0</v>
      </c>
      <c r="G59" s="19">
        <v>0</v>
      </c>
      <c r="H59" s="19">
        <v>0</v>
      </c>
      <c r="I59" s="19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7">
        <v>1589274.06</v>
      </c>
      <c r="U59" s="18">
        <v>0</v>
      </c>
      <c r="V59" s="17">
        <v>297604.94</v>
      </c>
      <c r="W59" s="18">
        <v>0</v>
      </c>
      <c r="X59" s="18">
        <v>0</v>
      </c>
      <c r="Y59" s="18">
        <v>0</v>
      </c>
      <c r="Z59" s="17">
        <v>1154252.2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7">
        <v>340043.32</v>
      </c>
      <c r="AI59" s="18">
        <v>0</v>
      </c>
      <c r="AJ59" s="18">
        <v>0</v>
      </c>
      <c r="AK59" s="18">
        <v>0</v>
      </c>
      <c r="AL59" s="17">
        <v>60504.44</v>
      </c>
      <c r="AM59" s="18">
        <v>0</v>
      </c>
      <c r="AN59" s="21">
        <v>45530.64</v>
      </c>
      <c r="AO59" s="18">
        <v>0</v>
      </c>
      <c r="AP59" s="17">
        <v>177250.84</v>
      </c>
      <c r="AQ59" s="18">
        <v>0</v>
      </c>
      <c r="AR59" s="17">
        <v>108604.55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8">
        <v>0</v>
      </c>
      <c r="BK59" s="18">
        <v>0</v>
      </c>
      <c r="BL59" s="18">
        <v>0</v>
      </c>
      <c r="BM59" s="18">
        <v>0</v>
      </c>
      <c r="BN59" s="18">
        <v>0</v>
      </c>
      <c r="BO59" s="18">
        <v>0</v>
      </c>
      <c r="BP59" s="18">
        <v>0</v>
      </c>
      <c r="BQ59" s="18">
        <v>0</v>
      </c>
      <c r="BR59" s="27">
        <v>14578.56</v>
      </c>
      <c r="BS59" s="18">
        <v>0</v>
      </c>
      <c r="BT59" s="29"/>
      <c r="BU59" s="29"/>
      <c r="BV59" s="29"/>
      <c r="BW59" s="29"/>
    </row>
    <row r="60" spans="1:75">
      <c r="A60" s="16" t="s">
        <v>261</v>
      </c>
      <c r="B60" s="18">
        <v>0</v>
      </c>
      <c r="C60" s="18">
        <v>0</v>
      </c>
      <c r="D60" s="18">
        <v>0</v>
      </c>
      <c r="E60" s="18">
        <v>0</v>
      </c>
      <c r="F60" s="19">
        <v>0</v>
      </c>
      <c r="G60" s="19">
        <v>0</v>
      </c>
      <c r="H60" s="19">
        <v>0</v>
      </c>
      <c r="I60" s="19">
        <v>-1805328.65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7">
        <v>1237686.7</v>
      </c>
      <c r="U60" s="18">
        <v>0</v>
      </c>
      <c r="V60" s="17">
        <v>136439.78</v>
      </c>
      <c r="W60" s="18">
        <v>0</v>
      </c>
      <c r="X60" s="18">
        <v>0</v>
      </c>
      <c r="Y60" s="18">
        <v>0</v>
      </c>
      <c r="Z60" s="17">
        <v>1043601.72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7">
        <v>301678.51</v>
      </c>
      <c r="AI60" s="18">
        <v>0</v>
      </c>
      <c r="AJ60" s="18">
        <v>0</v>
      </c>
      <c r="AK60" s="18">
        <v>0</v>
      </c>
      <c r="AL60" s="17">
        <v>57356.4</v>
      </c>
      <c r="AM60" s="18">
        <v>0</v>
      </c>
      <c r="AN60" s="17">
        <v>22335.28</v>
      </c>
      <c r="AO60" s="18">
        <v>0</v>
      </c>
      <c r="AP60" s="17">
        <v>369528.97</v>
      </c>
      <c r="AQ60" s="18">
        <v>0</v>
      </c>
      <c r="AR60" s="17">
        <v>107475.14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0</v>
      </c>
      <c r="BB60" s="18">
        <v>0</v>
      </c>
      <c r="BC60" s="18">
        <v>0</v>
      </c>
      <c r="BD60" s="18">
        <v>0</v>
      </c>
      <c r="BE60" s="18">
        <v>0</v>
      </c>
      <c r="BF60" s="18">
        <v>0</v>
      </c>
      <c r="BG60" s="18">
        <v>0</v>
      </c>
      <c r="BH60" s="18">
        <v>0</v>
      </c>
      <c r="BI60" s="18">
        <v>0</v>
      </c>
      <c r="BJ60" s="18">
        <v>0</v>
      </c>
      <c r="BK60" s="18">
        <v>0</v>
      </c>
      <c r="BL60" s="18">
        <v>0</v>
      </c>
      <c r="BM60" s="18">
        <v>0</v>
      </c>
      <c r="BN60" s="18">
        <v>0</v>
      </c>
      <c r="BO60" s="18">
        <v>0</v>
      </c>
      <c r="BP60" s="18">
        <v>0</v>
      </c>
      <c r="BQ60" s="18">
        <v>0</v>
      </c>
      <c r="BR60" s="27">
        <v>6598</v>
      </c>
      <c r="BS60" s="18">
        <v>0</v>
      </c>
      <c r="BT60" s="29"/>
      <c r="BU60" s="29"/>
      <c r="BV60" s="29"/>
      <c r="BW60" s="29"/>
    </row>
    <row r="61" spans="1:75">
      <c r="A61" s="16" t="s">
        <v>262</v>
      </c>
      <c r="B61" s="18">
        <v>0</v>
      </c>
      <c r="C61" s="18">
        <v>0</v>
      </c>
      <c r="D61" s="18">
        <v>0</v>
      </c>
      <c r="E61" s="18">
        <v>0</v>
      </c>
      <c r="F61" s="19">
        <v>0</v>
      </c>
      <c r="G61" s="19">
        <v>0</v>
      </c>
      <c r="H61" s="19">
        <v>0</v>
      </c>
      <c r="I61" s="19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7">
        <v>240037.67</v>
      </c>
      <c r="W61" s="18">
        <v>0</v>
      </c>
      <c r="X61" s="18">
        <v>6218.94</v>
      </c>
      <c r="Y61" s="18">
        <v>0</v>
      </c>
      <c r="Z61" s="17">
        <v>2216178.66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7">
        <v>239776.1</v>
      </c>
      <c r="AI61" s="18">
        <v>0</v>
      </c>
      <c r="AJ61" s="18">
        <v>0</v>
      </c>
      <c r="AK61" s="18">
        <v>0</v>
      </c>
      <c r="AL61" s="17">
        <v>71226.88</v>
      </c>
      <c r="AM61" s="18">
        <v>0</v>
      </c>
      <c r="AN61" s="18">
        <v>0</v>
      </c>
      <c r="AO61" s="19">
        <v>-73932.26</v>
      </c>
      <c r="AP61" s="17">
        <v>172374.93</v>
      </c>
      <c r="AQ61" s="18">
        <v>0</v>
      </c>
      <c r="AR61" s="17">
        <v>153331.24</v>
      </c>
      <c r="AS61" s="18">
        <v>0</v>
      </c>
      <c r="AT61" s="19">
        <v>158685.63</v>
      </c>
      <c r="AU61" s="18">
        <v>0</v>
      </c>
      <c r="AV61" s="17">
        <v>322151.52</v>
      </c>
      <c r="AW61" s="18">
        <v>0</v>
      </c>
      <c r="AX61" s="17">
        <v>258196.56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8">
        <v>0</v>
      </c>
      <c r="BF61" s="18">
        <v>0</v>
      </c>
      <c r="BG61" s="18">
        <v>0</v>
      </c>
      <c r="BH61" s="18">
        <v>0</v>
      </c>
      <c r="BI61" s="18">
        <v>0</v>
      </c>
      <c r="BJ61" s="18">
        <v>0</v>
      </c>
      <c r="BK61" s="18">
        <v>0</v>
      </c>
      <c r="BL61" s="18">
        <v>0</v>
      </c>
      <c r="BM61" s="18">
        <v>0</v>
      </c>
      <c r="BN61" s="18">
        <v>0</v>
      </c>
      <c r="BO61" s="18">
        <v>0</v>
      </c>
      <c r="BP61" s="18">
        <v>0</v>
      </c>
      <c r="BQ61" s="18">
        <v>0</v>
      </c>
      <c r="BR61" s="27">
        <v>20305.17</v>
      </c>
      <c r="BS61" s="18">
        <v>0</v>
      </c>
      <c r="BT61" s="29"/>
      <c r="BU61" s="29"/>
      <c r="BV61" s="29"/>
      <c r="BW61" s="29"/>
    </row>
    <row r="62" spans="1:75">
      <c r="A62" s="16" t="s">
        <v>263</v>
      </c>
      <c r="B62" s="18">
        <v>0</v>
      </c>
      <c r="C62" s="18">
        <v>0</v>
      </c>
      <c r="D62" s="18">
        <v>0</v>
      </c>
      <c r="E62" s="18">
        <v>0</v>
      </c>
      <c r="F62" s="19">
        <v>0</v>
      </c>
      <c r="G62" s="19">
        <v>0</v>
      </c>
      <c r="H62" s="19">
        <v>0</v>
      </c>
      <c r="I62" s="19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7">
        <v>142182.74</v>
      </c>
      <c r="W62" s="18">
        <v>0</v>
      </c>
      <c r="X62" s="18">
        <v>0</v>
      </c>
      <c r="Y62" s="18">
        <v>0</v>
      </c>
      <c r="Z62" s="17">
        <v>1153876.05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7">
        <v>124319.78</v>
      </c>
      <c r="AI62" s="18">
        <v>0</v>
      </c>
      <c r="AJ62" s="18">
        <v>0</v>
      </c>
      <c r="AK62" s="18">
        <v>0</v>
      </c>
      <c r="AL62" s="17">
        <v>88649.66</v>
      </c>
      <c r="AM62" s="18">
        <v>0</v>
      </c>
      <c r="AN62" s="18">
        <v>0</v>
      </c>
      <c r="AO62" s="18">
        <v>0</v>
      </c>
      <c r="AP62" s="17">
        <v>123821.53</v>
      </c>
      <c r="AQ62" s="18">
        <v>0</v>
      </c>
      <c r="AR62" s="17">
        <v>238683.48</v>
      </c>
      <c r="AS62" s="18">
        <v>0</v>
      </c>
      <c r="AT62" s="19">
        <v>188233.93</v>
      </c>
      <c r="AU62" s="18">
        <v>0</v>
      </c>
      <c r="AV62" s="17">
        <v>423752.95</v>
      </c>
      <c r="AW62" s="18">
        <v>0</v>
      </c>
      <c r="AX62" s="17">
        <v>264737.31</v>
      </c>
      <c r="AY62" s="18">
        <v>0</v>
      </c>
      <c r="AZ62" s="27">
        <v>2351408.51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27">
        <v>4371.16</v>
      </c>
      <c r="BS62" s="18">
        <v>0</v>
      </c>
      <c r="BT62" s="29"/>
      <c r="BU62" s="29"/>
      <c r="BV62" s="29"/>
      <c r="BW62" s="29"/>
    </row>
    <row r="63" spans="1:75">
      <c r="A63" s="16" t="s">
        <v>264</v>
      </c>
      <c r="B63" s="18">
        <v>0</v>
      </c>
      <c r="C63" s="18">
        <v>0</v>
      </c>
      <c r="D63" s="18">
        <v>0</v>
      </c>
      <c r="E63" s="18">
        <v>0</v>
      </c>
      <c r="F63" s="19">
        <v>0</v>
      </c>
      <c r="G63" s="19">
        <v>0</v>
      </c>
      <c r="H63" s="19">
        <v>0</v>
      </c>
      <c r="I63" s="19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7">
        <v>126149.92</v>
      </c>
      <c r="W63" s="18">
        <v>0</v>
      </c>
      <c r="X63" s="18">
        <v>0</v>
      </c>
      <c r="Y63" s="18">
        <v>0</v>
      </c>
      <c r="Z63" s="17">
        <v>1207897.7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7">
        <v>29490</v>
      </c>
      <c r="AI63" s="18">
        <v>0</v>
      </c>
      <c r="AJ63" s="18">
        <v>0</v>
      </c>
      <c r="AK63" s="18">
        <v>0</v>
      </c>
      <c r="AL63" s="17">
        <v>64586.74</v>
      </c>
      <c r="AM63" s="18">
        <v>0</v>
      </c>
      <c r="AN63" s="18">
        <v>0</v>
      </c>
      <c r="AO63" s="18">
        <v>0</v>
      </c>
      <c r="AP63" s="17">
        <v>100632.42</v>
      </c>
      <c r="AQ63" s="18">
        <v>0</v>
      </c>
      <c r="AR63" s="17">
        <v>95567.75</v>
      </c>
      <c r="AS63" s="18">
        <v>0</v>
      </c>
      <c r="AT63" s="19">
        <v>88129.52</v>
      </c>
      <c r="AU63" s="18">
        <v>0</v>
      </c>
      <c r="AV63" s="17">
        <v>78102.03</v>
      </c>
      <c r="AW63" s="18">
        <v>0</v>
      </c>
      <c r="AX63" s="17">
        <v>84876.21</v>
      </c>
      <c r="AY63" s="18">
        <v>0</v>
      </c>
      <c r="AZ63" s="27">
        <v>3032322.31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0</v>
      </c>
      <c r="BN63" s="18">
        <v>0</v>
      </c>
      <c r="BO63" s="18">
        <v>0</v>
      </c>
      <c r="BP63" s="18">
        <v>0</v>
      </c>
      <c r="BQ63" s="18">
        <v>0</v>
      </c>
      <c r="BR63" s="27">
        <v>95166.4</v>
      </c>
      <c r="BS63" s="18">
        <v>0</v>
      </c>
      <c r="BT63" s="29"/>
      <c r="BU63" s="29"/>
      <c r="BV63" s="29"/>
      <c r="BW63" s="29"/>
    </row>
    <row r="64" spans="1:75">
      <c r="A64" s="16" t="s">
        <v>265</v>
      </c>
      <c r="B64" s="18">
        <v>0</v>
      </c>
      <c r="C64" s="18">
        <v>0</v>
      </c>
      <c r="D64" s="18">
        <v>0</v>
      </c>
      <c r="E64" s="18">
        <v>0</v>
      </c>
      <c r="F64" s="19">
        <v>0</v>
      </c>
      <c r="G64" s="19">
        <v>0</v>
      </c>
      <c r="H64" s="19">
        <v>0</v>
      </c>
      <c r="I64" s="19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7">
        <v>1709398.56</v>
      </c>
      <c r="W64" s="17">
        <v>-2340000</v>
      </c>
      <c r="X64" s="18">
        <v>0</v>
      </c>
      <c r="Y64" s="18">
        <v>0</v>
      </c>
      <c r="Z64" s="17">
        <v>1160798.79</v>
      </c>
      <c r="AA64" s="17">
        <v>7909278.49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7">
        <v>20055.5</v>
      </c>
      <c r="AI64" s="18">
        <v>0</v>
      </c>
      <c r="AJ64" s="18">
        <v>0</v>
      </c>
      <c r="AK64" s="18">
        <v>0</v>
      </c>
      <c r="AL64" s="17">
        <v>35507.98</v>
      </c>
      <c r="AM64" s="18">
        <v>0</v>
      </c>
      <c r="AN64" s="18">
        <v>0</v>
      </c>
      <c r="AO64" s="18">
        <v>0</v>
      </c>
      <c r="AP64" s="17">
        <v>1585156.8</v>
      </c>
      <c r="AQ64" s="17">
        <v>-1140000</v>
      </c>
      <c r="AR64" s="17">
        <v>1691455.47</v>
      </c>
      <c r="AS64" s="18">
        <v>0</v>
      </c>
      <c r="AT64" s="19">
        <v>477864.44</v>
      </c>
      <c r="AU64" s="18">
        <v>0</v>
      </c>
      <c r="AV64" s="17">
        <v>2278794.22</v>
      </c>
      <c r="AW64" s="18">
        <v>0</v>
      </c>
      <c r="AX64" s="17">
        <v>706997.39</v>
      </c>
      <c r="AY64" s="18">
        <v>0</v>
      </c>
      <c r="AZ64" s="27">
        <v>2834015.67</v>
      </c>
      <c r="BA64" s="18">
        <v>0</v>
      </c>
      <c r="BB64" s="19">
        <v>23194.78</v>
      </c>
      <c r="BC64" s="18">
        <v>0</v>
      </c>
      <c r="BD64" s="18">
        <v>0</v>
      </c>
      <c r="BE64" s="18">
        <v>0</v>
      </c>
      <c r="BF64" s="18">
        <v>0</v>
      </c>
      <c r="BG64" s="18">
        <v>0</v>
      </c>
      <c r="BH64" s="18">
        <v>0</v>
      </c>
      <c r="BI64" s="18">
        <v>0</v>
      </c>
      <c r="BJ64" s="18">
        <v>0</v>
      </c>
      <c r="BK64" s="18">
        <v>0</v>
      </c>
      <c r="BL64" s="18">
        <v>0</v>
      </c>
      <c r="BM64" s="18">
        <v>0</v>
      </c>
      <c r="BN64" s="18">
        <v>0</v>
      </c>
      <c r="BO64" s="18">
        <v>0</v>
      </c>
      <c r="BP64" s="18">
        <v>0</v>
      </c>
      <c r="BQ64" s="18">
        <v>0</v>
      </c>
      <c r="BR64" s="27">
        <v>1333577.01</v>
      </c>
      <c r="BS64" s="18">
        <v>0</v>
      </c>
      <c r="BT64" s="29"/>
      <c r="BU64" s="29"/>
      <c r="BV64" s="29"/>
      <c r="BW64" s="29"/>
    </row>
    <row r="65" spans="1:75">
      <c r="A65" s="16" t="s">
        <v>266</v>
      </c>
      <c r="B65" s="18">
        <v>0</v>
      </c>
      <c r="C65" s="18">
        <v>0</v>
      </c>
      <c r="D65" s="18">
        <v>0</v>
      </c>
      <c r="E65" s="18">
        <v>0</v>
      </c>
      <c r="F65" s="19">
        <v>0</v>
      </c>
      <c r="G65" s="19">
        <v>0</v>
      </c>
      <c r="H65" s="19">
        <v>0</v>
      </c>
      <c r="I65" s="19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7">
        <v>235600.92</v>
      </c>
      <c r="W65" s="17">
        <v>-3120000</v>
      </c>
      <c r="X65" s="18">
        <v>0</v>
      </c>
      <c r="Y65" s="18">
        <v>0</v>
      </c>
      <c r="Z65" s="17">
        <v>1249243.93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7">
        <v>29982</v>
      </c>
      <c r="AI65" s="18">
        <v>0</v>
      </c>
      <c r="AJ65" s="18">
        <v>0</v>
      </c>
      <c r="AK65" s="18">
        <v>0</v>
      </c>
      <c r="AL65" s="17">
        <v>62304.84</v>
      </c>
      <c r="AM65" s="18">
        <v>0</v>
      </c>
      <c r="AN65" s="18">
        <v>0</v>
      </c>
      <c r="AO65" s="18">
        <v>0</v>
      </c>
      <c r="AP65" s="17">
        <v>119219.78</v>
      </c>
      <c r="AQ65" s="17">
        <v>-1520000</v>
      </c>
      <c r="AR65" s="17">
        <v>182851.5</v>
      </c>
      <c r="AS65" s="18">
        <v>0</v>
      </c>
      <c r="AT65" s="19">
        <v>215856.3</v>
      </c>
      <c r="AU65" s="18">
        <v>0</v>
      </c>
      <c r="AV65" s="17">
        <v>791847.83</v>
      </c>
      <c r="AW65" s="18">
        <v>0</v>
      </c>
      <c r="AX65" s="17">
        <v>304287.96</v>
      </c>
      <c r="AY65" s="18">
        <v>0</v>
      </c>
      <c r="AZ65" s="27">
        <v>1724761.07</v>
      </c>
      <c r="BA65" s="18">
        <v>0</v>
      </c>
      <c r="BB65" s="19">
        <v>22643.61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0</v>
      </c>
      <c r="BM65" s="18">
        <v>0</v>
      </c>
      <c r="BN65" s="18">
        <v>0</v>
      </c>
      <c r="BO65" s="18">
        <v>0</v>
      </c>
      <c r="BP65" s="18">
        <v>0</v>
      </c>
      <c r="BQ65" s="18">
        <v>0</v>
      </c>
      <c r="BR65" s="27">
        <v>775973.49</v>
      </c>
      <c r="BS65" s="18">
        <v>0</v>
      </c>
      <c r="BT65" s="29"/>
      <c r="BU65" s="29"/>
      <c r="BV65" s="29"/>
      <c r="BW65" s="29"/>
    </row>
    <row r="66" spans="1:75">
      <c r="A66" s="16" t="s">
        <v>267</v>
      </c>
      <c r="B66" s="18">
        <v>0</v>
      </c>
      <c r="C66" s="18">
        <v>0</v>
      </c>
      <c r="D66" s="18">
        <v>0</v>
      </c>
      <c r="E66" s="18">
        <v>0</v>
      </c>
      <c r="F66" s="19">
        <v>0</v>
      </c>
      <c r="G66" s="19">
        <v>0</v>
      </c>
      <c r="H66" s="19">
        <v>0</v>
      </c>
      <c r="I66" s="19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7">
        <v>2116541.23</v>
      </c>
      <c r="W66" s="17">
        <v>-3518268.18</v>
      </c>
      <c r="X66" s="18">
        <v>0</v>
      </c>
      <c r="Y66" s="18">
        <v>0</v>
      </c>
      <c r="Z66" s="17">
        <v>3357791.71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7">
        <v>9747.45</v>
      </c>
      <c r="AI66" s="18">
        <v>0</v>
      </c>
      <c r="AJ66" s="18">
        <v>0</v>
      </c>
      <c r="AK66" s="18">
        <v>0</v>
      </c>
      <c r="AL66" s="17">
        <v>5642.75</v>
      </c>
      <c r="AM66" s="18">
        <v>0</v>
      </c>
      <c r="AN66" s="18">
        <v>0</v>
      </c>
      <c r="AO66" s="18">
        <v>0</v>
      </c>
      <c r="AP66" s="17">
        <v>1192418.46</v>
      </c>
      <c r="AQ66" s="17">
        <v>-1878212.22</v>
      </c>
      <c r="AR66" s="17">
        <v>1317819.05</v>
      </c>
      <c r="AS66" s="18">
        <v>0</v>
      </c>
      <c r="AT66" s="19">
        <v>640612.01</v>
      </c>
      <c r="AU66" s="18">
        <v>0</v>
      </c>
      <c r="AV66" s="17">
        <v>4183178.4</v>
      </c>
      <c r="AW66" s="18">
        <v>0</v>
      </c>
      <c r="AX66" s="17">
        <v>1121976.05</v>
      </c>
      <c r="AY66" s="18">
        <v>0</v>
      </c>
      <c r="AZ66" s="27">
        <v>8044413.38</v>
      </c>
      <c r="BA66" s="18">
        <v>0</v>
      </c>
      <c r="BB66" s="18">
        <v>0</v>
      </c>
      <c r="BC66" s="18">
        <v>0</v>
      </c>
      <c r="BD66" s="19">
        <v>366050.11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27">
        <v>9796238.5</v>
      </c>
      <c r="BS66" s="18">
        <v>0</v>
      </c>
      <c r="BT66" s="29"/>
      <c r="BU66" s="29"/>
      <c r="BV66" s="29"/>
      <c r="BW66" s="29"/>
    </row>
    <row r="67" spans="1:75">
      <c r="A67" s="16" t="s">
        <v>268</v>
      </c>
      <c r="B67" s="18">
        <v>0</v>
      </c>
      <c r="C67" s="18">
        <v>0</v>
      </c>
      <c r="D67" s="18">
        <v>0</v>
      </c>
      <c r="E67" s="18">
        <v>0</v>
      </c>
      <c r="F67" s="19">
        <v>0</v>
      </c>
      <c r="G67" s="19">
        <v>0</v>
      </c>
      <c r="H67" s="19">
        <v>0</v>
      </c>
      <c r="I67" s="19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7">
        <v>1784</v>
      </c>
      <c r="W67" s="18">
        <v>0</v>
      </c>
      <c r="X67" s="18">
        <v>0</v>
      </c>
      <c r="Y67" s="18">
        <v>0</v>
      </c>
      <c r="Z67" s="17">
        <v>1985416.39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7">
        <v>2392.92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7">
        <v>146928.51</v>
      </c>
      <c r="AS67" s="18">
        <v>0</v>
      </c>
      <c r="AT67" s="18">
        <v>56127.88</v>
      </c>
      <c r="AU67" s="18">
        <v>0</v>
      </c>
      <c r="AV67" s="17">
        <v>224410.62</v>
      </c>
      <c r="AW67" s="18">
        <v>0</v>
      </c>
      <c r="AX67" s="17">
        <v>86474.91</v>
      </c>
      <c r="AY67" s="18">
        <v>0</v>
      </c>
      <c r="AZ67" s="27">
        <v>13732.53</v>
      </c>
      <c r="BA67" s="18">
        <v>0</v>
      </c>
      <c r="BB67" s="19">
        <v>52907.52</v>
      </c>
      <c r="BC67" s="18">
        <v>0</v>
      </c>
      <c r="BD67" s="19">
        <v>87004.25</v>
      </c>
      <c r="BE67" s="18">
        <v>0</v>
      </c>
      <c r="BF67" s="17">
        <v>101399.51</v>
      </c>
      <c r="BG67" s="18">
        <v>0</v>
      </c>
      <c r="BH67" s="18">
        <v>0</v>
      </c>
      <c r="BI67" s="18">
        <v>0</v>
      </c>
      <c r="BJ67" s="18">
        <v>0</v>
      </c>
      <c r="BK67" s="18">
        <v>0</v>
      </c>
      <c r="BL67" s="18">
        <v>0</v>
      </c>
      <c r="BM67" s="18">
        <v>0</v>
      </c>
      <c r="BN67" s="18">
        <v>0</v>
      </c>
      <c r="BO67" s="18">
        <v>0</v>
      </c>
      <c r="BP67" s="18">
        <v>0</v>
      </c>
      <c r="BQ67" s="18">
        <v>0</v>
      </c>
      <c r="BR67" s="27">
        <v>1684390.7</v>
      </c>
      <c r="BS67" s="18">
        <v>0</v>
      </c>
      <c r="BT67" s="29"/>
      <c r="BU67" s="29"/>
      <c r="BV67" s="29"/>
      <c r="BW67" s="29"/>
    </row>
    <row r="68" spans="1:75">
      <c r="A68" s="16" t="s">
        <v>269</v>
      </c>
      <c r="B68" s="18">
        <v>0</v>
      </c>
      <c r="C68" s="18">
        <v>0</v>
      </c>
      <c r="D68" s="18">
        <v>0</v>
      </c>
      <c r="E68" s="18">
        <v>0</v>
      </c>
      <c r="F68" s="19">
        <v>0</v>
      </c>
      <c r="G68" s="19">
        <v>0</v>
      </c>
      <c r="H68" s="19">
        <v>0</v>
      </c>
      <c r="I68" s="19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7">
        <v>-1784</v>
      </c>
      <c r="X68" s="18">
        <v>0</v>
      </c>
      <c r="Y68" s="18">
        <v>0</v>
      </c>
      <c r="Z68" s="17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7">
        <v>126574.4</v>
      </c>
      <c r="AS68" s="18">
        <v>0</v>
      </c>
      <c r="AT68" s="18">
        <v>0</v>
      </c>
      <c r="AU68" s="18">
        <v>0</v>
      </c>
      <c r="AV68" s="17">
        <v>189167.76</v>
      </c>
      <c r="AW68" s="18">
        <v>0</v>
      </c>
      <c r="AX68" s="17">
        <v>105329.04</v>
      </c>
      <c r="AY68" s="18">
        <v>0</v>
      </c>
      <c r="AZ68" s="27">
        <v>63655.36</v>
      </c>
      <c r="BA68" s="18">
        <v>0</v>
      </c>
      <c r="BB68" s="18">
        <v>0</v>
      </c>
      <c r="BC68" s="18">
        <v>0</v>
      </c>
      <c r="BD68" s="19">
        <v>188436.37</v>
      </c>
      <c r="BE68" s="18">
        <v>0</v>
      </c>
      <c r="BF68" s="17">
        <v>68109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27">
        <v>1707970.08</v>
      </c>
      <c r="BS68" s="18">
        <v>0</v>
      </c>
      <c r="BT68" s="29"/>
      <c r="BU68" s="29"/>
      <c r="BV68" s="29"/>
      <c r="BW68" s="29"/>
    </row>
    <row r="69" spans="1:75">
      <c r="A69" s="16" t="s">
        <v>270</v>
      </c>
      <c r="B69" s="18">
        <v>0</v>
      </c>
      <c r="C69" s="18">
        <v>0</v>
      </c>
      <c r="D69" s="18">
        <v>0</v>
      </c>
      <c r="E69" s="18">
        <v>0</v>
      </c>
      <c r="F69" s="19">
        <v>0</v>
      </c>
      <c r="G69" s="19">
        <v>0</v>
      </c>
      <c r="H69" s="19">
        <v>0</v>
      </c>
      <c r="I69" s="19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7">
        <v>1560035.25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7">
        <v>369476.14</v>
      </c>
      <c r="AW69" s="18">
        <v>0</v>
      </c>
      <c r="AX69" s="17">
        <v>239893.45</v>
      </c>
      <c r="AY69" s="18">
        <v>0</v>
      </c>
      <c r="AZ69" s="27">
        <v>27268.46</v>
      </c>
      <c r="BA69" s="18">
        <v>0</v>
      </c>
      <c r="BB69" s="18">
        <v>0</v>
      </c>
      <c r="BC69" s="18">
        <v>0</v>
      </c>
      <c r="BD69" s="19">
        <v>137869.92</v>
      </c>
      <c r="BE69" s="18">
        <v>0</v>
      </c>
      <c r="BF69" s="17">
        <v>960</v>
      </c>
      <c r="BG69" s="18">
        <v>0</v>
      </c>
      <c r="BH69" s="32">
        <v>194341.05</v>
      </c>
      <c r="BI69" s="18">
        <v>0</v>
      </c>
      <c r="BJ69" s="18">
        <v>0</v>
      </c>
      <c r="BK69" s="18">
        <v>0</v>
      </c>
      <c r="BL69" s="18">
        <v>0</v>
      </c>
      <c r="BM69" s="18">
        <v>0</v>
      </c>
      <c r="BN69" s="18">
        <v>0</v>
      </c>
      <c r="BO69" s="18">
        <v>0</v>
      </c>
      <c r="BP69" s="18">
        <v>0</v>
      </c>
      <c r="BQ69" s="18">
        <v>0</v>
      </c>
      <c r="BR69" s="27">
        <v>989317.04</v>
      </c>
      <c r="BS69" s="18">
        <v>0</v>
      </c>
      <c r="BT69" s="29"/>
      <c r="BU69" s="29"/>
      <c r="BV69" s="29"/>
      <c r="BW69" s="29"/>
    </row>
    <row r="70" spans="1:75">
      <c r="A70" s="16" t="s">
        <v>271</v>
      </c>
      <c r="B70" s="18">
        <v>0</v>
      </c>
      <c r="C70" s="18">
        <v>0</v>
      </c>
      <c r="D70" s="18">
        <v>0</v>
      </c>
      <c r="E70" s="18">
        <v>0</v>
      </c>
      <c r="F70" s="19">
        <v>0</v>
      </c>
      <c r="G70" s="19">
        <v>0</v>
      </c>
      <c r="H70" s="19">
        <v>0</v>
      </c>
      <c r="I70" s="19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7">
        <v>1001318.79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7">
        <v>131766.24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7">
        <v>7740</v>
      </c>
      <c r="AW70" s="18">
        <v>0</v>
      </c>
      <c r="AX70" s="17">
        <v>232759.93</v>
      </c>
      <c r="AY70" s="18">
        <v>0</v>
      </c>
      <c r="AZ70" s="32">
        <v>28847.22</v>
      </c>
      <c r="BA70" s="18">
        <v>0</v>
      </c>
      <c r="BB70" s="18">
        <v>0</v>
      </c>
      <c r="BC70" s="18">
        <v>0</v>
      </c>
      <c r="BD70" s="21">
        <v>294178.76</v>
      </c>
      <c r="BE70" s="18">
        <v>0</v>
      </c>
      <c r="BF70" s="17">
        <v>215986.64</v>
      </c>
      <c r="BG70" s="18">
        <v>0</v>
      </c>
      <c r="BH70" s="32">
        <v>217738.59</v>
      </c>
      <c r="BI70" s="18">
        <v>0</v>
      </c>
      <c r="BJ70" s="18">
        <v>0</v>
      </c>
      <c r="BK70" s="18">
        <v>0</v>
      </c>
      <c r="BL70" s="20">
        <v>51977.33</v>
      </c>
      <c r="BM70" s="18">
        <v>0</v>
      </c>
      <c r="BN70" s="20">
        <v>152523.25</v>
      </c>
      <c r="BO70" s="18">
        <v>0</v>
      </c>
      <c r="BP70" s="20">
        <v>3200</v>
      </c>
      <c r="BQ70" s="18">
        <v>0</v>
      </c>
      <c r="BR70" s="32">
        <v>1292928.05</v>
      </c>
      <c r="BS70" s="18">
        <v>0</v>
      </c>
      <c r="BT70" s="29"/>
      <c r="BU70" s="29"/>
      <c r="BV70" s="29"/>
      <c r="BW70" s="29"/>
    </row>
    <row r="71" spans="1:75">
      <c r="A71" s="16" t="s">
        <v>272</v>
      </c>
      <c r="B71" s="18">
        <v>0</v>
      </c>
      <c r="C71" s="18">
        <v>0</v>
      </c>
      <c r="D71" s="18">
        <v>0</v>
      </c>
      <c r="E71" s="18">
        <v>0</v>
      </c>
      <c r="F71" s="19">
        <v>0</v>
      </c>
      <c r="G71" s="19">
        <v>0</v>
      </c>
      <c r="H71" s="19">
        <v>0</v>
      </c>
      <c r="I71" s="19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7">
        <v>1128931.69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29"/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7">
        <v>469807.18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7">
        <v>1125681.13</v>
      </c>
      <c r="AY71" s="18">
        <v>0</v>
      </c>
      <c r="AZ71" s="32">
        <v>28239.31</v>
      </c>
      <c r="BA71" s="18">
        <v>0</v>
      </c>
      <c r="BB71" s="18">
        <v>0</v>
      </c>
      <c r="BC71" s="18">
        <v>0</v>
      </c>
      <c r="BD71" s="21">
        <v>701758.99</v>
      </c>
      <c r="BE71" s="18">
        <v>0</v>
      </c>
      <c r="BF71" s="17">
        <v>325961.88</v>
      </c>
      <c r="BG71" s="18">
        <v>0</v>
      </c>
      <c r="BH71" s="32">
        <v>303533.23</v>
      </c>
      <c r="BI71" s="18">
        <v>0</v>
      </c>
      <c r="BJ71" s="32">
        <v>133141.87</v>
      </c>
      <c r="BK71" s="18">
        <v>0</v>
      </c>
      <c r="BL71" s="20">
        <v>100906.94</v>
      </c>
      <c r="BM71" s="18">
        <v>0</v>
      </c>
      <c r="BN71" s="20">
        <v>416836.85</v>
      </c>
      <c r="BO71" s="18">
        <v>0</v>
      </c>
      <c r="BP71" s="20">
        <v>154782.42</v>
      </c>
      <c r="BQ71" s="18">
        <v>0</v>
      </c>
      <c r="BR71" s="32">
        <v>3836955.93</v>
      </c>
      <c r="BS71" s="18">
        <v>0</v>
      </c>
      <c r="BT71" s="29"/>
      <c r="BU71" s="29"/>
      <c r="BV71" s="29"/>
      <c r="BW71" s="29"/>
    </row>
    <row r="72" spans="1:75">
      <c r="A72" s="16" t="s">
        <v>273</v>
      </c>
      <c r="B72" s="18">
        <v>0</v>
      </c>
      <c r="C72" s="18">
        <v>0</v>
      </c>
      <c r="D72" s="18">
        <v>0</v>
      </c>
      <c r="E72" s="18">
        <v>0</v>
      </c>
      <c r="F72" s="19">
        <v>0</v>
      </c>
      <c r="G72" s="19">
        <v>0</v>
      </c>
      <c r="H72" s="19">
        <v>0</v>
      </c>
      <c r="I72" s="19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7">
        <v>1009093.3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99245.28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17924.53</v>
      </c>
      <c r="AW72" s="18">
        <v>3507291</v>
      </c>
      <c r="AX72" s="18">
        <v>248403.35</v>
      </c>
      <c r="AY72" s="18">
        <v>0</v>
      </c>
      <c r="AZ72" s="18">
        <v>27911.4</v>
      </c>
      <c r="BA72" s="18">
        <v>0</v>
      </c>
      <c r="BB72" s="18">
        <v>0</v>
      </c>
      <c r="BC72" s="18">
        <v>0</v>
      </c>
      <c r="BD72" s="18">
        <v>21801</v>
      </c>
      <c r="BE72" s="18">
        <v>0</v>
      </c>
      <c r="BF72" s="18">
        <v>11771</v>
      </c>
      <c r="BG72" s="18">
        <v>0</v>
      </c>
      <c r="BH72" s="18">
        <v>347485.95</v>
      </c>
      <c r="BI72" s="18">
        <v>0</v>
      </c>
      <c r="BJ72" s="18">
        <v>91831.94</v>
      </c>
      <c r="BK72" s="18">
        <v>0</v>
      </c>
      <c r="BL72" s="18">
        <v>100993.23</v>
      </c>
      <c r="BM72" s="18">
        <v>0</v>
      </c>
      <c r="BN72" s="18">
        <v>451975.98</v>
      </c>
      <c r="BO72" s="18">
        <v>0</v>
      </c>
      <c r="BP72" s="18">
        <v>130924.66</v>
      </c>
      <c r="BQ72" s="18">
        <v>0</v>
      </c>
      <c r="BR72" s="18">
        <v>1049154.92</v>
      </c>
      <c r="BS72" s="18">
        <v>0</v>
      </c>
      <c r="BT72" s="29">
        <v>0</v>
      </c>
      <c r="BU72" s="29">
        <v>0</v>
      </c>
      <c r="BV72" s="29"/>
      <c r="BW72" s="29"/>
    </row>
    <row r="73" spans="1:75">
      <c r="A73" s="16" t="s">
        <v>274</v>
      </c>
      <c r="B73" s="18">
        <v>0</v>
      </c>
      <c r="C73" s="18">
        <v>0</v>
      </c>
      <c r="D73" s="18">
        <v>0</v>
      </c>
      <c r="E73" s="18">
        <v>0</v>
      </c>
      <c r="F73" s="19"/>
      <c r="G73" s="19"/>
      <c r="H73" s="19">
        <v>0</v>
      </c>
      <c r="I73" s="19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/>
      <c r="Q73" s="18"/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1058084.75</v>
      </c>
      <c r="AA73" s="18">
        <v>3139343.78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255000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673018.44</v>
      </c>
      <c r="AY73" s="18">
        <v>0</v>
      </c>
      <c r="AZ73" s="18">
        <v>156967.2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164238.2</v>
      </c>
      <c r="BG73" s="18">
        <v>0</v>
      </c>
      <c r="BH73" s="18">
        <v>1014124.61</v>
      </c>
      <c r="BI73" s="18">
        <v>0</v>
      </c>
      <c r="BJ73" s="18">
        <v>345839.85</v>
      </c>
      <c r="BK73" s="18">
        <v>0</v>
      </c>
      <c r="BL73" s="18">
        <v>254741.68</v>
      </c>
      <c r="BM73" s="18">
        <v>0</v>
      </c>
      <c r="BN73" s="18">
        <v>1045692.63</v>
      </c>
      <c r="BO73" s="18">
        <v>0</v>
      </c>
      <c r="BP73" s="18">
        <v>576199.2</v>
      </c>
      <c r="BQ73" s="18">
        <v>0</v>
      </c>
      <c r="BR73" s="18">
        <v>1497882.01</v>
      </c>
      <c r="BS73" s="18">
        <v>0</v>
      </c>
      <c r="BT73" s="29">
        <v>0</v>
      </c>
      <c r="BU73" s="29">
        <v>0</v>
      </c>
      <c r="BV73" s="21">
        <v>68361.7</v>
      </c>
      <c r="BW73" s="29">
        <v>0</v>
      </c>
    </row>
    <row r="74" spans="1:75">
      <c r="A74" s="16" t="s">
        <v>275</v>
      </c>
      <c r="B74" s="17"/>
      <c r="C74" s="17"/>
      <c r="D74" s="17"/>
      <c r="E74" s="17"/>
      <c r="F74" s="19"/>
      <c r="G74" s="19"/>
      <c r="H74" s="19"/>
      <c r="I74" s="19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9"/>
      <c r="BU74" s="29"/>
      <c r="BV74" s="29"/>
      <c r="BW74" s="29"/>
    </row>
    <row r="75" spans="1:75">
      <c r="A75" s="16" t="s">
        <v>276</v>
      </c>
      <c r="B75" s="17"/>
      <c r="C75" s="17"/>
      <c r="D75" s="17"/>
      <c r="E75" s="17"/>
      <c r="F75" s="19"/>
      <c r="G75" s="19"/>
      <c r="H75" s="19"/>
      <c r="I75" s="19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9"/>
      <c r="BU75" s="29"/>
      <c r="BV75" s="29"/>
      <c r="BW75" s="29"/>
    </row>
    <row r="76" spans="1:75">
      <c r="A76" s="16" t="s">
        <v>277</v>
      </c>
      <c r="B76" s="17"/>
      <c r="C76" s="17"/>
      <c r="D76" s="17"/>
      <c r="E76" s="17"/>
      <c r="F76" s="19"/>
      <c r="G76" s="19"/>
      <c r="H76" s="19"/>
      <c r="I76" s="19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9"/>
      <c r="BU76" s="29"/>
      <c r="BV76" s="29"/>
      <c r="BW76" s="29"/>
    </row>
    <row r="77" spans="1:75">
      <c r="A77" s="16" t="s">
        <v>278</v>
      </c>
      <c r="B77" s="17"/>
      <c r="C77" s="17"/>
      <c r="D77" s="17"/>
      <c r="E77" s="17"/>
      <c r="F77" s="19"/>
      <c r="G77" s="19"/>
      <c r="H77" s="19"/>
      <c r="I77" s="19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9"/>
      <c r="BU77" s="29"/>
      <c r="BV77" s="29"/>
      <c r="BW77" s="29"/>
    </row>
    <row r="78" spans="1:75">
      <c r="A78" s="16" t="s">
        <v>279</v>
      </c>
      <c r="B78" s="17"/>
      <c r="C78" s="17"/>
      <c r="D78" s="17"/>
      <c r="E78" s="17"/>
      <c r="F78" s="19"/>
      <c r="G78" s="19"/>
      <c r="H78" s="19"/>
      <c r="I78" s="19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9"/>
      <c r="BU78" s="29"/>
      <c r="BV78" s="29"/>
      <c r="BW78" s="29"/>
    </row>
    <row r="79" spans="1:71">
      <c r="A79" s="30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</row>
  </sheetData>
  <mergeCells count="38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A1:A2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I2" sqref="I2"/>
    </sheetView>
  </sheetViews>
  <sheetFormatPr defaultColWidth="9" defaultRowHeight="13.5"/>
  <cols>
    <col min="1" max="1" width="4.625" style="1" customWidth="1"/>
    <col min="2" max="2" width="14" style="1" customWidth="1"/>
    <col min="3" max="3" width="56.375" style="1" customWidth="1"/>
    <col min="4" max="4" width="10.375"/>
    <col min="5" max="5" width="11.625"/>
    <col min="6" max="6" width="9.25"/>
    <col min="8" max="8" width="10.375"/>
    <col min="9" max="13" width="11.25" customWidth="1"/>
    <col min="14" max="15" width="13.25" customWidth="1"/>
  </cols>
  <sheetData>
    <row r="1" ht="16.5" spans="1:15">
      <c r="A1" s="2" t="s">
        <v>280</v>
      </c>
      <c r="B1" s="2" t="s">
        <v>281</v>
      </c>
      <c r="C1" s="2" t="s">
        <v>282</v>
      </c>
      <c r="D1" s="2" t="s">
        <v>283</v>
      </c>
      <c r="E1" s="2" t="s">
        <v>284</v>
      </c>
      <c r="F1" s="2" t="s">
        <v>285</v>
      </c>
      <c r="G1" s="2" t="s">
        <v>286</v>
      </c>
      <c r="H1" s="2" t="s">
        <v>287</v>
      </c>
      <c r="I1" s="2" t="s">
        <v>288</v>
      </c>
      <c r="J1" s="2" t="s">
        <v>289</v>
      </c>
      <c r="K1" s="2" t="s">
        <v>290</v>
      </c>
      <c r="L1" s="2" t="s">
        <v>291</v>
      </c>
      <c r="M1" s="2" t="s">
        <v>292</v>
      </c>
      <c r="N1" s="2" t="s">
        <v>293</v>
      </c>
      <c r="O1" s="2" t="s">
        <v>294</v>
      </c>
    </row>
    <row r="2" ht="16.5" spans="1:15">
      <c r="A2" s="3">
        <v>1</v>
      </c>
      <c r="B2" s="4" t="s">
        <v>177</v>
      </c>
      <c r="C2" s="4" t="s">
        <v>295</v>
      </c>
      <c r="D2" s="5">
        <v>0</v>
      </c>
      <c r="E2" s="5">
        <v>0</v>
      </c>
      <c r="F2" s="5">
        <v>0</v>
      </c>
      <c r="G2" s="6">
        <v>0</v>
      </c>
      <c r="H2" s="6">
        <v>0</v>
      </c>
      <c r="I2" s="9"/>
      <c r="J2" s="9"/>
      <c r="K2" s="9"/>
      <c r="L2" s="9"/>
      <c r="M2" s="9"/>
      <c r="N2" s="9"/>
      <c r="O2" s="9"/>
    </row>
    <row r="3" ht="16.5" spans="1:15">
      <c r="A3" s="3">
        <v>2</v>
      </c>
      <c r="B3" s="4" t="s">
        <v>47</v>
      </c>
      <c r="C3" s="4" t="s">
        <v>296</v>
      </c>
      <c r="D3" s="5">
        <v>0</v>
      </c>
      <c r="E3" s="5">
        <v>0</v>
      </c>
      <c r="F3" s="5">
        <v>0</v>
      </c>
      <c r="G3" s="5">
        <v>0</v>
      </c>
      <c r="H3" s="6">
        <v>0</v>
      </c>
      <c r="I3" s="9"/>
      <c r="J3" s="9"/>
      <c r="K3" s="9"/>
      <c r="L3" s="9"/>
      <c r="M3" s="9"/>
      <c r="N3" s="9"/>
      <c r="O3" s="9"/>
    </row>
    <row r="4" ht="16.5" spans="1:15">
      <c r="A4" s="3">
        <v>3</v>
      </c>
      <c r="B4" s="4" t="s">
        <v>81</v>
      </c>
      <c r="C4" s="4" t="s">
        <v>297</v>
      </c>
      <c r="D4" s="5">
        <v>0</v>
      </c>
      <c r="E4" s="5">
        <v>0</v>
      </c>
      <c r="F4" s="5">
        <v>0</v>
      </c>
      <c r="G4" s="5">
        <v>0</v>
      </c>
      <c r="H4" s="6">
        <v>0</v>
      </c>
      <c r="I4" s="9"/>
      <c r="J4" s="9"/>
      <c r="K4" s="9"/>
      <c r="L4" s="9"/>
      <c r="M4" s="9"/>
      <c r="N4" s="9"/>
      <c r="O4" s="9"/>
    </row>
    <row r="5" ht="16.5" spans="1:15">
      <c r="A5" s="3">
        <v>4</v>
      </c>
      <c r="B5" s="4" t="s">
        <v>55</v>
      </c>
      <c r="C5" s="4" t="s">
        <v>298</v>
      </c>
      <c r="D5" s="5">
        <v>0</v>
      </c>
      <c r="E5" s="5">
        <v>0</v>
      </c>
      <c r="F5" s="5">
        <v>0</v>
      </c>
      <c r="G5" s="5">
        <v>7740</v>
      </c>
      <c r="H5" s="6">
        <v>0</v>
      </c>
      <c r="I5" s="9"/>
      <c r="J5" s="9"/>
      <c r="K5" s="9"/>
      <c r="L5" s="9"/>
      <c r="M5" s="9"/>
      <c r="N5" s="9"/>
      <c r="O5" s="9"/>
    </row>
    <row r="6" ht="16.5" spans="1:15">
      <c r="A6" s="3">
        <v>5</v>
      </c>
      <c r="B6" s="4" t="s">
        <v>92</v>
      </c>
      <c r="C6" s="4" t="s">
        <v>299</v>
      </c>
      <c r="D6" s="5">
        <v>0</v>
      </c>
      <c r="E6" s="5">
        <v>0</v>
      </c>
      <c r="F6" s="5">
        <v>0</v>
      </c>
      <c r="G6" s="5">
        <v>0</v>
      </c>
      <c r="H6" s="6">
        <v>0</v>
      </c>
      <c r="I6" s="9"/>
      <c r="J6" s="9"/>
      <c r="K6" s="9"/>
      <c r="L6" s="9"/>
      <c r="M6" s="9"/>
      <c r="N6" s="9"/>
      <c r="O6" s="9"/>
    </row>
    <row r="7" ht="16.5" spans="1:15">
      <c r="A7" s="3">
        <v>6</v>
      </c>
      <c r="B7" s="4" t="s">
        <v>158</v>
      </c>
      <c r="C7" s="4" t="s">
        <v>159</v>
      </c>
      <c r="D7" s="5">
        <v>0</v>
      </c>
      <c r="E7" s="5">
        <v>0</v>
      </c>
      <c r="F7" s="5">
        <v>0</v>
      </c>
      <c r="G7" s="5">
        <v>0</v>
      </c>
      <c r="H7" s="6">
        <v>0</v>
      </c>
      <c r="I7" s="9"/>
      <c r="J7" s="9"/>
      <c r="K7" s="9"/>
      <c r="L7" s="9"/>
      <c r="M7" s="9"/>
      <c r="N7" s="9"/>
      <c r="O7" s="9"/>
    </row>
    <row r="8" ht="16.5" spans="1:15">
      <c r="A8" s="3">
        <v>7</v>
      </c>
      <c r="B8" s="4" t="s">
        <v>189</v>
      </c>
      <c r="C8" s="4" t="s">
        <v>190</v>
      </c>
      <c r="D8" s="5">
        <v>52907.52</v>
      </c>
      <c r="E8" s="5">
        <v>0</v>
      </c>
      <c r="F8" s="5" t="s">
        <v>63</v>
      </c>
      <c r="G8" s="5" t="s">
        <v>63</v>
      </c>
      <c r="H8" s="5" t="s">
        <v>63</v>
      </c>
      <c r="I8" s="9"/>
      <c r="J8" s="9"/>
      <c r="K8" s="9"/>
      <c r="L8" s="9"/>
      <c r="M8" s="9"/>
      <c r="N8" s="9"/>
      <c r="O8" s="9"/>
    </row>
    <row r="9" ht="16.5" spans="1:15">
      <c r="A9" s="3">
        <v>8</v>
      </c>
      <c r="B9" s="4" t="s">
        <v>120</v>
      </c>
      <c r="C9" s="4" t="s">
        <v>300</v>
      </c>
      <c r="D9" s="5">
        <v>0</v>
      </c>
      <c r="E9" s="5">
        <v>105077.79</v>
      </c>
      <c r="F9" s="5">
        <v>3628</v>
      </c>
      <c r="G9" s="5">
        <v>39836</v>
      </c>
      <c r="H9" s="6">
        <v>213192</v>
      </c>
      <c r="I9" s="9">
        <v>21801</v>
      </c>
      <c r="J9" s="9"/>
      <c r="K9" s="9"/>
      <c r="L9" s="9"/>
      <c r="M9" s="9"/>
      <c r="N9" s="9"/>
      <c r="O9" s="9"/>
    </row>
    <row r="10" ht="16.5" spans="1:15">
      <c r="A10" s="3">
        <v>9</v>
      </c>
      <c r="B10" s="4" t="s">
        <v>173</v>
      </c>
      <c r="C10" s="4" t="s">
        <v>174</v>
      </c>
      <c r="D10" s="5">
        <v>5443.18</v>
      </c>
      <c r="E10" s="5">
        <v>3818</v>
      </c>
      <c r="F10" s="5">
        <v>960</v>
      </c>
      <c r="G10" s="5">
        <v>6772</v>
      </c>
      <c r="H10" s="6">
        <v>7506</v>
      </c>
      <c r="I10" s="9">
        <v>11771</v>
      </c>
      <c r="J10" s="9">
        <v>7271</v>
      </c>
      <c r="K10" s="9"/>
      <c r="L10" s="9"/>
      <c r="M10" s="9"/>
      <c r="N10" s="9"/>
      <c r="O10" s="9"/>
    </row>
    <row r="11" ht="16.5" spans="1:15">
      <c r="A11" s="3">
        <v>10</v>
      </c>
      <c r="B11" s="4" t="s">
        <v>52</v>
      </c>
      <c r="C11" s="4" t="s">
        <v>53</v>
      </c>
      <c r="D11" s="5" t="s">
        <v>63</v>
      </c>
      <c r="E11" s="5" t="s">
        <v>63</v>
      </c>
      <c r="F11" s="5">
        <v>0</v>
      </c>
      <c r="G11" s="5">
        <v>2095</v>
      </c>
      <c r="H11" s="6">
        <v>320</v>
      </c>
      <c r="I11" s="9">
        <v>1814</v>
      </c>
      <c r="J11" s="9">
        <v>1009</v>
      </c>
      <c r="K11" s="9"/>
      <c r="L11" s="9"/>
      <c r="M11" s="9"/>
      <c r="N11" s="9"/>
      <c r="O11" s="9"/>
    </row>
    <row r="12" ht="16.5" spans="1:15">
      <c r="A12" s="3">
        <v>11</v>
      </c>
      <c r="B12" s="4" t="s">
        <v>89</v>
      </c>
      <c r="C12" s="4" t="s">
        <v>90</v>
      </c>
      <c r="D12" s="5" t="s">
        <v>63</v>
      </c>
      <c r="E12" s="5" t="s">
        <v>63</v>
      </c>
      <c r="F12" s="5" t="s">
        <v>63</v>
      </c>
      <c r="G12" s="5" t="s">
        <v>63</v>
      </c>
      <c r="H12" s="6">
        <v>0</v>
      </c>
      <c r="I12" s="9"/>
      <c r="J12" s="9"/>
      <c r="K12" s="9"/>
      <c r="L12" s="9"/>
      <c r="M12" s="9"/>
      <c r="N12" s="9"/>
      <c r="O12" s="9"/>
    </row>
    <row r="13" ht="16.5" spans="1:15">
      <c r="A13" s="3">
        <v>12</v>
      </c>
      <c r="B13" s="4" t="s">
        <v>85</v>
      </c>
      <c r="C13" s="4" t="s">
        <v>86</v>
      </c>
      <c r="D13" s="5" t="s">
        <v>63</v>
      </c>
      <c r="E13" s="5" t="s">
        <v>63</v>
      </c>
      <c r="F13" s="5" t="s">
        <v>63</v>
      </c>
      <c r="G13" s="5" t="s">
        <v>63</v>
      </c>
      <c r="H13" s="6">
        <v>0</v>
      </c>
      <c r="I13" s="9"/>
      <c r="J13" s="9"/>
      <c r="K13" s="9"/>
      <c r="L13" s="9"/>
      <c r="M13" s="9"/>
      <c r="N13" s="9"/>
      <c r="O13" s="9"/>
    </row>
    <row r="14" ht="16.5" spans="1:15">
      <c r="A14" s="3">
        <v>13</v>
      </c>
      <c r="B14" s="7" t="s">
        <v>59</v>
      </c>
      <c r="C14" s="8" t="s">
        <v>60</v>
      </c>
      <c r="D14" s="5" t="s">
        <v>63</v>
      </c>
      <c r="E14" s="5" t="s">
        <v>63</v>
      </c>
      <c r="F14" s="5" t="s">
        <v>63</v>
      </c>
      <c r="G14" s="5">
        <v>0</v>
      </c>
      <c r="H14" s="6">
        <v>0</v>
      </c>
      <c r="I14" s="9"/>
      <c r="J14" s="9"/>
      <c r="K14" s="9"/>
      <c r="L14" s="9"/>
      <c r="M14" s="9"/>
      <c r="N14" s="9"/>
      <c r="O14" s="9"/>
    </row>
    <row r="15" ht="16.5" spans="1:15">
      <c r="A15" s="3">
        <v>14</v>
      </c>
      <c r="B15" s="7" t="s">
        <v>87</v>
      </c>
      <c r="C15" s="8" t="s">
        <v>88</v>
      </c>
      <c r="D15" s="5" t="s">
        <v>63</v>
      </c>
      <c r="E15" s="5" t="s">
        <v>63</v>
      </c>
      <c r="F15" s="5" t="s">
        <v>63</v>
      </c>
      <c r="G15" s="5">
        <v>3200</v>
      </c>
      <c r="H15" s="6">
        <v>5127</v>
      </c>
      <c r="I15" s="9">
        <v>5792</v>
      </c>
      <c r="J15" s="9"/>
      <c r="K15" s="9"/>
      <c r="L15" s="9"/>
      <c r="M15" s="9"/>
      <c r="N15" s="9"/>
      <c r="O15" s="9"/>
    </row>
    <row r="16" ht="16.5" spans="1:15">
      <c r="A16" s="3">
        <v>15</v>
      </c>
      <c r="B16" s="4" t="s">
        <v>204</v>
      </c>
      <c r="C16" s="4" t="s">
        <v>301</v>
      </c>
      <c r="D16" s="5">
        <v>3188</v>
      </c>
      <c r="E16" s="5">
        <v>0</v>
      </c>
      <c r="F16" s="5">
        <v>26296.4</v>
      </c>
      <c r="G16" s="5">
        <v>1040</v>
      </c>
      <c r="H16" s="6">
        <v>14733.38</v>
      </c>
      <c r="I16" s="9">
        <v>14979</v>
      </c>
      <c r="J16" s="9">
        <v>6298</v>
      </c>
      <c r="K16" s="9"/>
      <c r="L16" s="9"/>
      <c r="M16" s="9"/>
      <c r="N16" s="9"/>
      <c r="O16" s="9"/>
    </row>
    <row r="17" ht="16.5" spans="1:15">
      <c r="A17" s="3">
        <v>16</v>
      </c>
      <c r="B17" s="4" t="s">
        <v>193</v>
      </c>
      <c r="C17" s="4" t="s">
        <v>192</v>
      </c>
      <c r="D17" s="5">
        <v>0</v>
      </c>
      <c r="E17" s="5">
        <v>0</v>
      </c>
      <c r="F17" s="5">
        <v>1512</v>
      </c>
      <c r="G17" s="5">
        <v>0</v>
      </c>
      <c r="H17" s="6">
        <v>0</v>
      </c>
      <c r="I17" s="9"/>
      <c r="J17" s="9"/>
      <c r="K17" s="9"/>
      <c r="L17" s="9"/>
      <c r="M17" s="9"/>
      <c r="N17" s="9"/>
      <c r="O17" s="9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</vt:lpstr>
      <vt:lpstr>各月转入转出_历史</vt:lpstr>
      <vt:lpstr>各月转入转出</vt:lpstr>
      <vt:lpstr>差旅费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王大昱</dc:creator>
  <cp:lastModifiedBy>王大昱</cp:lastModifiedBy>
  <dcterms:created xsi:type="dcterms:W3CDTF">2023-07-11T09:21:00Z</dcterms:created>
  <dcterms:modified xsi:type="dcterms:W3CDTF">2025-08-18T03:56:45Z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55207E8D03144B3AA6790F63BB9E25AA</vt:lpwstr>
  </property>
  <property fmtid="{D5CDD505-2E9C-101B-9397-08002B2CF9AE}" pid="3" name="KSOProductBuildVer">
    <vt:lpwstr>2052-11.1.0.10314</vt:lpwstr>
  </property>
</Properties>
</file>