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1700" activeTab="2"/>
  </bookViews>
  <sheets>
    <sheet name="2025年二季度" sheetId="1" r:id="rId1"/>
    <sheet name="YZ-RD202428" sheetId="5" r:id="rId2"/>
    <sheet name="410" sheetId="15" r:id="rId3"/>
    <sheet name="411" sheetId="20" r:id="rId4"/>
    <sheet name="414" sheetId="13" r:id="rId5"/>
    <sheet name="415" sheetId="16" r:id="rId6"/>
    <sheet name="416" sheetId="19" r:id="rId7"/>
    <sheet name="417" sheetId="18" r:id="rId8"/>
    <sheet name="418" sheetId="14" r:id="rId9"/>
    <sheet name="419" sheetId="17" r:id="rId10"/>
  </sheets>
  <calcPr calcId="144525"/>
</workbook>
</file>

<file path=xl/sharedStrings.xml><?xml version="1.0" encoding="utf-8"?>
<sst xmlns="http://schemas.openxmlformats.org/spreadsheetml/2006/main" count="274" uniqueCount="40">
  <si>
    <t>科目</t>
  </si>
  <si>
    <t>金额</t>
  </si>
  <si>
    <t>5101030001  制造费用-折旧费</t>
  </si>
  <si>
    <t>5101040001  制造费用-无形资产摊销</t>
  </si>
  <si>
    <t>5101070001  制造费用-水电费-水费</t>
  </si>
  <si>
    <t>5101070002  制造费用-水电费-电费</t>
  </si>
  <si>
    <t>5101070003  制造费用-水电费-取暖费</t>
  </si>
  <si>
    <t>5101080001  制造费用-办公费</t>
  </si>
  <si>
    <t>5101100001  制造费用-劳动保护费-劳保&gt;</t>
  </si>
  <si>
    <t>5101210001  制造费用-运输费-通勤费</t>
  </si>
  <si>
    <t>5301010502  研发支出-费用化支出-事务&gt;</t>
  </si>
  <si>
    <t>5301010801  研发支出-费用化支出-工资&gt;</t>
  </si>
  <si>
    <t>5301010802  研发支出-费用化支出-工资&gt;</t>
  </si>
  <si>
    <t>5301010805  研发支出-费用化支出-工资&gt;</t>
  </si>
  <si>
    <t>5301010806  研发支出-费用化支出-工资&gt;</t>
  </si>
  <si>
    <t>5301010808  研发支出-费用化支出-工资&gt;</t>
  </si>
  <si>
    <t>5301010809  研发支出-费用化支出-工资&gt;</t>
  </si>
  <si>
    <t>5301010810  研发支出-费用化支出-工资&gt;</t>
  </si>
  <si>
    <t>5301010811  研发支出-费用化支出-工资&gt;</t>
  </si>
  <si>
    <t>5301010814  研发支出-费用化支出-工资&gt;</t>
  </si>
  <si>
    <t>WH1论证与设计
费用分摊明细表（订单号YZ-RD202428）</t>
  </si>
  <si>
    <t>编制单位（盖章）：</t>
  </si>
  <si>
    <t>费用期间：2025年4-6月</t>
  </si>
  <si>
    <t>成本要素代码</t>
  </si>
  <si>
    <t>分摊比例</t>
  </si>
  <si>
    <t>费用</t>
  </si>
  <si>
    <t>合   计</t>
  </si>
  <si>
    <t>制表：</t>
  </si>
  <si>
    <t>审核：</t>
  </si>
  <si>
    <t>季度成本中心（WBS要素）调配表
（订单号：XXXXXX）</t>
  </si>
  <si>
    <t>项目简称：</t>
  </si>
  <si>
    <t>订单号：</t>
  </si>
  <si>
    <t>费用分摊期间：</t>
  </si>
  <si>
    <t>6号-5设计
费用分摊明细表（订单号YZ40000411）</t>
  </si>
  <si>
    <t>8号-1.3设计
费用分摊明细表（订单号YZ40000414）</t>
  </si>
  <si>
    <t>C929设计（2025年上飞院）
费用分摊明细表（订单号YZ40000415）</t>
  </si>
  <si>
    <t>C919手册优化（2025年复材中心）
费用分摊明细表（订单号YZ40000416）</t>
  </si>
  <si>
    <t>C919高原型设计（2025年上飞院）
费用分摊明细表（订单号YZ40000417）</t>
  </si>
  <si>
    <t>C929设计（2025年复材中心）
费用分摊明细表（订单号YZ40000418）</t>
  </si>
  <si>
    <t>C919基本型设计（2025年上飞院）
费用分摊明细表（订单号YZ40000419）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</si>
</sst>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#,##0.00_ "/>
  </numFmts>
  <fonts count="2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5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4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7" fillId="20" borderId="1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43" fontId="0" fillId="0" borderId="0" xfId="8" applyFont="1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10" fontId="0" fillId="0" borderId="2" xfId="0" applyNumberFormat="1" applyFont="1" applyFill="1" applyBorder="1" applyAlignment="1">
      <alignment vertical="center"/>
    </xf>
    <xf numFmtId="43" fontId="0" fillId="0" borderId="2" xfId="8" applyFont="1" applyBorder="1">
      <alignment vertical="center"/>
    </xf>
    <xf numFmtId="0" fontId="0" fillId="0" borderId="2" xfId="0" applyBorder="1">
      <alignment vertical="center"/>
    </xf>
    <xf numFmtId="4" fontId="0" fillId="0" borderId="2" xfId="0" applyNumberFormat="1" applyBorder="1">
      <alignment vertical="center"/>
    </xf>
    <xf numFmtId="9" fontId="0" fillId="0" borderId="2" xfId="0" applyNumberFormat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4" fontId="0" fillId="0" borderId="2" xfId="0" applyNumberFormat="1" applyFont="1" applyFill="1" applyBorder="1" applyAlignment="1">
      <alignment vertical="center"/>
    </xf>
    <xf numFmtId="0" fontId="0" fillId="0" borderId="0" xfId="0" applyFont="1" applyFill="1" applyAlignment="1">
      <alignment horizontal="center" vertical="center"/>
    </xf>
    <xf numFmtId="43" fontId="0" fillId="0" borderId="0" xfId="8" applyFont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0" fontId="0" fillId="0" borderId="2" xfId="0" applyNumberFormat="1" applyFont="1" applyFill="1" applyBorder="1" applyAlignment="1">
      <alignment horizontal="center" vertical="center"/>
    </xf>
    <xf numFmtId="43" fontId="0" fillId="0" borderId="2" xfId="8" applyFon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2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justify" vertical="center"/>
    </xf>
    <xf numFmtId="0" fontId="0" fillId="0" borderId="1" xfId="0" applyFill="1" applyBorder="1" applyAlignment="1">
      <alignment horizontal="justify" vertical="center"/>
    </xf>
    <xf numFmtId="4" fontId="0" fillId="0" borderId="0" xfId="0" applyNumberFormat="1">
      <alignment vertical="center"/>
    </xf>
    <xf numFmtId="176" fontId="0" fillId="0" borderId="0" xfId="0" applyNumberFormat="1">
      <alignment vertical="center"/>
    </xf>
    <xf numFmtId="43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selection activeCell="B20" sqref="B20"/>
    </sheetView>
  </sheetViews>
  <sheetFormatPr defaultColWidth="9" defaultRowHeight="13.5" outlineLevelCol="3"/>
  <cols>
    <col min="1" max="1" width="44" customWidth="1"/>
    <col min="2" max="2" width="17.375" customWidth="1"/>
    <col min="3" max="3" width="13.875" customWidth="1"/>
    <col min="4" max="4" width="15" customWidth="1"/>
  </cols>
  <sheetData>
    <row r="1" spans="1:2">
      <c r="A1" t="s">
        <v>0</v>
      </c>
      <c r="B1" t="s">
        <v>1</v>
      </c>
    </row>
    <row r="2" spans="1:4">
      <c r="A2" s="9" t="s">
        <v>2</v>
      </c>
      <c r="B2" s="10">
        <v>1366105.06</v>
      </c>
      <c r="C2" s="25"/>
      <c r="D2" s="26"/>
    </row>
    <row r="3" spans="1:4">
      <c r="A3" s="9" t="s">
        <v>3</v>
      </c>
      <c r="B3" s="10">
        <v>17743.37</v>
      </c>
      <c r="C3" s="25"/>
      <c r="D3" s="26"/>
    </row>
    <row r="4" spans="1:4">
      <c r="A4" s="9" t="s">
        <v>4</v>
      </c>
      <c r="B4" s="10">
        <v>8923.24</v>
      </c>
      <c r="C4" s="25"/>
      <c r="D4" s="26"/>
    </row>
    <row r="5" spans="1:4">
      <c r="A5" s="9" t="s">
        <v>5</v>
      </c>
      <c r="B5" s="10">
        <v>242625.16</v>
      </c>
      <c r="C5" s="25"/>
      <c r="D5" s="26"/>
    </row>
    <row r="6" spans="1:4">
      <c r="A6" s="9" t="s">
        <v>6</v>
      </c>
      <c r="B6" s="10">
        <v>23237.14</v>
      </c>
      <c r="C6" s="25"/>
      <c r="D6" s="26"/>
    </row>
    <row r="7" spans="1:4">
      <c r="A7" s="9" t="s">
        <v>7</v>
      </c>
      <c r="B7" s="10">
        <v>6180.22</v>
      </c>
      <c r="C7" s="25"/>
      <c r="D7" s="26"/>
    </row>
    <row r="8" spans="1:4">
      <c r="A8" s="9" t="s">
        <v>8</v>
      </c>
      <c r="B8" s="10">
        <v>6504.87</v>
      </c>
      <c r="C8" s="25"/>
      <c r="D8" s="26"/>
    </row>
    <row r="9" spans="1:4">
      <c r="A9" s="9" t="s">
        <v>9</v>
      </c>
      <c r="B9" s="10">
        <v>71389</v>
      </c>
      <c r="C9" s="25"/>
      <c r="D9" s="26"/>
    </row>
    <row r="10" spans="1:4">
      <c r="A10" s="9" t="s">
        <v>10</v>
      </c>
      <c r="B10" s="10">
        <v>30752.38</v>
      </c>
      <c r="C10" s="25"/>
      <c r="D10" s="26"/>
    </row>
    <row r="11" spans="1:4">
      <c r="A11" s="9" t="s">
        <v>11</v>
      </c>
      <c r="B11" s="10">
        <v>875323.47</v>
      </c>
      <c r="C11" s="25"/>
      <c r="D11" s="26"/>
    </row>
    <row r="12" spans="1:4">
      <c r="A12" s="9" t="s">
        <v>12</v>
      </c>
      <c r="B12" s="10">
        <v>69805.9</v>
      </c>
      <c r="C12" s="25"/>
      <c r="D12" s="26"/>
    </row>
    <row r="13" spans="1:4">
      <c r="A13" s="9" t="s">
        <v>13</v>
      </c>
      <c r="B13" s="10">
        <v>17059.39</v>
      </c>
      <c r="C13" s="25"/>
      <c r="D13" s="26"/>
    </row>
    <row r="14" spans="1:4">
      <c r="A14" s="9" t="s">
        <v>14</v>
      </c>
      <c r="B14" s="10">
        <v>125634</v>
      </c>
      <c r="C14" s="25"/>
      <c r="D14" s="26"/>
    </row>
    <row r="15" spans="1:4">
      <c r="A15" s="9" t="s">
        <v>15</v>
      </c>
      <c r="B15" s="10">
        <v>133379.52</v>
      </c>
      <c r="C15" s="25"/>
      <c r="D15" s="26"/>
    </row>
    <row r="16" spans="1:4">
      <c r="A16" s="9" t="s">
        <v>16</v>
      </c>
      <c r="B16" s="10">
        <v>78008.78</v>
      </c>
      <c r="C16" s="25"/>
      <c r="D16" s="26"/>
    </row>
    <row r="17" spans="1:4">
      <c r="A17" s="9" t="s">
        <v>17</v>
      </c>
      <c r="B17" s="10">
        <v>4168.31</v>
      </c>
      <c r="C17" s="25"/>
      <c r="D17" s="26"/>
    </row>
    <row r="18" spans="1:3">
      <c r="A18" s="9" t="s">
        <v>18</v>
      </c>
      <c r="B18" s="10">
        <v>9169.77</v>
      </c>
      <c r="C18" s="25"/>
    </row>
    <row r="19" spans="1:3">
      <c r="A19" s="9" t="s">
        <v>19</v>
      </c>
      <c r="B19" s="10">
        <v>53334.2</v>
      </c>
      <c r="C19" s="25"/>
    </row>
    <row r="20" spans="2:2">
      <c r="B20" s="25">
        <f>SUM(B2:B19)</f>
        <v>3139343.78</v>
      </c>
    </row>
    <row r="21" spans="2:2">
      <c r="B21" s="27"/>
    </row>
    <row r="25" spans="2:2">
      <c r="B25" s="27"/>
    </row>
    <row r="28" spans="2:2">
      <c r="B28" s="27"/>
    </row>
    <row r="29" spans="2:2">
      <c r="B29" s="25"/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D23"/>
  <sheetViews>
    <sheetView workbookViewId="0">
      <selection activeCell="C8" sqref="C8"/>
    </sheetView>
  </sheetViews>
  <sheetFormatPr defaultColWidth="9" defaultRowHeight="13.5" outlineLevelCol="3"/>
  <cols>
    <col min="1" max="1" width="40" style="1" customWidth="1"/>
    <col min="2" max="2" width="13.875" style="1" customWidth="1"/>
    <col min="3" max="3" width="9.5" style="1" customWidth="1"/>
    <col min="4" max="4" width="16.125" style="2" customWidth="1"/>
    <col min="5" max="16368" width="9" style="1"/>
  </cols>
  <sheetData>
    <row r="1" ht="54" customHeight="1" spans="1:4">
      <c r="A1" s="3" t="s">
        <v>20</v>
      </c>
      <c r="B1" s="3"/>
      <c r="C1" s="3"/>
      <c r="D1" s="3"/>
    </row>
    <row r="2" ht="25.5" customHeight="1" spans="1:4">
      <c r="A2" s="1" t="s">
        <v>21</v>
      </c>
      <c r="B2" s="4" t="s">
        <v>22</v>
      </c>
      <c r="C2" s="5"/>
      <c r="D2" s="5"/>
    </row>
    <row r="3" spans="1:4">
      <c r="A3" s="6" t="s">
        <v>23</v>
      </c>
      <c r="B3" s="6" t="s">
        <v>1</v>
      </c>
      <c r="C3" s="7" t="s">
        <v>24</v>
      </c>
      <c r="D3" s="8" t="s">
        <v>25</v>
      </c>
    </row>
    <row r="4" spans="1:4">
      <c r="A4" s="9" t="s">
        <v>2</v>
      </c>
      <c r="B4" s="10">
        <v>1366105.06</v>
      </c>
      <c r="C4" s="11">
        <v>0.25</v>
      </c>
      <c r="D4" s="8">
        <f t="shared" ref="D4:D20" si="0">ROUND(B4*C4,2)</f>
        <v>341526.27</v>
      </c>
    </row>
    <row r="5" spans="1:4">
      <c r="A5" s="9" t="s">
        <v>3</v>
      </c>
      <c r="B5" s="10">
        <v>17743.37</v>
      </c>
      <c r="C5" s="11">
        <v>0.25</v>
      </c>
      <c r="D5" s="8">
        <f t="shared" si="0"/>
        <v>4435.84</v>
      </c>
    </row>
    <row r="6" spans="1:4">
      <c r="A6" s="9" t="s">
        <v>4</v>
      </c>
      <c r="B6" s="10">
        <v>8923.24</v>
      </c>
      <c r="C6" s="11">
        <v>0.25</v>
      </c>
      <c r="D6" s="8">
        <f t="shared" si="0"/>
        <v>2230.81</v>
      </c>
    </row>
    <row r="7" spans="1:4">
      <c r="A7" s="9" t="s">
        <v>5</v>
      </c>
      <c r="B7" s="10">
        <v>242625.16</v>
      </c>
      <c r="C7" s="11">
        <v>0.25</v>
      </c>
      <c r="D7" s="8">
        <f t="shared" si="0"/>
        <v>60656.29</v>
      </c>
    </row>
    <row r="8" spans="1:4">
      <c r="A8" s="9" t="s">
        <v>6</v>
      </c>
      <c r="B8" s="10">
        <v>23237.14</v>
      </c>
      <c r="C8" s="11">
        <v>0.25</v>
      </c>
      <c r="D8" s="8">
        <f t="shared" si="0"/>
        <v>5809.29</v>
      </c>
    </row>
    <row r="9" spans="1:4">
      <c r="A9" s="9" t="s">
        <v>7</v>
      </c>
      <c r="B9" s="10">
        <v>6180.22</v>
      </c>
      <c r="C9" s="11">
        <v>0.25</v>
      </c>
      <c r="D9" s="8">
        <f t="shared" si="0"/>
        <v>1545.06</v>
      </c>
    </row>
    <row r="10" spans="1:4">
      <c r="A10" s="9" t="s">
        <v>8</v>
      </c>
      <c r="B10" s="10">
        <v>6504.87</v>
      </c>
      <c r="C10" s="11">
        <v>0.25</v>
      </c>
      <c r="D10" s="8">
        <f t="shared" si="0"/>
        <v>1626.22</v>
      </c>
    </row>
    <row r="11" spans="1:4">
      <c r="A11" s="9" t="s">
        <v>9</v>
      </c>
      <c r="B11" s="10">
        <v>71389</v>
      </c>
      <c r="C11" s="11">
        <v>0.25</v>
      </c>
      <c r="D11" s="8">
        <f t="shared" si="0"/>
        <v>17847.25</v>
      </c>
    </row>
    <row r="12" spans="1:4">
      <c r="A12" s="9" t="s">
        <v>10</v>
      </c>
      <c r="B12" s="10">
        <v>30752.38</v>
      </c>
      <c r="C12" s="11">
        <v>0.25</v>
      </c>
      <c r="D12" s="8">
        <f t="shared" si="0"/>
        <v>7688.1</v>
      </c>
    </row>
    <row r="13" spans="1:4">
      <c r="A13" s="9" t="s">
        <v>11</v>
      </c>
      <c r="B13" s="10">
        <v>875323.47</v>
      </c>
      <c r="C13" s="11">
        <v>0.25</v>
      </c>
      <c r="D13" s="8">
        <f t="shared" si="0"/>
        <v>218830.87</v>
      </c>
    </row>
    <row r="14" spans="1:4">
      <c r="A14" s="9" t="s">
        <v>12</v>
      </c>
      <c r="B14" s="10">
        <v>69805.9</v>
      </c>
      <c r="C14" s="11">
        <v>0.25</v>
      </c>
      <c r="D14" s="8">
        <f t="shared" si="0"/>
        <v>17451.48</v>
      </c>
    </row>
    <row r="15" spans="1:4">
      <c r="A15" s="9" t="s">
        <v>13</v>
      </c>
      <c r="B15" s="10">
        <v>17059.39</v>
      </c>
      <c r="C15" s="11">
        <v>0.25</v>
      </c>
      <c r="D15" s="8">
        <f t="shared" si="0"/>
        <v>4264.85</v>
      </c>
    </row>
    <row r="16" spans="1:4">
      <c r="A16" s="9" t="s">
        <v>14</v>
      </c>
      <c r="B16" s="10">
        <v>125634</v>
      </c>
      <c r="C16" s="11">
        <v>0.25</v>
      </c>
      <c r="D16" s="8">
        <f t="shared" si="0"/>
        <v>31408.5</v>
      </c>
    </row>
    <row r="17" spans="1:4">
      <c r="A17" s="9" t="s">
        <v>15</v>
      </c>
      <c r="B17" s="10">
        <v>133379.52</v>
      </c>
      <c r="C17" s="11">
        <v>0.25</v>
      </c>
      <c r="D17" s="8">
        <f t="shared" si="0"/>
        <v>33344.88</v>
      </c>
    </row>
    <row r="18" spans="1:4">
      <c r="A18" s="9" t="s">
        <v>16</v>
      </c>
      <c r="B18" s="10">
        <v>78008.78</v>
      </c>
      <c r="C18" s="11">
        <v>0.25</v>
      </c>
      <c r="D18" s="8">
        <f t="shared" si="0"/>
        <v>19502.2</v>
      </c>
    </row>
    <row r="19" spans="1:4">
      <c r="A19" s="9" t="s">
        <v>17</v>
      </c>
      <c r="B19" s="10">
        <v>4168.31</v>
      </c>
      <c r="C19" s="11">
        <v>0.25</v>
      </c>
      <c r="D19" s="8">
        <f t="shared" si="0"/>
        <v>1042.08</v>
      </c>
    </row>
    <row r="20" spans="1:4">
      <c r="A20" s="9" t="s">
        <v>18</v>
      </c>
      <c r="B20" s="10">
        <v>9169.77</v>
      </c>
      <c r="C20" s="11">
        <v>0.25</v>
      </c>
      <c r="D20" s="8">
        <f t="shared" si="0"/>
        <v>2292.44</v>
      </c>
    </row>
    <row r="21" spans="1:4">
      <c r="A21" s="9" t="s">
        <v>19</v>
      </c>
      <c r="B21" s="10">
        <v>53334.2</v>
      </c>
      <c r="C21" s="11">
        <v>0.25</v>
      </c>
      <c r="D21" s="8">
        <f>ROUND(B21*C21,2)-0.12</f>
        <v>13333.43</v>
      </c>
    </row>
    <row r="22" spans="1:4">
      <c r="A22" s="12" t="s">
        <v>26</v>
      </c>
      <c r="B22" s="13">
        <f>SUM(B4:B21)</f>
        <v>3139343.78</v>
      </c>
      <c r="C22" s="11"/>
      <c r="D22" s="8">
        <f>SUM(D4:D21)</f>
        <v>784835.86</v>
      </c>
    </row>
    <row r="23" ht="30.75" customHeight="1" spans="1:2">
      <c r="A23" s="1" t="s">
        <v>27</v>
      </c>
      <c r="B23" s="1" t="s">
        <v>28</v>
      </c>
    </row>
  </sheetData>
  <mergeCells count="2">
    <mergeCell ref="A1:D1"/>
    <mergeCell ref="B2:D2"/>
  </mergeCells>
  <pageMargins left="1.02" right="0.7" top="1.52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D24"/>
  <sheetViews>
    <sheetView tabSelected="1" workbookViewId="0">
      <selection activeCell="D23" sqref="D23"/>
    </sheetView>
  </sheetViews>
  <sheetFormatPr defaultColWidth="9" defaultRowHeight="13.5" outlineLevelCol="3"/>
  <cols>
    <col min="1" max="1" width="40" style="1" customWidth="1"/>
    <col min="2" max="2" width="13.875" style="1" customWidth="1"/>
    <col min="3" max="3" width="9.5" style="1" customWidth="1"/>
    <col min="4" max="4" width="16.125" style="2" customWidth="1"/>
    <col min="5" max="16370" width="9" style="1"/>
  </cols>
  <sheetData>
    <row r="1" ht="54" customHeight="1" spans="1:4">
      <c r="A1" s="3" t="s">
        <v>29</v>
      </c>
      <c r="B1" s="3"/>
      <c r="C1" s="3"/>
      <c r="D1" s="3"/>
    </row>
    <row r="2" spans="1:4">
      <c r="A2" s="1" t="s">
        <v>30</v>
      </c>
      <c r="B2" s="23" t="s">
        <v>31</v>
      </c>
      <c r="C2" s="23"/>
      <c r="D2" s="23"/>
    </row>
    <row r="3" ht="25.5" customHeight="1" spans="1:4">
      <c r="A3" s="1" t="s">
        <v>21</v>
      </c>
      <c r="B3" s="24" t="s">
        <v>32</v>
      </c>
      <c r="C3" s="24"/>
      <c r="D3" s="24"/>
    </row>
    <row r="4" spans="1:4">
      <c r="A4" s="6" t="s">
        <v>23</v>
      </c>
      <c r="B4" s="6" t="s">
        <v>1</v>
      </c>
      <c r="C4" s="7" t="s">
        <v>24</v>
      </c>
      <c r="D4" s="8" t="s">
        <v>25</v>
      </c>
    </row>
    <row r="5" spans="1:4">
      <c r="A5" s="9" t="s">
        <v>2</v>
      </c>
      <c r="B5" s="10">
        <v>1366105.06</v>
      </c>
      <c r="C5" s="11">
        <v>0.15</v>
      </c>
      <c r="D5" s="8">
        <f t="shared" ref="D5:D22" si="0">ROUND(B5*C5,2)</f>
        <v>204915.76</v>
      </c>
    </row>
    <row r="6" spans="1:4">
      <c r="A6" s="9" t="s">
        <v>3</v>
      </c>
      <c r="B6" s="10">
        <v>17743.37</v>
      </c>
      <c r="C6" s="11">
        <v>0.15</v>
      </c>
      <c r="D6" s="8">
        <f t="shared" si="0"/>
        <v>2661.51</v>
      </c>
    </row>
    <row r="7" spans="1:4">
      <c r="A7" s="9" t="s">
        <v>4</v>
      </c>
      <c r="B7" s="10">
        <v>8923.24</v>
      </c>
      <c r="C7" s="11">
        <v>0.15</v>
      </c>
      <c r="D7" s="8">
        <f t="shared" si="0"/>
        <v>1338.49</v>
      </c>
    </row>
    <row r="8" spans="1:4">
      <c r="A8" s="9" t="s">
        <v>5</v>
      </c>
      <c r="B8" s="10">
        <v>242625.16</v>
      </c>
      <c r="C8" s="11">
        <v>0.15</v>
      </c>
      <c r="D8" s="8">
        <f t="shared" si="0"/>
        <v>36393.77</v>
      </c>
    </row>
    <row r="9" spans="1:4">
      <c r="A9" s="9" t="s">
        <v>6</v>
      </c>
      <c r="B9" s="10">
        <v>23237.14</v>
      </c>
      <c r="C9" s="11">
        <v>0.15</v>
      </c>
      <c r="D9" s="8">
        <f t="shared" si="0"/>
        <v>3485.57</v>
      </c>
    </row>
    <row r="10" spans="1:4">
      <c r="A10" s="9" t="s">
        <v>7</v>
      </c>
      <c r="B10" s="10">
        <v>6180.22</v>
      </c>
      <c r="C10" s="11">
        <v>0.15</v>
      </c>
      <c r="D10" s="8">
        <f t="shared" si="0"/>
        <v>927.03</v>
      </c>
    </row>
    <row r="11" spans="1:4">
      <c r="A11" s="9" t="s">
        <v>8</v>
      </c>
      <c r="B11" s="10">
        <v>6504.87</v>
      </c>
      <c r="C11" s="11">
        <v>0.15</v>
      </c>
      <c r="D11" s="8">
        <f t="shared" si="0"/>
        <v>975.73</v>
      </c>
    </row>
    <row r="12" spans="1:4">
      <c r="A12" s="9" t="s">
        <v>9</v>
      </c>
      <c r="B12" s="10">
        <v>71389</v>
      </c>
      <c r="C12" s="11">
        <v>0.15</v>
      </c>
      <c r="D12" s="8">
        <f t="shared" si="0"/>
        <v>10708.35</v>
      </c>
    </row>
    <row r="13" spans="1:4">
      <c r="A13" s="9" t="s">
        <v>10</v>
      </c>
      <c r="B13" s="10">
        <v>30752.38</v>
      </c>
      <c r="C13" s="11">
        <v>0.15</v>
      </c>
      <c r="D13" s="8">
        <f t="shared" si="0"/>
        <v>4612.86</v>
      </c>
    </row>
    <row r="14" spans="1:4">
      <c r="A14" s="9" t="s">
        <v>11</v>
      </c>
      <c r="B14" s="10">
        <v>875323.47</v>
      </c>
      <c r="C14" s="11">
        <v>0.15</v>
      </c>
      <c r="D14" s="8">
        <f t="shared" si="0"/>
        <v>131298.52</v>
      </c>
    </row>
    <row r="15" spans="1:4">
      <c r="A15" s="9" t="s">
        <v>12</v>
      </c>
      <c r="B15" s="10">
        <v>69805.9</v>
      </c>
      <c r="C15" s="11">
        <v>0.15</v>
      </c>
      <c r="D15" s="8">
        <f t="shared" si="0"/>
        <v>10470.89</v>
      </c>
    </row>
    <row r="16" spans="1:4">
      <c r="A16" s="9" t="s">
        <v>13</v>
      </c>
      <c r="B16" s="10">
        <v>17059.39</v>
      </c>
      <c r="C16" s="11">
        <v>0.15</v>
      </c>
      <c r="D16" s="8">
        <f t="shared" si="0"/>
        <v>2558.91</v>
      </c>
    </row>
    <row r="17" spans="1:4">
      <c r="A17" s="9" t="s">
        <v>14</v>
      </c>
      <c r="B17" s="10">
        <v>125634</v>
      </c>
      <c r="C17" s="11">
        <v>0.15</v>
      </c>
      <c r="D17" s="8">
        <f t="shared" si="0"/>
        <v>18845.1</v>
      </c>
    </row>
    <row r="18" spans="1:4">
      <c r="A18" s="9" t="s">
        <v>15</v>
      </c>
      <c r="B18" s="10">
        <v>133379.52</v>
      </c>
      <c r="C18" s="11">
        <v>0.15</v>
      </c>
      <c r="D18" s="8">
        <f t="shared" si="0"/>
        <v>20006.93</v>
      </c>
    </row>
    <row r="19" spans="1:4">
      <c r="A19" s="9" t="s">
        <v>16</v>
      </c>
      <c r="B19" s="10">
        <v>78008.78</v>
      </c>
      <c r="C19" s="11">
        <v>0.15</v>
      </c>
      <c r="D19" s="8">
        <f t="shared" si="0"/>
        <v>11701.32</v>
      </c>
    </row>
    <row r="20" spans="1:4">
      <c r="A20" s="9" t="s">
        <v>17</v>
      </c>
      <c r="B20" s="10">
        <v>4168.31</v>
      </c>
      <c r="C20" s="11">
        <v>0.15</v>
      </c>
      <c r="D20" s="8">
        <f t="shared" si="0"/>
        <v>625.25</v>
      </c>
    </row>
    <row r="21" spans="1:4">
      <c r="A21" s="9" t="s">
        <v>18</v>
      </c>
      <c r="B21" s="10">
        <v>9169.77</v>
      </c>
      <c r="C21" s="11">
        <v>0.15</v>
      </c>
      <c r="D21" s="8">
        <f t="shared" si="0"/>
        <v>1375.47</v>
      </c>
    </row>
    <row r="22" spans="1:4">
      <c r="A22" s="9" t="s">
        <v>19</v>
      </c>
      <c r="B22" s="10">
        <v>53334.2</v>
      </c>
      <c r="C22" s="11">
        <v>0.15</v>
      </c>
      <c r="D22" s="8">
        <f t="shared" si="0"/>
        <v>8000.13</v>
      </c>
    </row>
    <row r="23" spans="1:4">
      <c r="A23" s="12" t="s">
        <v>26</v>
      </c>
      <c r="B23" s="13">
        <f>SUM(B5:B22)</f>
        <v>3139343.78</v>
      </c>
      <c r="C23" s="11"/>
      <c r="D23" s="8">
        <f>SUM(D5:D22)</f>
        <v>470901.59</v>
      </c>
    </row>
    <row r="24" ht="26.25" customHeight="1" spans="1:2">
      <c r="A24" s="1" t="s">
        <v>27</v>
      </c>
      <c r="B24" s="1" t="s">
        <v>28</v>
      </c>
    </row>
  </sheetData>
  <mergeCells count="3">
    <mergeCell ref="A1:D1"/>
    <mergeCell ref="B2:D2"/>
    <mergeCell ref="B3:D3"/>
  </mergeCells>
  <pageMargins left="1" right="0.7" top="1.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D23"/>
  <sheetViews>
    <sheetView workbookViewId="0">
      <selection activeCell="D24" sqref="D24"/>
    </sheetView>
  </sheetViews>
  <sheetFormatPr defaultColWidth="9" defaultRowHeight="13.5" outlineLevelCol="3"/>
  <cols>
    <col min="1" max="1" width="40" style="1" customWidth="1"/>
    <col min="2" max="2" width="13.875" style="1" customWidth="1"/>
    <col min="3" max="3" width="9.5" style="1" customWidth="1"/>
    <col min="4" max="4" width="16.125" style="2" customWidth="1"/>
    <col min="5" max="16366" width="9" style="1"/>
  </cols>
  <sheetData>
    <row r="1" ht="54" customHeight="1" spans="1:4">
      <c r="A1" s="3" t="s">
        <v>33</v>
      </c>
      <c r="B1" s="3"/>
      <c r="C1" s="3"/>
      <c r="D1" s="3"/>
    </row>
    <row r="2" ht="25.5" customHeight="1" spans="1:4">
      <c r="A2" s="1" t="s">
        <v>21</v>
      </c>
      <c r="B2" s="4" t="s">
        <v>22</v>
      </c>
      <c r="C2" s="5"/>
      <c r="D2" s="5"/>
    </row>
    <row r="3" spans="1:4">
      <c r="A3" s="6" t="s">
        <v>23</v>
      </c>
      <c r="B3" s="6" t="s">
        <v>1</v>
      </c>
      <c r="C3" s="7" t="s">
        <v>24</v>
      </c>
      <c r="D3" s="8" t="s">
        <v>25</v>
      </c>
    </row>
    <row r="4" spans="1:4">
      <c r="A4" s="9" t="s">
        <v>2</v>
      </c>
      <c r="B4" s="10">
        <v>1366105.06</v>
      </c>
      <c r="C4" s="11">
        <v>0.05</v>
      </c>
      <c r="D4" s="8">
        <f t="shared" ref="D4:D21" si="0">ROUND(B4*C4,2)</f>
        <v>68305.25</v>
      </c>
    </row>
    <row r="5" spans="1:4">
      <c r="A5" s="9" t="s">
        <v>3</v>
      </c>
      <c r="B5" s="10">
        <v>17743.37</v>
      </c>
      <c r="C5" s="11">
        <v>0.05</v>
      </c>
      <c r="D5" s="8">
        <f t="shared" si="0"/>
        <v>887.17</v>
      </c>
    </row>
    <row r="6" spans="1:4">
      <c r="A6" s="9" t="s">
        <v>4</v>
      </c>
      <c r="B6" s="10">
        <v>8923.24</v>
      </c>
      <c r="C6" s="11">
        <v>0.05</v>
      </c>
      <c r="D6" s="8">
        <f t="shared" si="0"/>
        <v>446.16</v>
      </c>
    </row>
    <row r="7" spans="1:4">
      <c r="A7" s="9" t="s">
        <v>5</v>
      </c>
      <c r="B7" s="10">
        <v>242625.16</v>
      </c>
      <c r="C7" s="11">
        <v>0.05</v>
      </c>
      <c r="D7" s="8">
        <f t="shared" si="0"/>
        <v>12131.26</v>
      </c>
    </row>
    <row r="8" spans="1:4">
      <c r="A8" s="9" t="s">
        <v>6</v>
      </c>
      <c r="B8" s="10">
        <v>23237.14</v>
      </c>
      <c r="C8" s="11">
        <v>0.05</v>
      </c>
      <c r="D8" s="8">
        <f t="shared" si="0"/>
        <v>1161.86</v>
      </c>
    </row>
    <row r="9" spans="1:4">
      <c r="A9" s="9" t="s">
        <v>7</v>
      </c>
      <c r="B9" s="10">
        <v>6180.22</v>
      </c>
      <c r="C9" s="11">
        <v>0.05</v>
      </c>
      <c r="D9" s="8">
        <f t="shared" si="0"/>
        <v>309.01</v>
      </c>
    </row>
    <row r="10" spans="1:4">
      <c r="A10" s="9" t="s">
        <v>8</v>
      </c>
      <c r="B10" s="10">
        <v>6504.87</v>
      </c>
      <c r="C10" s="11">
        <v>0.05</v>
      </c>
      <c r="D10" s="8">
        <f t="shared" si="0"/>
        <v>325.24</v>
      </c>
    </row>
    <row r="11" spans="1:4">
      <c r="A11" s="9" t="s">
        <v>9</v>
      </c>
      <c r="B11" s="10">
        <v>71389</v>
      </c>
      <c r="C11" s="11">
        <v>0.05</v>
      </c>
      <c r="D11" s="8">
        <f t="shared" si="0"/>
        <v>3569.45</v>
      </c>
    </row>
    <row r="12" spans="1:4">
      <c r="A12" s="9" t="s">
        <v>10</v>
      </c>
      <c r="B12" s="10">
        <v>30752.38</v>
      </c>
      <c r="C12" s="11">
        <v>0.05</v>
      </c>
      <c r="D12" s="8">
        <f t="shared" si="0"/>
        <v>1537.62</v>
      </c>
    </row>
    <row r="13" spans="1:4">
      <c r="A13" s="9" t="s">
        <v>11</v>
      </c>
      <c r="B13" s="10">
        <v>875323.47</v>
      </c>
      <c r="C13" s="11">
        <v>0.05</v>
      </c>
      <c r="D13" s="8">
        <f t="shared" si="0"/>
        <v>43766.17</v>
      </c>
    </row>
    <row r="14" spans="1:4">
      <c r="A14" s="9" t="s">
        <v>12</v>
      </c>
      <c r="B14" s="10">
        <v>69805.9</v>
      </c>
      <c r="C14" s="11">
        <v>0.05</v>
      </c>
      <c r="D14" s="8">
        <f t="shared" si="0"/>
        <v>3490.3</v>
      </c>
    </row>
    <row r="15" spans="1:4">
      <c r="A15" s="9" t="s">
        <v>13</v>
      </c>
      <c r="B15" s="10">
        <v>17059.39</v>
      </c>
      <c r="C15" s="11">
        <v>0.05</v>
      </c>
      <c r="D15" s="8">
        <f t="shared" si="0"/>
        <v>852.97</v>
      </c>
    </row>
    <row r="16" spans="1:4">
      <c r="A16" s="9" t="s">
        <v>14</v>
      </c>
      <c r="B16" s="10">
        <v>125634</v>
      </c>
      <c r="C16" s="11">
        <v>0.05</v>
      </c>
      <c r="D16" s="8">
        <f t="shared" si="0"/>
        <v>6281.7</v>
      </c>
    </row>
    <row r="17" spans="1:4">
      <c r="A17" s="9" t="s">
        <v>15</v>
      </c>
      <c r="B17" s="10">
        <v>133379.52</v>
      </c>
      <c r="C17" s="11">
        <v>0.05</v>
      </c>
      <c r="D17" s="8">
        <f t="shared" si="0"/>
        <v>6668.98</v>
      </c>
    </row>
    <row r="18" spans="1:4">
      <c r="A18" s="9" t="s">
        <v>16</v>
      </c>
      <c r="B18" s="10">
        <v>78008.78</v>
      </c>
      <c r="C18" s="11">
        <v>0.05</v>
      </c>
      <c r="D18" s="8">
        <f t="shared" si="0"/>
        <v>3900.44</v>
      </c>
    </row>
    <row r="19" spans="1:4">
      <c r="A19" s="9" t="s">
        <v>17</v>
      </c>
      <c r="B19" s="10">
        <v>4168.31</v>
      </c>
      <c r="C19" s="11">
        <v>0.05</v>
      </c>
      <c r="D19" s="8">
        <f t="shared" si="0"/>
        <v>208.42</v>
      </c>
    </row>
    <row r="20" spans="1:4">
      <c r="A20" s="9" t="s">
        <v>18</v>
      </c>
      <c r="B20" s="10">
        <v>9169.77</v>
      </c>
      <c r="C20" s="11">
        <v>0.05</v>
      </c>
      <c r="D20" s="8">
        <f t="shared" si="0"/>
        <v>458.49</v>
      </c>
    </row>
    <row r="21" spans="1:4">
      <c r="A21" s="9" t="s">
        <v>19</v>
      </c>
      <c r="B21" s="10">
        <v>53334.2</v>
      </c>
      <c r="C21" s="11">
        <v>0.05</v>
      </c>
      <c r="D21" s="8">
        <f t="shared" si="0"/>
        <v>2666.71</v>
      </c>
    </row>
    <row r="22" spans="1:4">
      <c r="A22" s="12" t="s">
        <v>26</v>
      </c>
      <c r="B22" s="13">
        <f>SUM(B4:B21)</f>
        <v>3139343.78</v>
      </c>
      <c r="C22" s="11"/>
      <c r="D22" s="8">
        <f>SUM(D4:D21)</f>
        <v>156967.2</v>
      </c>
    </row>
    <row r="23" ht="20.25" customHeight="1" spans="1:2">
      <c r="A23" s="1" t="s">
        <v>27</v>
      </c>
      <c r="B23" s="1" t="s">
        <v>28</v>
      </c>
    </row>
  </sheetData>
  <mergeCells count="2">
    <mergeCell ref="A1:D1"/>
    <mergeCell ref="B2:D2"/>
  </mergeCells>
  <pageMargins left="0.99" right="0.7" top="1.94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D23"/>
  <sheetViews>
    <sheetView workbookViewId="0">
      <selection activeCell="D24" sqref="D24"/>
    </sheetView>
  </sheetViews>
  <sheetFormatPr defaultColWidth="9" defaultRowHeight="13.5" outlineLevelCol="3"/>
  <cols>
    <col min="1" max="1" width="40" style="1" customWidth="1"/>
    <col min="2" max="2" width="13.875" style="1" customWidth="1"/>
    <col min="3" max="3" width="9.5" style="1" customWidth="1"/>
    <col min="4" max="4" width="16.125" style="2" customWidth="1"/>
    <col min="5" max="16365" width="9" style="1"/>
  </cols>
  <sheetData>
    <row r="1" ht="54" customHeight="1" spans="1:4">
      <c r="A1" s="3" t="s">
        <v>34</v>
      </c>
      <c r="B1" s="3"/>
      <c r="C1" s="3"/>
      <c r="D1" s="3"/>
    </row>
    <row r="2" ht="25.5" customHeight="1" spans="1:4">
      <c r="A2" s="1" t="s">
        <v>21</v>
      </c>
      <c r="B2" s="4" t="s">
        <v>22</v>
      </c>
      <c r="C2" s="5"/>
      <c r="D2" s="5"/>
    </row>
    <row r="3" spans="1:4">
      <c r="A3" s="6" t="s">
        <v>23</v>
      </c>
      <c r="B3" s="6" t="s">
        <v>1</v>
      </c>
      <c r="C3" s="7" t="s">
        <v>24</v>
      </c>
      <c r="D3" s="8" t="s">
        <v>25</v>
      </c>
    </row>
    <row r="4" spans="1:4">
      <c r="A4" s="9" t="s">
        <v>2</v>
      </c>
      <c r="B4" s="10">
        <v>1366105.06</v>
      </c>
      <c r="C4" s="11">
        <v>0.05</v>
      </c>
      <c r="D4" s="8">
        <f t="shared" ref="D4:D21" si="0">ROUND(B4*C4,2)</f>
        <v>68305.25</v>
      </c>
    </row>
    <row r="5" spans="1:4">
      <c r="A5" s="9" t="s">
        <v>3</v>
      </c>
      <c r="B5" s="10">
        <v>17743.37</v>
      </c>
      <c r="C5" s="11">
        <v>0.05</v>
      </c>
      <c r="D5" s="8">
        <f t="shared" si="0"/>
        <v>887.17</v>
      </c>
    </row>
    <row r="6" spans="1:4">
      <c r="A6" s="9" t="s">
        <v>4</v>
      </c>
      <c r="B6" s="10">
        <v>8923.24</v>
      </c>
      <c r="C6" s="11">
        <v>0.05</v>
      </c>
      <c r="D6" s="8">
        <f t="shared" si="0"/>
        <v>446.16</v>
      </c>
    </row>
    <row r="7" spans="1:4">
      <c r="A7" s="9" t="s">
        <v>5</v>
      </c>
      <c r="B7" s="10">
        <v>242625.16</v>
      </c>
      <c r="C7" s="11">
        <v>0.05</v>
      </c>
      <c r="D7" s="8">
        <f t="shared" si="0"/>
        <v>12131.26</v>
      </c>
    </row>
    <row r="8" spans="1:4">
      <c r="A8" s="9" t="s">
        <v>6</v>
      </c>
      <c r="B8" s="10">
        <v>23237.14</v>
      </c>
      <c r="C8" s="11">
        <v>0.05</v>
      </c>
      <c r="D8" s="8">
        <f t="shared" si="0"/>
        <v>1161.86</v>
      </c>
    </row>
    <row r="9" spans="1:4">
      <c r="A9" s="9" t="s">
        <v>7</v>
      </c>
      <c r="B9" s="10">
        <v>6180.22</v>
      </c>
      <c r="C9" s="11">
        <v>0.05</v>
      </c>
      <c r="D9" s="8">
        <f t="shared" si="0"/>
        <v>309.01</v>
      </c>
    </row>
    <row r="10" spans="1:4">
      <c r="A10" s="9" t="s">
        <v>8</v>
      </c>
      <c r="B10" s="10">
        <v>6504.87</v>
      </c>
      <c r="C10" s="11">
        <v>0.05</v>
      </c>
      <c r="D10" s="8">
        <f t="shared" si="0"/>
        <v>325.24</v>
      </c>
    </row>
    <row r="11" spans="1:4">
      <c r="A11" s="9" t="s">
        <v>9</v>
      </c>
      <c r="B11" s="10">
        <v>71389</v>
      </c>
      <c r="C11" s="11">
        <v>0.05</v>
      </c>
      <c r="D11" s="8">
        <f t="shared" si="0"/>
        <v>3569.45</v>
      </c>
    </row>
    <row r="12" spans="1:4">
      <c r="A12" s="9" t="s">
        <v>10</v>
      </c>
      <c r="B12" s="10">
        <v>30752.38</v>
      </c>
      <c r="C12" s="11">
        <v>0.05</v>
      </c>
      <c r="D12" s="8">
        <f t="shared" si="0"/>
        <v>1537.62</v>
      </c>
    </row>
    <row r="13" spans="1:4">
      <c r="A13" s="9" t="s">
        <v>11</v>
      </c>
      <c r="B13" s="10">
        <v>875323.47</v>
      </c>
      <c r="C13" s="11">
        <v>0.05</v>
      </c>
      <c r="D13" s="8">
        <f t="shared" si="0"/>
        <v>43766.17</v>
      </c>
    </row>
    <row r="14" spans="1:4">
      <c r="A14" s="9" t="s">
        <v>12</v>
      </c>
      <c r="B14" s="10">
        <v>69805.9</v>
      </c>
      <c r="C14" s="11">
        <v>0.05</v>
      </c>
      <c r="D14" s="8">
        <f t="shared" si="0"/>
        <v>3490.3</v>
      </c>
    </row>
    <row r="15" spans="1:4">
      <c r="A15" s="9" t="s">
        <v>13</v>
      </c>
      <c r="B15" s="10">
        <v>17059.39</v>
      </c>
      <c r="C15" s="11">
        <v>0.05</v>
      </c>
      <c r="D15" s="8">
        <f t="shared" si="0"/>
        <v>852.97</v>
      </c>
    </row>
    <row r="16" spans="1:4">
      <c r="A16" s="9" t="s">
        <v>14</v>
      </c>
      <c r="B16" s="10">
        <v>125634</v>
      </c>
      <c r="C16" s="11">
        <v>0.05</v>
      </c>
      <c r="D16" s="8">
        <f t="shared" si="0"/>
        <v>6281.7</v>
      </c>
    </row>
    <row r="17" spans="1:4">
      <c r="A17" s="9" t="s">
        <v>15</v>
      </c>
      <c r="B17" s="10">
        <v>133379.52</v>
      </c>
      <c r="C17" s="11">
        <v>0.05</v>
      </c>
      <c r="D17" s="8">
        <f t="shared" si="0"/>
        <v>6668.98</v>
      </c>
    </row>
    <row r="18" spans="1:4">
      <c r="A18" s="9" t="s">
        <v>16</v>
      </c>
      <c r="B18" s="10">
        <v>78008.78</v>
      </c>
      <c r="C18" s="11">
        <v>0.05</v>
      </c>
      <c r="D18" s="8">
        <f t="shared" si="0"/>
        <v>3900.44</v>
      </c>
    </row>
    <row r="19" spans="1:4">
      <c r="A19" s="9" t="s">
        <v>17</v>
      </c>
      <c r="B19" s="10">
        <v>4168.31</v>
      </c>
      <c r="C19" s="11">
        <v>0.05</v>
      </c>
      <c r="D19" s="8">
        <f t="shared" si="0"/>
        <v>208.42</v>
      </c>
    </row>
    <row r="20" spans="1:4">
      <c r="A20" s="9" t="s">
        <v>18</v>
      </c>
      <c r="B20" s="10">
        <v>9169.77</v>
      </c>
      <c r="C20" s="11">
        <v>0.05</v>
      </c>
      <c r="D20" s="8">
        <f t="shared" si="0"/>
        <v>458.49</v>
      </c>
    </row>
    <row r="21" spans="1:4">
      <c r="A21" s="9" t="s">
        <v>19</v>
      </c>
      <c r="B21" s="10">
        <v>53334.2</v>
      </c>
      <c r="C21" s="11">
        <v>0.05</v>
      </c>
      <c r="D21" s="8">
        <f t="shared" si="0"/>
        <v>2666.71</v>
      </c>
    </row>
    <row r="22" spans="1:4">
      <c r="A22" s="12" t="s">
        <v>26</v>
      </c>
      <c r="B22" s="13">
        <f>SUM(B4:B21)</f>
        <v>3139343.78</v>
      </c>
      <c r="C22" s="11"/>
      <c r="D22" s="8">
        <f>SUM(D4:D21)</f>
        <v>156967.2</v>
      </c>
    </row>
    <row r="23" ht="30.75" customHeight="1" spans="1:2">
      <c r="A23" s="1" t="s">
        <v>27</v>
      </c>
      <c r="B23" s="1" t="s">
        <v>28</v>
      </c>
    </row>
  </sheetData>
  <mergeCells count="2">
    <mergeCell ref="A1:D1"/>
    <mergeCell ref="B2:D2"/>
  </mergeCells>
  <pageMargins left="0.96" right="0.7" top="1.59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D23"/>
  <sheetViews>
    <sheetView workbookViewId="0">
      <selection activeCell="D24" sqref="D24"/>
    </sheetView>
  </sheetViews>
  <sheetFormatPr defaultColWidth="9" defaultRowHeight="13.5" outlineLevelCol="3"/>
  <cols>
    <col min="1" max="1" width="40" style="1" customWidth="1"/>
    <col min="2" max="2" width="13.875" style="1" customWidth="1"/>
    <col min="3" max="3" width="9.5" style="1" customWidth="1"/>
    <col min="4" max="4" width="16.125" style="2" customWidth="1"/>
    <col min="5" max="16369" width="9" style="1"/>
  </cols>
  <sheetData>
    <row r="1" ht="54" customHeight="1" spans="1:4">
      <c r="A1" s="3" t="s">
        <v>35</v>
      </c>
      <c r="B1" s="3"/>
      <c r="C1" s="3"/>
      <c r="D1" s="3"/>
    </row>
    <row r="2" ht="25.5" customHeight="1" spans="1:4">
      <c r="A2" s="1" t="s">
        <v>21</v>
      </c>
      <c r="B2" s="4" t="s">
        <v>22</v>
      </c>
      <c r="C2" s="5"/>
      <c r="D2" s="5"/>
    </row>
    <row r="3" spans="1:4">
      <c r="A3" s="6" t="s">
        <v>23</v>
      </c>
      <c r="B3" s="6" t="s">
        <v>1</v>
      </c>
      <c r="C3" s="7" t="s">
        <v>24</v>
      </c>
      <c r="D3" s="8" t="s">
        <v>25</v>
      </c>
    </row>
    <row r="4" spans="1:4">
      <c r="A4" s="9" t="s">
        <v>2</v>
      </c>
      <c r="B4" s="10">
        <v>1366105.06</v>
      </c>
      <c r="C4" s="11">
        <v>0.15</v>
      </c>
      <c r="D4" s="8">
        <f t="shared" ref="D4:D21" si="0">ROUND(B4*C4,2)</f>
        <v>204915.76</v>
      </c>
    </row>
    <row r="5" spans="1:4">
      <c r="A5" s="9" t="s">
        <v>3</v>
      </c>
      <c r="B5" s="10">
        <v>17743.37</v>
      </c>
      <c r="C5" s="11">
        <v>0.15</v>
      </c>
      <c r="D5" s="8">
        <f t="shared" si="0"/>
        <v>2661.51</v>
      </c>
    </row>
    <row r="6" spans="1:4">
      <c r="A6" s="9" t="s">
        <v>4</v>
      </c>
      <c r="B6" s="10">
        <v>8923.24</v>
      </c>
      <c r="C6" s="11">
        <v>0.15</v>
      </c>
      <c r="D6" s="8">
        <f t="shared" si="0"/>
        <v>1338.49</v>
      </c>
    </row>
    <row r="7" spans="1:4">
      <c r="A7" s="9" t="s">
        <v>5</v>
      </c>
      <c r="B7" s="10">
        <v>242625.16</v>
      </c>
      <c r="C7" s="11">
        <v>0.15</v>
      </c>
      <c r="D7" s="8">
        <f t="shared" si="0"/>
        <v>36393.77</v>
      </c>
    </row>
    <row r="8" spans="1:4">
      <c r="A8" s="9" t="s">
        <v>6</v>
      </c>
      <c r="B8" s="10">
        <v>23237.14</v>
      </c>
      <c r="C8" s="11">
        <v>0.15</v>
      </c>
      <c r="D8" s="8">
        <f t="shared" si="0"/>
        <v>3485.57</v>
      </c>
    </row>
    <row r="9" spans="1:4">
      <c r="A9" s="9" t="s">
        <v>7</v>
      </c>
      <c r="B9" s="10">
        <v>6180.22</v>
      </c>
      <c r="C9" s="11">
        <v>0.15</v>
      </c>
      <c r="D9" s="8">
        <f t="shared" si="0"/>
        <v>927.03</v>
      </c>
    </row>
    <row r="10" spans="1:4">
      <c r="A10" s="9" t="s">
        <v>8</v>
      </c>
      <c r="B10" s="10">
        <v>6504.87</v>
      </c>
      <c r="C10" s="11">
        <v>0.15</v>
      </c>
      <c r="D10" s="8">
        <f t="shared" si="0"/>
        <v>975.73</v>
      </c>
    </row>
    <row r="11" spans="1:4">
      <c r="A11" s="9" t="s">
        <v>9</v>
      </c>
      <c r="B11" s="10">
        <v>71389</v>
      </c>
      <c r="C11" s="11">
        <v>0.15</v>
      </c>
      <c r="D11" s="8">
        <f t="shared" si="0"/>
        <v>10708.35</v>
      </c>
    </row>
    <row r="12" spans="1:4">
      <c r="A12" s="9" t="s">
        <v>10</v>
      </c>
      <c r="B12" s="10">
        <v>30752.38</v>
      </c>
      <c r="C12" s="11">
        <v>0.15</v>
      </c>
      <c r="D12" s="8">
        <f t="shared" si="0"/>
        <v>4612.86</v>
      </c>
    </row>
    <row r="13" spans="1:4">
      <c r="A13" s="9" t="s">
        <v>11</v>
      </c>
      <c r="B13" s="10">
        <v>875323.47</v>
      </c>
      <c r="C13" s="11">
        <v>0.15</v>
      </c>
      <c r="D13" s="8">
        <f t="shared" si="0"/>
        <v>131298.52</v>
      </c>
    </row>
    <row r="14" spans="1:4">
      <c r="A14" s="9" t="s">
        <v>12</v>
      </c>
      <c r="B14" s="10">
        <v>69805.9</v>
      </c>
      <c r="C14" s="11">
        <v>0.15</v>
      </c>
      <c r="D14" s="8">
        <f t="shared" si="0"/>
        <v>10470.89</v>
      </c>
    </row>
    <row r="15" spans="1:4">
      <c r="A15" s="9" t="s">
        <v>13</v>
      </c>
      <c r="B15" s="10">
        <v>17059.39</v>
      </c>
      <c r="C15" s="11">
        <v>0.15</v>
      </c>
      <c r="D15" s="8">
        <f t="shared" si="0"/>
        <v>2558.91</v>
      </c>
    </row>
    <row r="16" spans="1:4">
      <c r="A16" s="9" t="s">
        <v>14</v>
      </c>
      <c r="B16" s="10">
        <v>125634</v>
      </c>
      <c r="C16" s="11">
        <v>0.15</v>
      </c>
      <c r="D16" s="8">
        <f t="shared" si="0"/>
        <v>18845.1</v>
      </c>
    </row>
    <row r="17" spans="1:4">
      <c r="A17" s="9" t="s">
        <v>15</v>
      </c>
      <c r="B17" s="10">
        <v>133379.52</v>
      </c>
      <c r="C17" s="11">
        <v>0.15</v>
      </c>
      <c r="D17" s="8">
        <f t="shared" si="0"/>
        <v>20006.93</v>
      </c>
    </row>
    <row r="18" spans="1:4">
      <c r="A18" s="9" t="s">
        <v>16</v>
      </c>
      <c r="B18" s="10">
        <v>78008.78</v>
      </c>
      <c r="C18" s="11">
        <v>0.15</v>
      </c>
      <c r="D18" s="8">
        <f t="shared" si="0"/>
        <v>11701.32</v>
      </c>
    </row>
    <row r="19" spans="1:4">
      <c r="A19" s="9" t="s">
        <v>17</v>
      </c>
      <c r="B19" s="10">
        <v>4168.31</v>
      </c>
      <c r="C19" s="11">
        <v>0.15</v>
      </c>
      <c r="D19" s="8">
        <f t="shared" si="0"/>
        <v>625.25</v>
      </c>
    </row>
    <row r="20" spans="1:4">
      <c r="A20" s="9" t="s">
        <v>18</v>
      </c>
      <c r="B20" s="10">
        <v>9169.77</v>
      </c>
      <c r="C20" s="11">
        <v>0.15</v>
      </c>
      <c r="D20" s="8">
        <f t="shared" si="0"/>
        <v>1375.47</v>
      </c>
    </row>
    <row r="21" spans="1:4">
      <c r="A21" s="9" t="s">
        <v>19</v>
      </c>
      <c r="B21" s="10">
        <v>53334.2</v>
      </c>
      <c r="C21" s="11">
        <v>0.15</v>
      </c>
      <c r="D21" s="8">
        <f t="shared" si="0"/>
        <v>8000.13</v>
      </c>
    </row>
    <row r="22" spans="1:4">
      <c r="A22" s="12" t="s">
        <v>26</v>
      </c>
      <c r="B22" s="13">
        <f>SUM(B4:B21)</f>
        <v>3139343.78</v>
      </c>
      <c r="C22" s="11"/>
      <c r="D22" s="8">
        <f>SUM(D4:D21)</f>
        <v>470901.59</v>
      </c>
    </row>
    <row r="23" ht="21" customHeight="1" spans="1:2">
      <c r="A23" s="1" t="s">
        <v>27</v>
      </c>
      <c r="B23" s="1" t="s">
        <v>28</v>
      </c>
    </row>
  </sheetData>
  <mergeCells count="2">
    <mergeCell ref="A1:D1"/>
    <mergeCell ref="B2:D2"/>
  </mergeCells>
  <pageMargins left="1.04" right="0.7" top="2.17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D23"/>
  <sheetViews>
    <sheetView workbookViewId="0">
      <selection activeCell="D24" sqref="D24"/>
    </sheetView>
  </sheetViews>
  <sheetFormatPr defaultColWidth="9" defaultRowHeight="13.5" outlineLevelCol="3"/>
  <cols>
    <col min="1" max="1" width="40" style="1" customWidth="1"/>
    <col min="2" max="2" width="13.875" style="1" customWidth="1"/>
    <col min="3" max="3" width="9.5" style="1" customWidth="1"/>
    <col min="4" max="4" width="16.125" style="2" customWidth="1"/>
    <col min="5" max="16366" width="9" style="1"/>
  </cols>
  <sheetData>
    <row r="1" ht="54" customHeight="1" spans="1:4">
      <c r="A1" s="3" t="s">
        <v>36</v>
      </c>
      <c r="B1" s="3"/>
      <c r="C1" s="3"/>
      <c r="D1" s="3"/>
    </row>
    <row r="2" ht="25.5" customHeight="1" spans="1:4">
      <c r="A2" s="1" t="s">
        <v>21</v>
      </c>
      <c r="B2" s="4" t="s">
        <v>22</v>
      </c>
      <c r="C2" s="5"/>
      <c r="D2" s="5"/>
    </row>
    <row r="3" spans="1:4">
      <c r="A3" s="6" t="s">
        <v>23</v>
      </c>
      <c r="B3" s="6" t="s">
        <v>1</v>
      </c>
      <c r="C3" s="7" t="s">
        <v>24</v>
      </c>
      <c r="D3" s="8" t="s">
        <v>25</v>
      </c>
    </row>
    <row r="4" spans="1:4">
      <c r="A4" s="9" t="s">
        <v>2</v>
      </c>
      <c r="B4" s="10">
        <v>1366105.06</v>
      </c>
      <c r="C4" s="11">
        <v>0.05</v>
      </c>
      <c r="D4" s="8">
        <f t="shared" ref="D4:D21" si="0">ROUND(B4*C4,2)</f>
        <v>68305.25</v>
      </c>
    </row>
    <row r="5" spans="1:4">
      <c r="A5" s="9" t="s">
        <v>3</v>
      </c>
      <c r="B5" s="10">
        <v>17743.37</v>
      </c>
      <c r="C5" s="11">
        <v>0.05</v>
      </c>
      <c r="D5" s="8">
        <f t="shared" si="0"/>
        <v>887.17</v>
      </c>
    </row>
    <row r="6" spans="1:4">
      <c r="A6" s="9" t="s">
        <v>4</v>
      </c>
      <c r="B6" s="10">
        <v>8923.24</v>
      </c>
      <c r="C6" s="11">
        <v>0.05</v>
      </c>
      <c r="D6" s="8">
        <f t="shared" si="0"/>
        <v>446.16</v>
      </c>
    </row>
    <row r="7" spans="1:4">
      <c r="A7" s="9" t="s">
        <v>5</v>
      </c>
      <c r="B7" s="10">
        <v>242625.16</v>
      </c>
      <c r="C7" s="11">
        <v>0.05</v>
      </c>
      <c r="D7" s="8">
        <f t="shared" si="0"/>
        <v>12131.26</v>
      </c>
    </row>
    <row r="8" spans="1:4">
      <c r="A8" s="9" t="s">
        <v>6</v>
      </c>
      <c r="B8" s="10">
        <v>23237.14</v>
      </c>
      <c r="C8" s="11">
        <v>0.05</v>
      </c>
      <c r="D8" s="8">
        <f t="shared" si="0"/>
        <v>1161.86</v>
      </c>
    </row>
    <row r="9" spans="1:4">
      <c r="A9" s="9" t="s">
        <v>7</v>
      </c>
      <c r="B9" s="10">
        <v>6180.22</v>
      </c>
      <c r="C9" s="11">
        <v>0.05</v>
      </c>
      <c r="D9" s="8">
        <f t="shared" si="0"/>
        <v>309.01</v>
      </c>
    </row>
    <row r="10" spans="1:4">
      <c r="A10" s="9" t="s">
        <v>8</v>
      </c>
      <c r="B10" s="10">
        <v>6504.87</v>
      </c>
      <c r="C10" s="11">
        <v>0.05</v>
      </c>
      <c r="D10" s="8">
        <f t="shared" si="0"/>
        <v>325.24</v>
      </c>
    </row>
    <row r="11" spans="1:4">
      <c r="A11" s="9" t="s">
        <v>9</v>
      </c>
      <c r="B11" s="10">
        <v>71389</v>
      </c>
      <c r="C11" s="11">
        <v>0.05</v>
      </c>
      <c r="D11" s="8">
        <f t="shared" si="0"/>
        <v>3569.45</v>
      </c>
    </row>
    <row r="12" spans="1:4">
      <c r="A12" s="9" t="s">
        <v>10</v>
      </c>
      <c r="B12" s="10">
        <v>30752.38</v>
      </c>
      <c r="C12" s="11">
        <v>0.05</v>
      </c>
      <c r="D12" s="8">
        <f t="shared" si="0"/>
        <v>1537.62</v>
      </c>
    </row>
    <row r="13" spans="1:4">
      <c r="A13" s="9" t="s">
        <v>11</v>
      </c>
      <c r="B13" s="10">
        <v>875323.47</v>
      </c>
      <c r="C13" s="11">
        <v>0.05</v>
      </c>
      <c r="D13" s="8">
        <f t="shared" si="0"/>
        <v>43766.17</v>
      </c>
    </row>
    <row r="14" spans="1:4">
      <c r="A14" s="9" t="s">
        <v>12</v>
      </c>
      <c r="B14" s="10">
        <v>69805.9</v>
      </c>
      <c r="C14" s="11">
        <v>0.05</v>
      </c>
      <c r="D14" s="8">
        <f t="shared" si="0"/>
        <v>3490.3</v>
      </c>
    </row>
    <row r="15" spans="1:4">
      <c r="A15" s="9" t="s">
        <v>13</v>
      </c>
      <c r="B15" s="10">
        <v>17059.39</v>
      </c>
      <c r="C15" s="11">
        <v>0.05</v>
      </c>
      <c r="D15" s="8">
        <f t="shared" si="0"/>
        <v>852.97</v>
      </c>
    </row>
    <row r="16" spans="1:4">
      <c r="A16" s="9" t="s">
        <v>14</v>
      </c>
      <c r="B16" s="10">
        <v>125634</v>
      </c>
      <c r="C16" s="11">
        <v>0.05</v>
      </c>
      <c r="D16" s="8">
        <f t="shared" si="0"/>
        <v>6281.7</v>
      </c>
    </row>
    <row r="17" spans="1:4">
      <c r="A17" s="9" t="s">
        <v>15</v>
      </c>
      <c r="B17" s="10">
        <v>133379.52</v>
      </c>
      <c r="C17" s="11">
        <v>0.05</v>
      </c>
      <c r="D17" s="8">
        <f t="shared" si="0"/>
        <v>6668.98</v>
      </c>
    </row>
    <row r="18" spans="1:4">
      <c r="A18" s="9" t="s">
        <v>16</v>
      </c>
      <c r="B18" s="10">
        <v>78008.78</v>
      </c>
      <c r="C18" s="11">
        <v>0.05</v>
      </c>
      <c r="D18" s="8">
        <f t="shared" si="0"/>
        <v>3900.44</v>
      </c>
    </row>
    <row r="19" spans="1:4">
      <c r="A19" s="9" t="s">
        <v>17</v>
      </c>
      <c r="B19" s="10">
        <v>4168.31</v>
      </c>
      <c r="C19" s="11">
        <v>0.05</v>
      </c>
      <c r="D19" s="8">
        <f t="shared" si="0"/>
        <v>208.42</v>
      </c>
    </row>
    <row r="20" spans="1:4">
      <c r="A20" s="9" t="s">
        <v>18</v>
      </c>
      <c r="B20" s="10">
        <v>9169.77</v>
      </c>
      <c r="C20" s="11">
        <v>0.05</v>
      </c>
      <c r="D20" s="8">
        <f t="shared" si="0"/>
        <v>458.49</v>
      </c>
    </row>
    <row r="21" spans="1:4">
      <c r="A21" s="9" t="s">
        <v>19</v>
      </c>
      <c r="B21" s="10">
        <v>53334.2</v>
      </c>
      <c r="C21" s="11">
        <v>0.05</v>
      </c>
      <c r="D21" s="8">
        <f t="shared" si="0"/>
        <v>2666.71</v>
      </c>
    </row>
    <row r="22" spans="1:4">
      <c r="A22" s="12" t="s">
        <v>26</v>
      </c>
      <c r="B22" s="13">
        <f>SUM(B4:B21)</f>
        <v>3139343.78</v>
      </c>
      <c r="C22" s="11"/>
      <c r="D22" s="8">
        <f>SUM(D4:D21)</f>
        <v>156967.2</v>
      </c>
    </row>
    <row r="23" ht="20.25" customHeight="1" spans="1:2">
      <c r="A23" s="1" t="s">
        <v>27</v>
      </c>
      <c r="B23" s="1" t="s">
        <v>28</v>
      </c>
    </row>
  </sheetData>
  <mergeCells count="2">
    <mergeCell ref="A1:D1"/>
    <mergeCell ref="B2:D2"/>
  </mergeCells>
  <pageMargins left="0.99" right="0.7" top="1.94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D23"/>
  <sheetViews>
    <sheetView workbookViewId="0">
      <selection activeCell="G19" sqref="G19"/>
    </sheetView>
  </sheetViews>
  <sheetFormatPr defaultColWidth="9" defaultRowHeight="13.5" outlineLevelCol="3"/>
  <cols>
    <col min="1" max="1" width="40" style="1" customWidth="1"/>
    <col min="2" max="2" width="13.875" style="14" customWidth="1"/>
    <col min="3" max="3" width="9.5" style="14" customWidth="1"/>
    <col min="4" max="4" width="16.125" style="15" customWidth="1"/>
    <col min="5" max="16366" width="9" style="1"/>
  </cols>
  <sheetData>
    <row r="1" ht="54" customHeight="1" spans="1:4">
      <c r="A1" s="3" t="s">
        <v>37</v>
      </c>
      <c r="B1" s="3"/>
      <c r="C1" s="3"/>
      <c r="D1" s="3"/>
    </row>
    <row r="2" ht="25.5" customHeight="1" spans="1:4">
      <c r="A2" s="1" t="s">
        <v>21</v>
      </c>
      <c r="B2" s="16" t="s">
        <v>22</v>
      </c>
      <c r="C2" s="17"/>
      <c r="D2" s="17"/>
    </row>
    <row r="3" spans="1:4">
      <c r="A3" s="6" t="s">
        <v>23</v>
      </c>
      <c r="B3" s="18" t="s">
        <v>1</v>
      </c>
      <c r="C3" s="19" t="s">
        <v>24</v>
      </c>
      <c r="D3" s="20" t="s">
        <v>25</v>
      </c>
    </row>
    <row r="4" spans="1:4">
      <c r="A4" s="9" t="s">
        <v>2</v>
      </c>
      <c r="B4" s="21">
        <v>1366105.06</v>
      </c>
      <c r="C4" s="11">
        <v>0.05</v>
      </c>
      <c r="D4" s="20">
        <f t="shared" ref="D4:D21" si="0">ROUND(B4*C4,2)</f>
        <v>68305.25</v>
      </c>
    </row>
    <row r="5" spans="1:4">
      <c r="A5" s="9" t="s">
        <v>3</v>
      </c>
      <c r="B5" s="21">
        <v>17743.37</v>
      </c>
      <c r="C5" s="11">
        <v>0.05</v>
      </c>
      <c r="D5" s="20">
        <f t="shared" si="0"/>
        <v>887.17</v>
      </c>
    </row>
    <row r="6" spans="1:4">
      <c r="A6" s="9" t="s">
        <v>4</v>
      </c>
      <c r="B6" s="21">
        <v>8923.24</v>
      </c>
      <c r="C6" s="11">
        <v>0.05</v>
      </c>
      <c r="D6" s="20">
        <f t="shared" si="0"/>
        <v>446.16</v>
      </c>
    </row>
    <row r="7" spans="1:4">
      <c r="A7" s="9" t="s">
        <v>5</v>
      </c>
      <c r="B7" s="21">
        <v>242625.16</v>
      </c>
      <c r="C7" s="11">
        <v>0.05</v>
      </c>
      <c r="D7" s="20">
        <f t="shared" si="0"/>
        <v>12131.26</v>
      </c>
    </row>
    <row r="8" spans="1:4">
      <c r="A8" s="9" t="s">
        <v>6</v>
      </c>
      <c r="B8" s="21">
        <v>23237.14</v>
      </c>
      <c r="C8" s="11">
        <v>0.05</v>
      </c>
      <c r="D8" s="20">
        <f t="shared" si="0"/>
        <v>1161.86</v>
      </c>
    </row>
    <row r="9" spans="1:4">
      <c r="A9" s="9" t="s">
        <v>7</v>
      </c>
      <c r="B9" s="21">
        <v>6180.22</v>
      </c>
      <c r="C9" s="11">
        <v>0.05</v>
      </c>
      <c r="D9" s="20">
        <f t="shared" si="0"/>
        <v>309.01</v>
      </c>
    </row>
    <row r="10" spans="1:4">
      <c r="A10" s="9" t="s">
        <v>8</v>
      </c>
      <c r="B10" s="21">
        <v>6504.87</v>
      </c>
      <c r="C10" s="11">
        <v>0.05</v>
      </c>
      <c r="D10" s="20">
        <f t="shared" si="0"/>
        <v>325.24</v>
      </c>
    </row>
    <row r="11" spans="1:4">
      <c r="A11" s="9" t="s">
        <v>9</v>
      </c>
      <c r="B11" s="21">
        <v>71389</v>
      </c>
      <c r="C11" s="11">
        <v>0.05</v>
      </c>
      <c r="D11" s="20">
        <f t="shared" si="0"/>
        <v>3569.45</v>
      </c>
    </row>
    <row r="12" spans="1:4">
      <c r="A12" s="9" t="s">
        <v>10</v>
      </c>
      <c r="B12" s="21">
        <v>30752.38</v>
      </c>
      <c r="C12" s="11">
        <v>0.05</v>
      </c>
      <c r="D12" s="20">
        <f t="shared" si="0"/>
        <v>1537.62</v>
      </c>
    </row>
    <row r="13" spans="1:4">
      <c r="A13" s="9" t="s">
        <v>11</v>
      </c>
      <c r="B13" s="21">
        <v>875323.47</v>
      </c>
      <c r="C13" s="11">
        <v>0.05</v>
      </c>
      <c r="D13" s="20">
        <f t="shared" si="0"/>
        <v>43766.17</v>
      </c>
    </row>
    <row r="14" spans="1:4">
      <c r="A14" s="9" t="s">
        <v>12</v>
      </c>
      <c r="B14" s="21">
        <v>69805.9</v>
      </c>
      <c r="C14" s="11">
        <v>0.05</v>
      </c>
      <c r="D14" s="20">
        <f t="shared" si="0"/>
        <v>3490.3</v>
      </c>
    </row>
    <row r="15" spans="1:4">
      <c r="A15" s="9" t="s">
        <v>13</v>
      </c>
      <c r="B15" s="21">
        <v>17059.39</v>
      </c>
      <c r="C15" s="11">
        <v>0.05</v>
      </c>
      <c r="D15" s="20">
        <f t="shared" si="0"/>
        <v>852.97</v>
      </c>
    </row>
    <row r="16" spans="1:4">
      <c r="A16" s="9" t="s">
        <v>14</v>
      </c>
      <c r="B16" s="21">
        <v>125634</v>
      </c>
      <c r="C16" s="11">
        <v>0.05</v>
      </c>
      <c r="D16" s="20">
        <f t="shared" si="0"/>
        <v>6281.7</v>
      </c>
    </row>
    <row r="17" spans="1:4">
      <c r="A17" s="9" t="s">
        <v>15</v>
      </c>
      <c r="B17" s="21">
        <v>133379.52</v>
      </c>
      <c r="C17" s="11">
        <v>0.05</v>
      </c>
      <c r="D17" s="20">
        <f t="shared" si="0"/>
        <v>6668.98</v>
      </c>
    </row>
    <row r="18" spans="1:4">
      <c r="A18" s="9" t="s">
        <v>16</v>
      </c>
      <c r="B18" s="21">
        <v>78008.78</v>
      </c>
      <c r="C18" s="11">
        <v>0.05</v>
      </c>
      <c r="D18" s="20">
        <f t="shared" si="0"/>
        <v>3900.44</v>
      </c>
    </row>
    <row r="19" spans="1:4">
      <c r="A19" s="9" t="s">
        <v>17</v>
      </c>
      <c r="B19" s="21">
        <v>4168.31</v>
      </c>
      <c r="C19" s="11">
        <v>0.05</v>
      </c>
      <c r="D19" s="20">
        <f t="shared" si="0"/>
        <v>208.42</v>
      </c>
    </row>
    <row r="20" spans="1:4">
      <c r="A20" s="9" t="s">
        <v>18</v>
      </c>
      <c r="B20" s="21">
        <v>9169.77</v>
      </c>
      <c r="C20" s="11">
        <v>0.05</v>
      </c>
      <c r="D20" s="20">
        <f t="shared" si="0"/>
        <v>458.49</v>
      </c>
    </row>
    <row r="21" spans="1:4">
      <c r="A21" s="9" t="s">
        <v>19</v>
      </c>
      <c r="B21" s="21">
        <v>53334.2</v>
      </c>
      <c r="C21" s="11">
        <v>0.05</v>
      </c>
      <c r="D21" s="20">
        <f t="shared" si="0"/>
        <v>2666.71</v>
      </c>
    </row>
    <row r="22" spans="1:4">
      <c r="A22" s="12" t="s">
        <v>26</v>
      </c>
      <c r="B22" s="22">
        <f>SUM(B4:B21)</f>
        <v>3139343.78</v>
      </c>
      <c r="C22" s="11"/>
      <c r="D22" s="20">
        <f>SUM(D4:D21)</f>
        <v>156967.2</v>
      </c>
    </row>
    <row r="23" ht="20.25" customHeight="1" spans="1:2">
      <c r="A23" s="1" t="s">
        <v>27</v>
      </c>
      <c r="B23" s="14" t="s">
        <v>28</v>
      </c>
    </row>
  </sheetData>
  <mergeCells count="2">
    <mergeCell ref="A1:D1"/>
    <mergeCell ref="B2:D2"/>
  </mergeCells>
  <pageMargins left="0.99" right="0.7" top="1.94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D23"/>
  <sheetViews>
    <sheetView workbookViewId="0">
      <selection activeCell="D24" sqref="D24"/>
    </sheetView>
  </sheetViews>
  <sheetFormatPr defaultColWidth="9" defaultRowHeight="13.5" outlineLevelCol="3"/>
  <cols>
    <col min="1" max="1" width="40" style="1" customWidth="1"/>
    <col min="2" max="2" width="13.875" style="1" customWidth="1"/>
    <col min="3" max="3" width="9.5" style="1" customWidth="1"/>
    <col min="4" max="4" width="16.125" style="2" customWidth="1"/>
    <col min="5" max="16366" width="9" style="1"/>
  </cols>
  <sheetData>
    <row r="1" ht="54" customHeight="1" spans="1:4">
      <c r="A1" s="3" t="s">
        <v>38</v>
      </c>
      <c r="B1" s="3"/>
      <c r="C1" s="3"/>
      <c r="D1" s="3"/>
    </row>
    <row r="2" ht="25.5" customHeight="1" spans="1:4">
      <c r="A2" s="1" t="s">
        <v>21</v>
      </c>
      <c r="B2" s="4" t="s">
        <v>22</v>
      </c>
      <c r="C2" s="5"/>
      <c r="D2" s="5"/>
    </row>
    <row r="3" spans="1:4">
      <c r="A3" s="6" t="s">
        <v>23</v>
      </c>
      <c r="B3" s="6" t="s">
        <v>1</v>
      </c>
      <c r="C3" s="7" t="s">
        <v>24</v>
      </c>
      <c r="D3" s="8" t="s">
        <v>25</v>
      </c>
    </row>
    <row r="4" spans="1:4">
      <c r="A4" s="9" t="s">
        <v>2</v>
      </c>
      <c r="B4" s="10">
        <v>1366105.06</v>
      </c>
      <c r="C4" s="11">
        <v>0.2</v>
      </c>
      <c r="D4" s="8">
        <f t="shared" ref="D4:D21" si="0">ROUND(B4*C4,2)</f>
        <v>273221.01</v>
      </c>
    </row>
    <row r="5" spans="1:4">
      <c r="A5" s="9" t="s">
        <v>3</v>
      </c>
      <c r="B5" s="10">
        <v>17743.37</v>
      </c>
      <c r="C5" s="11">
        <v>0.2</v>
      </c>
      <c r="D5" s="8">
        <f t="shared" si="0"/>
        <v>3548.67</v>
      </c>
    </row>
    <row r="6" spans="1:4">
      <c r="A6" s="9" t="s">
        <v>4</v>
      </c>
      <c r="B6" s="10">
        <v>8923.24</v>
      </c>
      <c r="C6" s="11">
        <v>0.2</v>
      </c>
      <c r="D6" s="8">
        <f t="shared" si="0"/>
        <v>1784.65</v>
      </c>
    </row>
    <row r="7" spans="1:4">
      <c r="A7" s="9" t="s">
        <v>5</v>
      </c>
      <c r="B7" s="10">
        <v>242625.16</v>
      </c>
      <c r="C7" s="11">
        <v>0.2</v>
      </c>
      <c r="D7" s="8">
        <f t="shared" si="0"/>
        <v>48525.03</v>
      </c>
    </row>
    <row r="8" spans="1:4">
      <c r="A8" s="9" t="s">
        <v>6</v>
      </c>
      <c r="B8" s="10">
        <v>23237.14</v>
      </c>
      <c r="C8" s="11">
        <v>0.2</v>
      </c>
      <c r="D8" s="8">
        <f t="shared" si="0"/>
        <v>4647.43</v>
      </c>
    </row>
    <row r="9" spans="1:4">
      <c r="A9" s="9" t="s">
        <v>7</v>
      </c>
      <c r="B9" s="10">
        <v>6180.22</v>
      </c>
      <c r="C9" s="11">
        <v>0.2</v>
      </c>
      <c r="D9" s="8">
        <f t="shared" si="0"/>
        <v>1236.04</v>
      </c>
    </row>
    <row r="10" spans="1:4">
      <c r="A10" s="9" t="s">
        <v>8</v>
      </c>
      <c r="B10" s="10">
        <v>6504.87</v>
      </c>
      <c r="C10" s="11">
        <v>0.2</v>
      </c>
      <c r="D10" s="8">
        <f t="shared" si="0"/>
        <v>1300.97</v>
      </c>
    </row>
    <row r="11" spans="1:4">
      <c r="A11" s="9" t="s">
        <v>9</v>
      </c>
      <c r="B11" s="10">
        <v>71389</v>
      </c>
      <c r="C11" s="11">
        <v>0.2</v>
      </c>
      <c r="D11" s="8">
        <f t="shared" si="0"/>
        <v>14277.8</v>
      </c>
    </row>
    <row r="12" spans="1:4">
      <c r="A12" s="9" t="s">
        <v>10</v>
      </c>
      <c r="B12" s="10">
        <v>30752.38</v>
      </c>
      <c r="C12" s="11">
        <v>0.2</v>
      </c>
      <c r="D12" s="8">
        <f t="shared" si="0"/>
        <v>6150.48</v>
      </c>
    </row>
    <row r="13" spans="1:4">
      <c r="A13" s="9" t="s">
        <v>11</v>
      </c>
      <c r="B13" s="10">
        <v>875323.47</v>
      </c>
      <c r="C13" s="11">
        <v>0.2</v>
      </c>
      <c r="D13" s="8">
        <f t="shared" si="0"/>
        <v>175064.69</v>
      </c>
    </row>
    <row r="14" spans="1:4">
      <c r="A14" s="9" t="s">
        <v>12</v>
      </c>
      <c r="B14" s="10">
        <v>69805.9</v>
      </c>
      <c r="C14" s="11">
        <v>0.2</v>
      </c>
      <c r="D14" s="8">
        <f t="shared" si="0"/>
        <v>13961.18</v>
      </c>
    </row>
    <row r="15" spans="1:4">
      <c r="A15" s="9" t="s">
        <v>13</v>
      </c>
      <c r="B15" s="10">
        <v>17059.39</v>
      </c>
      <c r="C15" s="11">
        <v>0.2</v>
      </c>
      <c r="D15" s="8">
        <f t="shared" si="0"/>
        <v>3411.88</v>
      </c>
    </row>
    <row r="16" spans="1:4">
      <c r="A16" s="9" t="s">
        <v>14</v>
      </c>
      <c r="B16" s="10">
        <v>125634</v>
      </c>
      <c r="C16" s="11">
        <v>0.2</v>
      </c>
      <c r="D16" s="8">
        <f t="shared" si="0"/>
        <v>25126.8</v>
      </c>
    </row>
    <row r="17" spans="1:4">
      <c r="A17" s="9" t="s">
        <v>15</v>
      </c>
      <c r="B17" s="10">
        <v>133379.52</v>
      </c>
      <c r="C17" s="11">
        <v>0.2</v>
      </c>
      <c r="D17" s="8">
        <f t="shared" si="0"/>
        <v>26675.9</v>
      </c>
    </row>
    <row r="18" spans="1:4">
      <c r="A18" s="9" t="s">
        <v>16</v>
      </c>
      <c r="B18" s="10">
        <v>78008.78</v>
      </c>
      <c r="C18" s="11">
        <v>0.2</v>
      </c>
      <c r="D18" s="8">
        <f t="shared" si="0"/>
        <v>15601.76</v>
      </c>
    </row>
    <row r="19" spans="1:4">
      <c r="A19" s="9" t="s">
        <v>17</v>
      </c>
      <c r="B19" s="10">
        <v>4168.31</v>
      </c>
      <c r="C19" s="11">
        <v>0.2</v>
      </c>
      <c r="D19" s="8">
        <f t="shared" si="0"/>
        <v>833.66</v>
      </c>
    </row>
    <row r="20" spans="1:4">
      <c r="A20" s="9" t="s">
        <v>18</v>
      </c>
      <c r="B20" s="10">
        <v>9169.77</v>
      </c>
      <c r="C20" s="11">
        <v>0.2</v>
      </c>
      <c r="D20" s="8">
        <f t="shared" si="0"/>
        <v>1833.95</v>
      </c>
    </row>
    <row r="21" spans="1:4">
      <c r="A21" s="9" t="s">
        <v>19</v>
      </c>
      <c r="B21" s="10">
        <v>53334.2</v>
      </c>
      <c r="C21" s="11">
        <v>0.2</v>
      </c>
      <c r="D21" s="8">
        <f t="shared" si="0"/>
        <v>10666.84</v>
      </c>
    </row>
    <row r="22" spans="1:4">
      <c r="A22" s="12" t="s">
        <v>26</v>
      </c>
      <c r="B22" s="13">
        <f>SUM(B4:B21)</f>
        <v>3139343.78</v>
      </c>
      <c r="C22" s="11"/>
      <c r="D22" s="8">
        <f>SUM(D4:D21)</f>
        <v>627868.74</v>
      </c>
    </row>
    <row r="23" ht="20.25" customHeight="1" spans="1:2">
      <c r="A23" s="1" t="s">
        <v>27</v>
      </c>
      <c r="B23" s="1" t="s">
        <v>28</v>
      </c>
    </row>
  </sheetData>
  <mergeCells count="2">
    <mergeCell ref="A1:D1"/>
    <mergeCell ref="B2:D2"/>
  </mergeCells>
  <pageMargins left="0.99" right="0.7" top="1.94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D23"/>
  <sheetViews>
    <sheetView workbookViewId="0">
      <selection activeCell="C17" sqref="C17"/>
    </sheetView>
  </sheetViews>
  <sheetFormatPr defaultColWidth="9" defaultRowHeight="13.5" outlineLevelCol="3"/>
  <cols>
    <col min="1" max="1" width="40" style="1" customWidth="1"/>
    <col min="2" max="2" width="13.875" style="1" customWidth="1"/>
    <col min="3" max="3" width="9.5" style="1" customWidth="1"/>
    <col min="4" max="4" width="16.125" style="2" customWidth="1"/>
    <col min="5" max="16366" width="9" style="1"/>
  </cols>
  <sheetData>
    <row r="1" ht="54" customHeight="1" spans="1:4">
      <c r="A1" s="3" t="s">
        <v>39</v>
      </c>
      <c r="B1" s="3"/>
      <c r="C1" s="3"/>
      <c r="D1" s="3"/>
    </row>
    <row r="2" ht="25.5" customHeight="1" spans="1:4">
      <c r="A2" s="1" t="s">
        <v>21</v>
      </c>
      <c r="B2" s="4" t="s">
        <v>22</v>
      </c>
      <c r="C2" s="5"/>
      <c r="D2" s="5"/>
    </row>
    <row r="3" spans="1:4">
      <c r="A3" s="6" t="s">
        <v>23</v>
      </c>
      <c r="B3" s="6" t="s">
        <v>1</v>
      </c>
      <c r="C3" s="7" t="s">
        <v>24</v>
      </c>
      <c r="D3" s="8" t="s">
        <v>25</v>
      </c>
    </row>
    <row r="4" spans="1:4">
      <c r="A4" s="9" t="s">
        <v>2</v>
      </c>
      <c r="B4" s="10">
        <v>1366105.06</v>
      </c>
      <c r="C4" s="11">
        <v>0.05</v>
      </c>
      <c r="D4" s="8">
        <f t="shared" ref="D4:D21" si="0">ROUND(B4*C4,2)</f>
        <v>68305.25</v>
      </c>
    </row>
    <row r="5" spans="1:4">
      <c r="A5" s="9" t="s">
        <v>3</v>
      </c>
      <c r="B5" s="10">
        <v>17743.37</v>
      </c>
      <c r="C5" s="11">
        <v>0.05</v>
      </c>
      <c r="D5" s="8">
        <f t="shared" si="0"/>
        <v>887.17</v>
      </c>
    </row>
    <row r="6" spans="1:4">
      <c r="A6" s="9" t="s">
        <v>4</v>
      </c>
      <c r="B6" s="10">
        <v>8923.24</v>
      </c>
      <c r="C6" s="11">
        <v>0.05</v>
      </c>
      <c r="D6" s="8">
        <f t="shared" si="0"/>
        <v>446.16</v>
      </c>
    </row>
    <row r="7" spans="1:4">
      <c r="A7" s="9" t="s">
        <v>5</v>
      </c>
      <c r="B7" s="10">
        <v>242625.16</v>
      </c>
      <c r="C7" s="11">
        <v>0.05</v>
      </c>
      <c r="D7" s="8">
        <f t="shared" si="0"/>
        <v>12131.26</v>
      </c>
    </row>
    <row r="8" spans="1:4">
      <c r="A8" s="9" t="s">
        <v>6</v>
      </c>
      <c r="B8" s="10">
        <v>23237.14</v>
      </c>
      <c r="C8" s="11">
        <v>0.05</v>
      </c>
      <c r="D8" s="8">
        <f t="shared" si="0"/>
        <v>1161.86</v>
      </c>
    </row>
    <row r="9" spans="1:4">
      <c r="A9" s="9" t="s">
        <v>7</v>
      </c>
      <c r="B9" s="10">
        <v>6180.22</v>
      </c>
      <c r="C9" s="11">
        <v>0.05</v>
      </c>
      <c r="D9" s="8">
        <f t="shared" si="0"/>
        <v>309.01</v>
      </c>
    </row>
    <row r="10" spans="1:4">
      <c r="A10" s="9" t="s">
        <v>8</v>
      </c>
      <c r="B10" s="10">
        <v>6504.87</v>
      </c>
      <c r="C10" s="11">
        <v>0.05</v>
      </c>
      <c r="D10" s="8">
        <f t="shared" si="0"/>
        <v>325.24</v>
      </c>
    </row>
    <row r="11" spans="1:4">
      <c r="A11" s="9" t="s">
        <v>9</v>
      </c>
      <c r="B11" s="10">
        <v>71389</v>
      </c>
      <c r="C11" s="11">
        <v>0.05</v>
      </c>
      <c r="D11" s="8">
        <f t="shared" si="0"/>
        <v>3569.45</v>
      </c>
    </row>
    <row r="12" spans="1:4">
      <c r="A12" s="9" t="s">
        <v>10</v>
      </c>
      <c r="B12" s="10">
        <v>30752.38</v>
      </c>
      <c r="C12" s="11">
        <v>0.05</v>
      </c>
      <c r="D12" s="8">
        <f t="shared" si="0"/>
        <v>1537.62</v>
      </c>
    </row>
    <row r="13" spans="1:4">
      <c r="A13" s="9" t="s">
        <v>11</v>
      </c>
      <c r="B13" s="10">
        <v>875323.47</v>
      </c>
      <c r="C13" s="11">
        <v>0.05</v>
      </c>
      <c r="D13" s="8">
        <f t="shared" si="0"/>
        <v>43766.17</v>
      </c>
    </row>
    <row r="14" spans="1:4">
      <c r="A14" s="9" t="s">
        <v>12</v>
      </c>
      <c r="B14" s="10">
        <v>69805.9</v>
      </c>
      <c r="C14" s="11">
        <v>0.05</v>
      </c>
      <c r="D14" s="8">
        <f t="shared" si="0"/>
        <v>3490.3</v>
      </c>
    </row>
    <row r="15" spans="1:4">
      <c r="A15" s="9" t="s">
        <v>13</v>
      </c>
      <c r="B15" s="10">
        <v>17059.39</v>
      </c>
      <c r="C15" s="11">
        <v>0.05</v>
      </c>
      <c r="D15" s="8">
        <f t="shared" si="0"/>
        <v>852.97</v>
      </c>
    </row>
    <row r="16" spans="1:4">
      <c r="A16" s="9" t="s">
        <v>14</v>
      </c>
      <c r="B16" s="10">
        <v>125634</v>
      </c>
      <c r="C16" s="11">
        <v>0.05</v>
      </c>
      <c r="D16" s="8">
        <f t="shared" si="0"/>
        <v>6281.7</v>
      </c>
    </row>
    <row r="17" spans="1:4">
      <c r="A17" s="9" t="s">
        <v>15</v>
      </c>
      <c r="B17" s="10">
        <v>133379.52</v>
      </c>
      <c r="C17" s="11">
        <v>0.05</v>
      </c>
      <c r="D17" s="8">
        <f t="shared" si="0"/>
        <v>6668.98</v>
      </c>
    </row>
    <row r="18" spans="1:4">
      <c r="A18" s="9" t="s">
        <v>16</v>
      </c>
      <c r="B18" s="10">
        <v>78008.78</v>
      </c>
      <c r="C18" s="11">
        <v>0.05</v>
      </c>
      <c r="D18" s="8">
        <f t="shared" si="0"/>
        <v>3900.44</v>
      </c>
    </row>
    <row r="19" spans="1:4">
      <c r="A19" s="9" t="s">
        <v>17</v>
      </c>
      <c r="B19" s="10">
        <v>4168.31</v>
      </c>
      <c r="C19" s="11">
        <v>0.05</v>
      </c>
      <c r="D19" s="8">
        <f t="shared" si="0"/>
        <v>208.42</v>
      </c>
    </row>
    <row r="20" spans="1:4">
      <c r="A20" s="9" t="s">
        <v>18</v>
      </c>
      <c r="B20" s="10">
        <v>9169.77</v>
      </c>
      <c r="C20" s="11">
        <v>0.05</v>
      </c>
      <c r="D20" s="8">
        <f t="shared" si="0"/>
        <v>458.49</v>
      </c>
    </row>
    <row r="21" spans="1:4">
      <c r="A21" s="9" t="s">
        <v>19</v>
      </c>
      <c r="B21" s="10">
        <v>53334.2</v>
      </c>
      <c r="C21" s="11">
        <v>0.05</v>
      </c>
      <c r="D21" s="8">
        <f t="shared" si="0"/>
        <v>2666.71</v>
      </c>
    </row>
    <row r="22" spans="1:4">
      <c r="A22" s="12" t="s">
        <v>26</v>
      </c>
      <c r="B22" s="13">
        <f>SUM(B4:B21)</f>
        <v>3139343.78</v>
      </c>
      <c r="C22" s="11"/>
      <c r="D22" s="8">
        <f>SUM(D4:D21)</f>
        <v>156967.2</v>
      </c>
    </row>
    <row r="23" ht="20.25" customHeight="1" spans="1:2">
      <c r="A23" s="1" t="s">
        <v>27</v>
      </c>
      <c r="B23" s="1" t="s">
        <v>28</v>
      </c>
    </row>
  </sheetData>
  <mergeCells count="2">
    <mergeCell ref="A1:D1"/>
    <mergeCell ref="B2:D2"/>
  </mergeCells>
  <pageMargins left="0.99" right="0.7" top="1.94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2025年二季度</vt:lpstr>
      <vt:lpstr>YZ-RD202428</vt:lpstr>
      <vt:lpstr>410</vt:lpstr>
      <vt:lpstr>411</vt:lpstr>
      <vt:lpstr>414</vt:lpstr>
      <vt:lpstr>415</vt:lpstr>
      <vt:lpstr>416</vt:lpstr>
      <vt:lpstr>417</vt:lpstr>
      <vt:lpstr>418</vt:lpstr>
      <vt:lpstr>419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车俊宁</dc:creator>
  <cp:lastModifiedBy>王大昱</cp:lastModifiedBy>
  <dcterms:created xsi:type="dcterms:W3CDTF">2006-09-13T11:21:00Z</dcterms:created>
  <cp:lastPrinted>2024-04-16T08:19:00Z</cp:lastPrinted>
  <dcterms:modified xsi:type="dcterms:W3CDTF">2025-08-18T03:50:02Z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904B0303620D40B59D136997E312AFBE</vt:lpwstr>
  </property>
</Properties>
</file>