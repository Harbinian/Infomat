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19440" windowHeight="11640"/>
  </bookViews>
  <sheets>
    <sheet name="Sheet1" sheetId="1" r:id="rId1"/>
  </sheets>
  <definedNames>
    <definedName name="_xlnm._FilterDatabase" localSheetId="0" hidden="1">Sheet1!$A$5:$AD$55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39" i="1"/>
  <c r="O55"/>
  <c r="O54"/>
  <c r="O53"/>
  <c r="O52"/>
  <c r="O51"/>
  <c r="O50"/>
  <c r="O49"/>
  <c r="O48"/>
  <c r="O47"/>
  <c r="O46"/>
  <c r="O45"/>
  <c r="O44"/>
  <c r="O43"/>
  <c r="O42"/>
  <c r="O41"/>
  <c r="O40"/>
  <c r="O38"/>
  <c r="O37"/>
  <c r="O36"/>
  <c r="O35"/>
  <c r="O34"/>
  <c r="O33"/>
  <c r="O32"/>
  <c r="O31"/>
  <c r="O30"/>
  <c r="O29"/>
  <c r="O28"/>
  <c r="O27"/>
  <c r="O26"/>
  <c r="O25"/>
  <c r="O24"/>
  <c r="O23"/>
  <c r="O22"/>
  <c r="O21"/>
  <c r="O20"/>
  <c r="O19"/>
  <c r="O18"/>
  <c r="O17"/>
  <c r="O16"/>
  <c r="O15"/>
  <c r="O14"/>
  <c r="O13"/>
  <c r="O12"/>
  <c r="O11"/>
  <c r="O10"/>
  <c r="O9"/>
  <c r="O8"/>
  <c r="O7"/>
  <c r="O6"/>
</calcChain>
</file>

<file path=xl/sharedStrings.xml><?xml version="1.0" encoding="utf-8"?>
<sst xmlns="http://schemas.openxmlformats.org/spreadsheetml/2006/main" count="961" uniqueCount="208">
  <si>
    <t>步骤1：更新业务流程数据梳理表，保证梳理表中的业务流程与最新流程地图保持一致，流程地图按照SHEET2流程地图表填写
步骤2：继续更新业务流程数据梳理表，对应该流程里的所有表清单（参考L列），在业务流程梳理表中明确输出业务项。
步骤3：在本表中填写L-AA列</t>
    <phoneticPr fontId="2" type="noConversion"/>
  </si>
  <si>
    <t>信息流图对应业务表清单明细</t>
    <phoneticPr fontId="2" type="noConversion"/>
  </si>
  <si>
    <t>业务流程相关信息</t>
    <phoneticPr fontId="2" type="noConversion"/>
  </si>
  <si>
    <t>信息流图的相关信息</t>
    <phoneticPr fontId="2" type="noConversion"/>
  </si>
  <si>
    <t>业务流程数据表相关信息</t>
    <phoneticPr fontId="2" type="noConversion"/>
  </si>
  <si>
    <t>数据分布表相关信息</t>
    <phoneticPr fontId="2" type="noConversion"/>
  </si>
  <si>
    <t>业务域编号</t>
    <phoneticPr fontId="2" type="noConversion"/>
  </si>
  <si>
    <t>业务域</t>
  </si>
  <si>
    <t>流程组编号</t>
    <phoneticPr fontId="2" type="noConversion"/>
  </si>
  <si>
    <t>流程组名称</t>
    <phoneticPr fontId="2" type="noConversion"/>
  </si>
  <si>
    <t>流程编号</t>
    <phoneticPr fontId="2" type="noConversion"/>
  </si>
  <si>
    <t>流程名称</t>
    <phoneticPr fontId="2" type="noConversion"/>
  </si>
  <si>
    <t>子流程编号</t>
    <phoneticPr fontId="2" type="noConversion"/>
  </si>
  <si>
    <t>子流程名称</t>
    <phoneticPr fontId="2" type="noConversion"/>
  </si>
  <si>
    <t>信息流图名称</t>
    <phoneticPr fontId="2" type="noConversion"/>
  </si>
  <si>
    <t>业务表名称（信息流图）</t>
    <phoneticPr fontId="2" type="noConversion"/>
  </si>
  <si>
    <t>是否输出业务项</t>
    <phoneticPr fontId="2" type="noConversion"/>
  </si>
  <si>
    <t>线上线下输出物名称（线上表写末级菜单中文名称）</t>
    <phoneticPr fontId="2" type="noConversion"/>
  </si>
  <si>
    <t>对比业务表名称（信息流图）和线上线下输出物名称</t>
    <phoneticPr fontId="2" type="noConversion"/>
  </si>
  <si>
    <t>SAP模块代码</t>
    <phoneticPr fontId="2" type="noConversion"/>
  </si>
  <si>
    <t>SAP口令代码</t>
    <phoneticPr fontId="2" type="noConversion"/>
  </si>
  <si>
    <t>目前表号（数据分布表必须填此表号）</t>
    <phoneticPr fontId="2" type="noConversion"/>
  </si>
  <si>
    <t>新表号</t>
    <phoneticPr fontId="2" type="noConversion"/>
  </si>
  <si>
    <t>权威数据源系统1（数据最全的系统）</t>
    <phoneticPr fontId="2" type="noConversion"/>
  </si>
  <si>
    <t>权威数据源系统2（数据最全的系统）</t>
    <phoneticPr fontId="2" type="noConversion"/>
  </si>
  <si>
    <t>是否已挂附件的形式上报业务数据</t>
    <phoneticPr fontId="2" type="noConversion"/>
  </si>
  <si>
    <t>系统名称</t>
    <phoneticPr fontId="2" type="noConversion"/>
  </si>
  <si>
    <t>操作</t>
    <phoneticPr fontId="2" type="noConversion"/>
  </si>
  <si>
    <t>数据分布表中对应的表格编号</t>
    <phoneticPr fontId="2" type="noConversion"/>
  </si>
  <si>
    <t>数据分布表中对应的表格名称</t>
    <phoneticPr fontId="2" type="noConversion"/>
  </si>
  <si>
    <t>表责任部门</t>
    <phoneticPr fontId="2" type="noConversion"/>
  </si>
  <si>
    <t>问题或建议备注</t>
    <phoneticPr fontId="2" type="noConversion"/>
  </si>
  <si>
    <t>核查结果</t>
    <phoneticPr fontId="2" type="noConversion"/>
  </si>
  <si>
    <t>集成制造业务域不要填写，新增行则复制相关流程信息</t>
    <phoneticPr fontId="2" type="noConversion"/>
  </si>
  <si>
    <t>辅助列</t>
    <phoneticPr fontId="2" type="noConversion"/>
  </si>
  <si>
    <t>信息流图中标会的不填写，有多个表单编号分多行</t>
    <phoneticPr fontId="2" type="noConversion"/>
  </si>
  <si>
    <t>如果是业务流程数据梳理表中认定的属于该流程的输出项，则填写是,不是则为否</t>
    <phoneticPr fontId="2" type="noConversion"/>
  </si>
  <si>
    <t>M列为是，则必填。如果是线上，直接写线上的末级菜单名称，如果是线下，直接写线下表单名称（线下表单名称必须和E列保持一致）</t>
    <phoneticPr fontId="2" type="noConversion"/>
  </si>
  <si>
    <t>如T列为ERP，则必填，参考“装配计划订单”</t>
    <phoneticPr fontId="2" type="noConversion"/>
  </si>
  <si>
    <t>填写对应的目前程序中的表号，线下表必填，线上表有就填，无为空</t>
    <phoneticPr fontId="2" type="noConversion"/>
  </si>
  <si>
    <t>有新表号则填写，无为空</t>
    <phoneticPr fontId="2" type="noConversion"/>
  </si>
  <si>
    <t>如果是有信息系统管理，需要明确该输出业务项目的权威系统（到底那个系统存的数据是最全的）</t>
    <phoneticPr fontId="2" type="noConversion"/>
  </si>
  <si>
    <t>例如：一千条记录中，五百条记录存在A出，五百条存在B处统，则填写该列.常规情况下不填写此列</t>
    <phoneticPr fontId="2" type="noConversion"/>
  </si>
  <si>
    <t>例如XX业务的OA审批表，需要上传业务数据清单作为附件，则为是。</t>
    <phoneticPr fontId="2" type="noConversion"/>
  </si>
  <si>
    <t>数据分布表中需要填写的与R列保持一致，R列为空，则填写Z列</t>
    <phoneticPr fontId="2" type="noConversion"/>
  </si>
  <si>
    <t>填写数据分布表的文件名称，需要与L列保持一致</t>
    <phoneticPr fontId="2" type="noConversion"/>
  </si>
  <si>
    <t>填写该表单所属部门全称</t>
    <phoneticPr fontId="2" type="noConversion"/>
  </si>
  <si>
    <t>集成制造</t>
  </si>
  <si>
    <t>否</t>
    <phoneticPr fontId="2" type="noConversion"/>
  </si>
  <si>
    <t>OA</t>
  </si>
  <si>
    <t>OK</t>
    <phoneticPr fontId="2" type="noConversion"/>
  </si>
  <si>
    <t>CPM</t>
  </si>
  <si>
    <t>MES</t>
  </si>
  <si>
    <t>是</t>
  </si>
  <si>
    <t>纸质</t>
  </si>
  <si>
    <t>R</t>
  </si>
  <si>
    <t>线下</t>
  </si>
  <si>
    <t>C/U</t>
  </si>
  <si>
    <t>线上线下输出名称，如果在系统中，应该给出系统中的线上末级菜单名称</t>
  </si>
  <si>
    <t>自定义表</t>
    <phoneticPr fontId="2" type="noConversion"/>
  </si>
  <si>
    <t>C</t>
  </si>
  <si>
    <t>U</t>
  </si>
  <si>
    <t>装配生产过程管理</t>
  </si>
  <si>
    <t>14.3.2</t>
  </si>
  <si>
    <t>装配生产派工及执行</t>
  </si>
  <si>
    <t>否</t>
  </si>
  <si>
    <t>线下EXCEL</t>
  </si>
  <si>
    <t>快表</t>
  </si>
  <si>
    <t>器材紧急放行单</t>
  </si>
  <si>
    <t>紧急放行粘签</t>
  </si>
  <si>
    <t>14.3.2.1</t>
  </si>
  <si>
    <t>产品紧急放行</t>
  </si>
  <si>
    <t>信息流图-集成制造业务域-制造质量管理-14.3.2.1产品紧急放行</t>
  </si>
  <si>
    <t>FM1404-78</t>
  </si>
  <si>
    <t>无</t>
  </si>
  <si>
    <t>质量安全部</t>
  </si>
  <si>
    <t>产品紧急放行单</t>
  </si>
  <si>
    <t>FM1404-76</t>
  </si>
  <si>
    <t>信息流图-集成制造业务域-制造质量管理-14.3.2.1产品紧急放行</t>
    <phoneticPr fontId="2" type="noConversion"/>
  </si>
  <si>
    <t>C/U/R</t>
  </si>
  <si>
    <t>制造质量管理</t>
  </si>
  <si>
    <t>14.8.3</t>
  </si>
  <si>
    <t>理化计量要求策划</t>
  </si>
  <si>
    <t>14.8.3.2</t>
  </si>
  <si>
    <t>工装定检</t>
  </si>
  <si>
    <t>信息流图-集成制造业务域-工装工具管理-14.8.3.2工装定检</t>
  </si>
  <si>
    <t>工艺装备备忘录</t>
  </si>
  <si>
    <t>FM1405-15</t>
  </si>
  <si>
    <t>工艺装备定期检修计划表</t>
  </si>
  <si>
    <t>FM1405-24</t>
  </si>
  <si>
    <t>CPM</t>
    <phoneticPr fontId="2" type="noConversion"/>
  </si>
  <si>
    <t>工装定检申请单</t>
  </si>
  <si>
    <t>FM1405-18</t>
  </si>
  <si>
    <t>工装定检检修记录</t>
  </si>
  <si>
    <t>FM1405-16</t>
  </si>
  <si>
    <t>召回工装通知单</t>
  </si>
  <si>
    <t>FM1405-19</t>
  </si>
  <si>
    <t>工装定检技术要求</t>
  </si>
  <si>
    <t>FM1405-33</t>
  </si>
  <si>
    <t>工装定检周期申请单</t>
  </si>
  <si>
    <t>FM1405-52</t>
  </si>
  <si>
    <t>14.8.1</t>
  </si>
  <si>
    <t>产品检验策划</t>
  </si>
  <si>
    <t>信息流图-集成制造业务域-制造质量管理-14.8.1产品检验策划</t>
  </si>
  <si>
    <t>产品检验规程</t>
  </si>
  <si>
    <t>FM1404-82</t>
  </si>
  <si>
    <t>顾客检验点清单</t>
  </si>
  <si>
    <t>FM1404-84</t>
  </si>
  <si>
    <t>适航检验点清单</t>
  </si>
  <si>
    <t>FM1404-83</t>
  </si>
  <si>
    <t>产品装配控制记录</t>
  </si>
  <si>
    <t>产品制造记录</t>
  </si>
  <si>
    <t>14.8.2</t>
  </si>
  <si>
    <t>包装运输质量策划</t>
  </si>
  <si>
    <t>信息流图-集成制造业务域-制造质量管理-14.8.2包装运输质量策划</t>
  </si>
  <si>
    <t>包装运输检验清单</t>
  </si>
  <si>
    <t>FM1404-85</t>
  </si>
  <si>
    <t>信息流图-集成制造业务域-制造质量管理-14.8.3理化计量要求策划</t>
  </si>
  <si>
    <t>试验申请单</t>
  </si>
  <si>
    <t>FM1404-44</t>
  </si>
  <si>
    <t>试验文件</t>
  </si>
  <si>
    <t>FM2310-45</t>
  </si>
  <si>
    <t>试验确认单</t>
  </si>
  <si>
    <t>FM1404-88</t>
  </si>
  <si>
    <t>14.8.4</t>
  </si>
  <si>
    <t>理化计量要求执行</t>
  </si>
  <si>
    <t>信息流图-集成制造业务域-制造质量管理-14.8.4理化计量要求执行</t>
  </si>
  <si>
    <t>试验报告</t>
  </si>
  <si>
    <t>FM1404-46</t>
  </si>
  <si>
    <t>14.8.5</t>
  </si>
  <si>
    <t>首件检验</t>
  </si>
  <si>
    <t>信息流图-集成制造业务域-制造质量管理-14.8.5首件检验</t>
  </si>
  <si>
    <t>检验更改申请单</t>
  </si>
  <si>
    <t>FM1404-62</t>
  </si>
  <si>
    <t>首件检验报告 - 产品件号符合性(首页)</t>
  </si>
  <si>
    <t>首件检验报告 - 产品件号符合性(首页)</t>
    <phoneticPr fontId="2" type="noConversion"/>
  </si>
  <si>
    <t>FM1404-64</t>
  </si>
  <si>
    <t>首件检验报告 - 产品件号符合性(续页)</t>
  </si>
  <si>
    <t>FM1404-64.1</t>
  </si>
  <si>
    <t>首件检验报告 - 产品核查（原材料、特殊过程和功能试验）</t>
  </si>
  <si>
    <t>FM1404-66</t>
  </si>
  <si>
    <t>首件检验报告 - 特性核查、验证和符合性评价</t>
  </si>
  <si>
    <t>FM1404-67</t>
  </si>
  <si>
    <t>零组件首件检验计划和报告</t>
  </si>
  <si>
    <t>首件检验报告编辑</t>
    <phoneticPr fontId="2" type="noConversion"/>
  </si>
  <si>
    <t>FM1404-69</t>
  </si>
  <si>
    <t>MES/线下</t>
  </si>
  <si>
    <t>首件检验特性草图</t>
  </si>
  <si>
    <t>FM1404-70</t>
  </si>
  <si>
    <t>首件检验通知</t>
  </si>
  <si>
    <t>首件检验通知</t>
    <phoneticPr fontId="2" type="noConversion"/>
  </si>
  <si>
    <t>FM1404-63</t>
  </si>
  <si>
    <t>线上线下输出名称，如果在系统中，应该给出系统中的线上末级菜单名称</t>
    <phoneticPr fontId="2" type="noConversion"/>
  </si>
  <si>
    <t>构型更改委员会行动项清单</t>
  </si>
  <si>
    <t>EXCLE服务系统</t>
  </si>
  <si>
    <t>质量工程指示单</t>
  </si>
  <si>
    <t>质量工程指示单</t>
    <phoneticPr fontId="2" type="noConversion"/>
  </si>
  <si>
    <t>FM1404-61</t>
  </si>
  <si>
    <t>14.8.6</t>
  </si>
  <si>
    <t>产品检验</t>
  </si>
  <si>
    <t>信息流图-集成制造业务域-制造质量管理-14.8.6产品检验</t>
  </si>
  <si>
    <t>合格证</t>
  </si>
  <si>
    <t>FM1404-59</t>
  </si>
  <si>
    <t>产品合格证（内部）</t>
  </si>
  <si>
    <t>FM1404-58</t>
  </si>
  <si>
    <t>14.8.7</t>
  </si>
  <si>
    <t>不合格品控制</t>
  </si>
  <si>
    <t>信息流图-集成制造业务域-制造质量管理-14.8.7 不合格品控制</t>
  </si>
  <si>
    <t>不合格品登记帐</t>
  </si>
  <si>
    <t>FM1404-16</t>
  </si>
  <si>
    <t>偏差项目记录单</t>
  </si>
  <si>
    <t>FM1404-14</t>
  </si>
  <si>
    <t>故障通知单</t>
  </si>
  <si>
    <t>FM1404-15</t>
  </si>
  <si>
    <t>废品卡片</t>
  </si>
  <si>
    <t>FM1404-09</t>
  </si>
  <si>
    <t>拒收报告</t>
  </si>
  <si>
    <t>FM1404-08</t>
  </si>
  <si>
    <t>不合格品粘签</t>
  </si>
  <si>
    <t>FM1404-17</t>
  </si>
  <si>
    <t>不合格品挂签</t>
  </si>
  <si>
    <t>FM1404-11</t>
  </si>
  <si>
    <t>产品控制记录</t>
  </si>
  <si>
    <t>质量问题通知单</t>
  </si>
  <si>
    <t>FM1404-13</t>
  </si>
  <si>
    <t>14.8.7.1</t>
  </si>
  <si>
    <t>质量逃逸</t>
  </si>
  <si>
    <t>质量逃逸通知</t>
  </si>
  <si>
    <t>FM1404-68</t>
  </si>
  <si>
    <t>14.8.8</t>
  </si>
  <si>
    <t>交付文件的准备</t>
  </si>
  <si>
    <t>信息流图-集成制造业务域-制造质量管理-14.8.8交付文件的准备</t>
  </si>
  <si>
    <t>交付文件清单</t>
  </si>
  <si>
    <t>FM1404-86</t>
  </si>
  <si>
    <t>14.8.9</t>
  </si>
  <si>
    <t>包装运输检验</t>
  </si>
  <si>
    <t>信息流图-集成制造业务域-制造质量管理-14.8.9包装运输检验</t>
  </si>
  <si>
    <t>包装运输检验记录单</t>
  </si>
  <si>
    <t>FM1404-87</t>
  </si>
  <si>
    <t>无</t>
    <phoneticPr fontId="1" type="noConversion"/>
  </si>
  <si>
    <t>CPM</t>
    <phoneticPr fontId="1" type="noConversion"/>
  </si>
  <si>
    <t>试验文件（自编技术文件）</t>
    <phoneticPr fontId="1" type="noConversion"/>
  </si>
  <si>
    <t>FM1404-67</t>
    <phoneticPr fontId="1" type="noConversion"/>
  </si>
  <si>
    <t>产品制造记录</t>
    <phoneticPr fontId="1" type="noConversion"/>
  </si>
  <si>
    <t>质量逃逸</t>
    <phoneticPr fontId="1" type="noConversion"/>
  </si>
  <si>
    <t>信息流图-集成制造业务域-制造质量管理-14.8.7.1 质量逃逸</t>
    <phoneticPr fontId="1" type="noConversion"/>
  </si>
  <si>
    <t>OK</t>
    <phoneticPr fontId="2" type="noConversion"/>
  </si>
  <si>
    <t>自定义表</t>
    <phoneticPr fontId="2" type="noConversion"/>
  </si>
</sst>
</file>

<file path=xl/styles.xml><?xml version="1.0" encoding="utf-8"?>
<styleSheet xmlns="http://schemas.openxmlformats.org/spreadsheetml/2006/main">
  <numFmts count="1">
    <numFmt numFmtId="176" formatCode="0.0_);[Red]\(0.0\)"/>
  </numFmts>
  <fonts count="1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2"/>
      <color theme="1"/>
      <name val="黑体"/>
      <family val="3"/>
      <charset val="134"/>
    </font>
    <font>
      <b/>
      <sz val="11"/>
      <color theme="1"/>
      <name val="等线"/>
      <family val="2"/>
      <scheme val="minor"/>
    </font>
    <font>
      <b/>
      <sz val="11"/>
      <color rgb="FFFF0000"/>
      <name val="等线"/>
      <family val="2"/>
      <scheme val="minor"/>
    </font>
    <font>
      <b/>
      <sz val="12"/>
      <color rgb="FFFF0000"/>
      <name val="黑体"/>
      <family val="3"/>
      <charset val="134"/>
    </font>
    <font>
      <b/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>
      <alignment vertical="center"/>
    </xf>
  </cellStyleXfs>
  <cellXfs count="57">
    <xf numFmtId="0" fontId="0" fillId="0" borderId="0" xfId="0"/>
    <xf numFmtId="0" fontId="0" fillId="0" borderId="2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5" fillId="3" borderId="2" xfId="0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vertical="center" wrapText="1"/>
    </xf>
    <xf numFmtId="0" fontId="8" fillId="5" borderId="2" xfId="0" applyFont="1" applyFill="1" applyBorder="1" applyAlignment="1">
      <alignment vertical="center" wrapText="1"/>
    </xf>
    <xf numFmtId="0" fontId="7" fillId="0" borderId="2" xfId="0" applyFont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vertical="center" wrapText="1"/>
    </xf>
    <xf numFmtId="0" fontId="0" fillId="0" borderId="2" xfId="0" applyFill="1" applyBorder="1" applyAlignment="1">
      <alignment horizontal="left" vertical="center"/>
    </xf>
    <xf numFmtId="176" fontId="9" fillId="0" borderId="2" xfId="0" applyNumberFormat="1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left" vertical="center" wrapText="1"/>
    </xf>
    <xf numFmtId="0" fontId="0" fillId="0" borderId="7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9" fillId="0" borderId="2" xfId="0" applyFont="1" applyFill="1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0" fillId="0" borderId="0" xfId="0" applyFill="1"/>
    <xf numFmtId="0" fontId="6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left" vertical="center" wrapText="1"/>
    </xf>
    <xf numFmtId="49" fontId="0" fillId="0" borderId="1" xfId="0" applyNumberFormat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left" vertical="center"/>
    </xf>
    <xf numFmtId="0" fontId="11" fillId="0" borderId="7" xfId="0" applyFont="1" applyFill="1" applyBorder="1" applyAlignment="1">
      <alignment vertical="center"/>
    </xf>
    <xf numFmtId="0" fontId="11" fillId="0" borderId="2" xfId="0" applyFont="1" applyFill="1" applyBorder="1" applyAlignment="1">
      <alignment vertical="center"/>
    </xf>
    <xf numFmtId="0" fontId="11" fillId="0" borderId="2" xfId="0" applyFont="1" applyFill="1" applyBorder="1" applyAlignment="1">
      <alignment vertical="center" wrapText="1"/>
    </xf>
    <xf numFmtId="0" fontId="11" fillId="0" borderId="0" xfId="0" applyFont="1" applyFill="1"/>
    <xf numFmtId="176" fontId="11" fillId="0" borderId="2" xfId="0" applyNumberFormat="1" applyFont="1" applyFill="1" applyBorder="1" applyAlignment="1">
      <alignment horizontal="left" vertical="center" wrapText="1"/>
    </xf>
    <xf numFmtId="0" fontId="11" fillId="0" borderId="2" xfId="0" applyFont="1" applyFill="1" applyBorder="1" applyAlignment="1">
      <alignment horizontal="left" vertical="center" wrapText="1"/>
    </xf>
    <xf numFmtId="0" fontId="11" fillId="0" borderId="2" xfId="0" applyFont="1" applyFill="1" applyBorder="1" applyAlignment="1">
      <alignment horizontal="left" vertical="center"/>
    </xf>
  </cellXfs>
  <cellStyles count="2">
    <cellStyle name="常规" xfId="0" builtinId="0"/>
    <cellStyle name="常规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55"/>
  <sheetViews>
    <sheetView tabSelected="1" topLeftCell="A22" zoomScale="85" zoomScaleNormal="85" workbookViewId="0">
      <selection activeCell="F24" sqref="F24"/>
    </sheetView>
  </sheetViews>
  <sheetFormatPr defaultRowHeight="20.100000000000001" customHeight="1"/>
  <cols>
    <col min="3" max="3" width="13.75" customWidth="1"/>
    <col min="4" max="4" width="18.75" customWidth="1"/>
    <col min="6" max="6" width="21.25" customWidth="1"/>
    <col min="7" max="7" width="12.125" customWidth="1"/>
    <col min="8" max="8" width="18.5" customWidth="1"/>
    <col min="9" max="9" width="17.375" customWidth="1"/>
    <col min="10" max="10" width="9" customWidth="1"/>
    <col min="11" max="11" width="64.5" customWidth="1"/>
    <col min="12" max="12" width="48.125" customWidth="1"/>
    <col min="14" max="14" width="42.25" customWidth="1"/>
    <col min="18" max="18" width="11.625" customWidth="1"/>
    <col min="19" max="19" width="12.25" customWidth="1"/>
    <col min="20" max="20" width="18.875" customWidth="1"/>
    <col min="25" max="25" width="15" customWidth="1"/>
    <col min="26" max="26" width="16.625" customWidth="1"/>
    <col min="27" max="27" width="15.125" customWidth="1"/>
  </cols>
  <sheetData>
    <row r="1" spans="1:30" ht="20.100000000000001" customHeight="1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4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2"/>
      <c r="AC1" s="1"/>
      <c r="AD1" s="1"/>
    </row>
    <row r="2" spans="1:30" ht="20.100000000000001" customHeight="1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6"/>
      <c r="AB2" s="2"/>
      <c r="AC2" s="1"/>
      <c r="AD2" s="1"/>
    </row>
    <row r="3" spans="1:30" ht="20.100000000000001" customHeight="1">
      <c r="A3" s="37" t="s">
        <v>2</v>
      </c>
      <c r="B3" s="38"/>
      <c r="C3" s="38"/>
      <c r="D3" s="38"/>
      <c r="E3" s="38"/>
      <c r="F3" s="38"/>
      <c r="G3" s="38"/>
      <c r="H3" s="39"/>
      <c r="I3" s="3"/>
      <c r="J3" s="3"/>
      <c r="K3" s="40" t="s">
        <v>3</v>
      </c>
      <c r="L3" s="41"/>
      <c r="M3" s="42" t="s">
        <v>4</v>
      </c>
      <c r="N3" s="43"/>
      <c r="O3" s="43"/>
      <c r="P3" s="43"/>
      <c r="Q3" s="43"/>
      <c r="R3" s="43"/>
      <c r="S3" s="43"/>
      <c r="T3" s="43"/>
      <c r="U3" s="43"/>
      <c r="V3" s="44"/>
      <c r="W3" s="45" t="s">
        <v>3</v>
      </c>
      <c r="X3" s="45"/>
      <c r="Y3" s="46" t="s">
        <v>5</v>
      </c>
      <c r="Z3" s="47"/>
      <c r="AA3" s="48"/>
      <c r="AB3" s="2"/>
      <c r="AC3" s="1"/>
      <c r="AD3" s="1"/>
    </row>
    <row r="4" spans="1:30" ht="20.100000000000001" customHeight="1">
      <c r="A4" s="4" t="s">
        <v>6</v>
      </c>
      <c r="B4" s="4" t="s">
        <v>7</v>
      </c>
      <c r="C4" s="5" t="s">
        <v>8</v>
      </c>
      <c r="D4" s="4" t="s">
        <v>9</v>
      </c>
      <c r="E4" s="4" t="s">
        <v>10</v>
      </c>
      <c r="F4" s="4" t="s">
        <v>11</v>
      </c>
      <c r="G4" s="4" t="s">
        <v>12</v>
      </c>
      <c r="H4" s="4" t="s">
        <v>13</v>
      </c>
      <c r="I4" s="6" t="s">
        <v>10</v>
      </c>
      <c r="J4" s="7" t="s">
        <v>11</v>
      </c>
      <c r="K4" s="8" t="s">
        <v>14</v>
      </c>
      <c r="L4" s="9" t="s">
        <v>15</v>
      </c>
      <c r="M4" s="10" t="s">
        <v>16</v>
      </c>
      <c r="N4" s="10" t="s">
        <v>17</v>
      </c>
      <c r="O4" s="10" t="s">
        <v>18</v>
      </c>
      <c r="P4" s="10" t="s">
        <v>19</v>
      </c>
      <c r="Q4" s="10" t="s">
        <v>20</v>
      </c>
      <c r="R4" s="10" t="s">
        <v>21</v>
      </c>
      <c r="S4" s="10" t="s">
        <v>22</v>
      </c>
      <c r="T4" s="10" t="s">
        <v>23</v>
      </c>
      <c r="U4" s="10" t="s">
        <v>24</v>
      </c>
      <c r="V4" s="10" t="s">
        <v>25</v>
      </c>
      <c r="W4" s="11" t="s">
        <v>26</v>
      </c>
      <c r="X4" s="11" t="s">
        <v>27</v>
      </c>
      <c r="Y4" s="12" t="s">
        <v>28</v>
      </c>
      <c r="Z4" s="12" t="s">
        <v>29</v>
      </c>
      <c r="AA4" s="13" t="s">
        <v>30</v>
      </c>
      <c r="AB4" s="7" t="s">
        <v>31</v>
      </c>
      <c r="AC4" s="7" t="s">
        <v>32</v>
      </c>
      <c r="AD4" s="7"/>
    </row>
    <row r="5" spans="1:30" ht="56.25" customHeight="1">
      <c r="A5" s="30" t="s">
        <v>33</v>
      </c>
      <c r="B5" s="31"/>
      <c r="C5" s="31"/>
      <c r="D5" s="31"/>
      <c r="E5" s="31"/>
      <c r="F5" s="31"/>
      <c r="G5" s="31"/>
      <c r="H5" s="32"/>
      <c r="I5" s="14" t="s">
        <v>34</v>
      </c>
      <c r="J5" s="15" t="s">
        <v>34</v>
      </c>
      <c r="K5" s="16"/>
      <c r="L5" s="17" t="s">
        <v>35</v>
      </c>
      <c r="M5" s="18" t="s">
        <v>36</v>
      </c>
      <c r="N5" s="18" t="s">
        <v>37</v>
      </c>
      <c r="O5" s="18"/>
      <c r="P5" s="18" t="s">
        <v>38</v>
      </c>
      <c r="Q5" s="18" t="s">
        <v>38</v>
      </c>
      <c r="R5" s="18" t="s">
        <v>39</v>
      </c>
      <c r="S5" s="18" t="s">
        <v>40</v>
      </c>
      <c r="T5" s="18" t="s">
        <v>41</v>
      </c>
      <c r="U5" s="18" t="s">
        <v>42</v>
      </c>
      <c r="V5" s="18" t="s">
        <v>43</v>
      </c>
      <c r="W5" s="19"/>
      <c r="X5" s="19"/>
      <c r="Y5" s="20" t="s">
        <v>44</v>
      </c>
      <c r="Z5" s="20" t="s">
        <v>45</v>
      </c>
      <c r="AA5" s="21" t="s">
        <v>46</v>
      </c>
      <c r="AB5" s="15"/>
      <c r="AC5" s="15"/>
      <c r="AD5" s="15"/>
    </row>
    <row r="6" spans="1:30" s="29" customFormat="1" ht="20.100000000000001" customHeight="1">
      <c r="A6" s="22">
        <v>14</v>
      </c>
      <c r="B6" s="22" t="s">
        <v>47</v>
      </c>
      <c r="C6" s="23">
        <v>14.3</v>
      </c>
      <c r="D6" s="24" t="s">
        <v>62</v>
      </c>
      <c r="E6" s="24" t="s">
        <v>63</v>
      </c>
      <c r="F6" s="24" t="s">
        <v>64</v>
      </c>
      <c r="G6" s="22" t="s">
        <v>70</v>
      </c>
      <c r="H6" s="22" t="s">
        <v>71</v>
      </c>
      <c r="I6" s="25" t="s">
        <v>70</v>
      </c>
      <c r="J6" s="26" t="s">
        <v>71</v>
      </c>
      <c r="K6" s="26" t="s">
        <v>72</v>
      </c>
      <c r="L6" s="26" t="s">
        <v>69</v>
      </c>
      <c r="M6" s="26" t="s">
        <v>53</v>
      </c>
      <c r="N6" s="26" t="s">
        <v>69</v>
      </c>
      <c r="O6" s="27">
        <f t="shared" ref="O6:O55" si="0">IF(L6=N6,1,0)</f>
        <v>1</v>
      </c>
      <c r="P6" s="27"/>
      <c r="Q6" s="27"/>
      <c r="R6" s="26" t="s">
        <v>73</v>
      </c>
      <c r="S6" s="26" t="s">
        <v>74</v>
      </c>
      <c r="T6" s="27" t="s">
        <v>54</v>
      </c>
      <c r="U6" s="27"/>
      <c r="V6" s="27"/>
      <c r="W6" s="26" t="s">
        <v>56</v>
      </c>
      <c r="X6" s="26" t="s">
        <v>60</v>
      </c>
      <c r="Y6" s="26" t="s">
        <v>73</v>
      </c>
      <c r="Z6" s="26" t="s">
        <v>69</v>
      </c>
      <c r="AA6" s="26" t="s">
        <v>75</v>
      </c>
      <c r="AB6" s="28"/>
      <c r="AC6" s="26" t="s">
        <v>50</v>
      </c>
      <c r="AD6" s="26" t="s">
        <v>59</v>
      </c>
    </row>
    <row r="7" spans="1:30" s="29" customFormat="1" ht="20.100000000000001" customHeight="1">
      <c r="A7" s="22">
        <v>14</v>
      </c>
      <c r="B7" s="22" t="s">
        <v>47</v>
      </c>
      <c r="C7" s="23">
        <v>14.3</v>
      </c>
      <c r="D7" s="24" t="s">
        <v>62</v>
      </c>
      <c r="E7" s="24" t="s">
        <v>63</v>
      </c>
      <c r="F7" s="24" t="s">
        <v>64</v>
      </c>
      <c r="G7" s="22" t="s">
        <v>70</v>
      </c>
      <c r="H7" s="22" t="s">
        <v>71</v>
      </c>
      <c r="I7" s="25" t="s">
        <v>70</v>
      </c>
      <c r="J7" s="26" t="s">
        <v>71</v>
      </c>
      <c r="K7" s="26" t="s">
        <v>72</v>
      </c>
      <c r="L7" s="26" t="s">
        <v>76</v>
      </c>
      <c r="M7" s="26" t="s">
        <v>53</v>
      </c>
      <c r="N7" s="26" t="s">
        <v>76</v>
      </c>
      <c r="O7" s="27">
        <f t="shared" si="0"/>
        <v>1</v>
      </c>
      <c r="P7" s="27"/>
      <c r="Q7" s="27"/>
      <c r="R7" s="26" t="s">
        <v>77</v>
      </c>
      <c r="S7" s="26" t="s">
        <v>74</v>
      </c>
      <c r="T7" s="27" t="s">
        <v>52</v>
      </c>
      <c r="U7" s="27"/>
      <c r="V7" s="27"/>
      <c r="W7" s="26" t="s">
        <v>56</v>
      </c>
      <c r="X7" s="26" t="s">
        <v>60</v>
      </c>
      <c r="Y7" s="26" t="s">
        <v>77</v>
      </c>
      <c r="Z7" s="26" t="s">
        <v>76</v>
      </c>
      <c r="AA7" s="26" t="s">
        <v>75</v>
      </c>
      <c r="AB7" s="28"/>
      <c r="AC7" s="26" t="s">
        <v>50</v>
      </c>
      <c r="AD7" s="26"/>
    </row>
    <row r="8" spans="1:30" s="29" customFormat="1" ht="20.100000000000001" customHeight="1">
      <c r="A8" s="22">
        <v>14</v>
      </c>
      <c r="B8" s="22" t="s">
        <v>47</v>
      </c>
      <c r="C8" s="23">
        <v>14.3</v>
      </c>
      <c r="D8" s="24" t="s">
        <v>62</v>
      </c>
      <c r="E8" s="24" t="s">
        <v>63</v>
      </c>
      <c r="F8" s="24" t="s">
        <v>64</v>
      </c>
      <c r="G8" s="22" t="s">
        <v>70</v>
      </c>
      <c r="H8" s="22" t="s">
        <v>71</v>
      </c>
      <c r="I8" s="25" t="s">
        <v>70</v>
      </c>
      <c r="J8" s="26" t="s">
        <v>71</v>
      </c>
      <c r="K8" s="26" t="s">
        <v>78</v>
      </c>
      <c r="L8" s="26" t="s">
        <v>68</v>
      </c>
      <c r="M8" s="26" t="s">
        <v>65</v>
      </c>
      <c r="N8" s="26"/>
      <c r="O8" s="27">
        <f t="shared" si="0"/>
        <v>0</v>
      </c>
      <c r="P8" s="27"/>
      <c r="Q8" s="27"/>
      <c r="R8" s="26"/>
      <c r="S8" s="26"/>
      <c r="T8" s="27"/>
      <c r="U8" s="27"/>
      <c r="V8" s="27"/>
      <c r="W8" s="26" t="s">
        <v>56</v>
      </c>
      <c r="X8" s="26" t="s">
        <v>79</v>
      </c>
      <c r="Y8" s="26"/>
      <c r="Z8" s="26"/>
      <c r="AA8" s="26" t="s">
        <v>75</v>
      </c>
      <c r="AB8" s="28"/>
      <c r="AC8" s="26" t="s">
        <v>50</v>
      </c>
      <c r="AD8" s="26"/>
    </row>
    <row r="9" spans="1:30" s="29" customFormat="1" ht="20.100000000000001" customHeight="1">
      <c r="A9" s="22">
        <v>14</v>
      </c>
      <c r="B9" s="22" t="s">
        <v>47</v>
      </c>
      <c r="C9" s="23">
        <v>14.8</v>
      </c>
      <c r="D9" s="24" t="s">
        <v>80</v>
      </c>
      <c r="E9" s="24" t="s">
        <v>81</v>
      </c>
      <c r="F9" s="24" t="s">
        <v>82</v>
      </c>
      <c r="G9" s="22" t="s">
        <v>83</v>
      </c>
      <c r="H9" s="22" t="s">
        <v>84</v>
      </c>
      <c r="I9" s="25" t="s">
        <v>83</v>
      </c>
      <c r="J9" s="26" t="s">
        <v>84</v>
      </c>
      <c r="K9" s="26" t="s">
        <v>85</v>
      </c>
      <c r="L9" s="26" t="s">
        <v>86</v>
      </c>
      <c r="M9" s="26" t="s">
        <v>53</v>
      </c>
      <c r="N9" s="26" t="s">
        <v>86</v>
      </c>
      <c r="O9" s="27">
        <f t="shared" si="0"/>
        <v>1</v>
      </c>
      <c r="P9" s="27"/>
      <c r="Q9" s="27"/>
      <c r="R9" s="26" t="s">
        <v>87</v>
      </c>
      <c r="S9" s="26"/>
      <c r="T9" s="27" t="s">
        <v>66</v>
      </c>
      <c r="U9" s="27"/>
      <c r="V9" s="27"/>
      <c r="W9" s="26" t="s">
        <v>56</v>
      </c>
      <c r="X9" s="26" t="s">
        <v>55</v>
      </c>
      <c r="Y9" s="26" t="s">
        <v>87</v>
      </c>
      <c r="Z9" s="26" t="s">
        <v>86</v>
      </c>
      <c r="AA9" s="26" t="s">
        <v>75</v>
      </c>
      <c r="AB9" s="28"/>
      <c r="AC9" s="26" t="s">
        <v>50</v>
      </c>
      <c r="AD9" s="26" t="s">
        <v>59</v>
      </c>
    </row>
    <row r="10" spans="1:30" s="29" customFormat="1" ht="20.100000000000001" customHeight="1">
      <c r="A10" s="22">
        <v>14</v>
      </c>
      <c r="B10" s="22" t="s">
        <v>47</v>
      </c>
      <c r="C10" s="23">
        <v>14.8</v>
      </c>
      <c r="D10" s="24" t="s">
        <v>80</v>
      </c>
      <c r="E10" s="24" t="s">
        <v>81</v>
      </c>
      <c r="F10" s="24" t="s">
        <v>82</v>
      </c>
      <c r="G10" s="22" t="s">
        <v>83</v>
      </c>
      <c r="H10" s="22" t="s">
        <v>84</v>
      </c>
      <c r="I10" s="25" t="s">
        <v>83</v>
      </c>
      <c r="J10" s="26" t="s">
        <v>84</v>
      </c>
      <c r="K10" s="26" t="s">
        <v>85</v>
      </c>
      <c r="L10" s="26" t="s">
        <v>88</v>
      </c>
      <c r="M10" s="26" t="s">
        <v>53</v>
      </c>
      <c r="N10" s="26" t="s">
        <v>88</v>
      </c>
      <c r="O10" s="27">
        <f t="shared" si="0"/>
        <v>1</v>
      </c>
      <c r="P10" s="27"/>
      <c r="Q10" s="27"/>
      <c r="R10" s="26" t="s">
        <v>89</v>
      </c>
      <c r="S10" s="26"/>
      <c r="T10" s="27" t="s">
        <v>51</v>
      </c>
      <c r="U10" s="27"/>
      <c r="V10" s="27"/>
      <c r="W10" s="26" t="s">
        <v>90</v>
      </c>
      <c r="X10" s="26" t="s">
        <v>57</v>
      </c>
      <c r="Y10" s="26" t="s">
        <v>89</v>
      </c>
      <c r="Z10" s="26" t="s">
        <v>88</v>
      </c>
      <c r="AA10" s="26" t="s">
        <v>75</v>
      </c>
      <c r="AB10" s="28" t="s">
        <v>58</v>
      </c>
      <c r="AC10" s="26" t="s">
        <v>50</v>
      </c>
      <c r="AD10" s="26"/>
    </row>
    <row r="11" spans="1:30" s="29" customFormat="1" ht="20.100000000000001" customHeight="1">
      <c r="A11" s="22">
        <v>14</v>
      </c>
      <c r="B11" s="22" t="s">
        <v>47</v>
      </c>
      <c r="C11" s="23">
        <v>14.8</v>
      </c>
      <c r="D11" s="24" t="s">
        <v>80</v>
      </c>
      <c r="E11" s="24" t="s">
        <v>81</v>
      </c>
      <c r="F11" s="24" t="s">
        <v>82</v>
      </c>
      <c r="G11" s="22" t="s">
        <v>83</v>
      </c>
      <c r="H11" s="22" t="s">
        <v>84</v>
      </c>
      <c r="I11" s="25" t="s">
        <v>83</v>
      </c>
      <c r="J11" s="26" t="s">
        <v>84</v>
      </c>
      <c r="K11" s="26" t="s">
        <v>85</v>
      </c>
      <c r="L11" s="26" t="s">
        <v>91</v>
      </c>
      <c r="M11" s="26" t="s">
        <v>53</v>
      </c>
      <c r="N11" s="26" t="s">
        <v>91</v>
      </c>
      <c r="O11" s="27">
        <f t="shared" si="0"/>
        <v>1</v>
      </c>
      <c r="P11" s="27"/>
      <c r="Q11" s="27"/>
      <c r="R11" s="26" t="s">
        <v>92</v>
      </c>
      <c r="S11" s="26"/>
      <c r="T11" s="27" t="s">
        <v>66</v>
      </c>
      <c r="U11" s="27"/>
      <c r="V11" s="27"/>
      <c r="W11" s="26" t="s">
        <v>56</v>
      </c>
      <c r="X11" s="26" t="s">
        <v>57</v>
      </c>
      <c r="Y11" s="26" t="s">
        <v>92</v>
      </c>
      <c r="Z11" s="26" t="s">
        <v>91</v>
      </c>
      <c r="AA11" s="26" t="s">
        <v>75</v>
      </c>
      <c r="AB11" s="28"/>
      <c r="AC11" s="26" t="s">
        <v>50</v>
      </c>
      <c r="AD11" s="26" t="s">
        <v>59</v>
      </c>
    </row>
    <row r="12" spans="1:30" s="29" customFormat="1" ht="20.100000000000001" customHeight="1">
      <c r="A12" s="22">
        <v>14</v>
      </c>
      <c r="B12" s="22" t="s">
        <v>47</v>
      </c>
      <c r="C12" s="23">
        <v>14.8</v>
      </c>
      <c r="D12" s="24" t="s">
        <v>80</v>
      </c>
      <c r="E12" s="24" t="s">
        <v>81</v>
      </c>
      <c r="F12" s="24" t="s">
        <v>82</v>
      </c>
      <c r="G12" s="22" t="s">
        <v>83</v>
      </c>
      <c r="H12" s="22" t="s">
        <v>84</v>
      </c>
      <c r="I12" s="25" t="s">
        <v>83</v>
      </c>
      <c r="J12" s="26" t="s">
        <v>84</v>
      </c>
      <c r="K12" s="26" t="s">
        <v>85</v>
      </c>
      <c r="L12" s="26" t="s">
        <v>93</v>
      </c>
      <c r="M12" s="26" t="s">
        <v>53</v>
      </c>
      <c r="N12" s="26" t="s">
        <v>93</v>
      </c>
      <c r="O12" s="27">
        <f t="shared" si="0"/>
        <v>1</v>
      </c>
      <c r="P12" s="27"/>
      <c r="Q12" s="27"/>
      <c r="R12" s="26" t="s">
        <v>94</v>
      </c>
      <c r="S12" s="26"/>
      <c r="T12" s="27" t="s">
        <v>66</v>
      </c>
      <c r="U12" s="27"/>
      <c r="V12" s="27"/>
      <c r="W12" s="26" t="s">
        <v>56</v>
      </c>
      <c r="X12" s="26" t="s">
        <v>57</v>
      </c>
      <c r="Y12" s="26" t="s">
        <v>94</v>
      </c>
      <c r="Z12" s="26" t="s">
        <v>93</v>
      </c>
      <c r="AA12" s="26" t="s">
        <v>75</v>
      </c>
      <c r="AB12" s="28"/>
      <c r="AC12" s="26" t="s">
        <v>50</v>
      </c>
      <c r="AD12" s="26" t="s">
        <v>59</v>
      </c>
    </row>
    <row r="13" spans="1:30" s="29" customFormat="1" ht="20.100000000000001" customHeight="1">
      <c r="A13" s="22">
        <v>14</v>
      </c>
      <c r="B13" s="22" t="s">
        <v>47</v>
      </c>
      <c r="C13" s="23">
        <v>14.8</v>
      </c>
      <c r="D13" s="24" t="s">
        <v>80</v>
      </c>
      <c r="E13" s="24" t="s">
        <v>81</v>
      </c>
      <c r="F13" s="24" t="s">
        <v>82</v>
      </c>
      <c r="G13" s="22" t="s">
        <v>83</v>
      </c>
      <c r="H13" s="22" t="s">
        <v>84</v>
      </c>
      <c r="I13" s="25" t="s">
        <v>83</v>
      </c>
      <c r="J13" s="26" t="s">
        <v>84</v>
      </c>
      <c r="K13" s="26" t="s">
        <v>85</v>
      </c>
      <c r="L13" s="26" t="s">
        <v>95</v>
      </c>
      <c r="M13" s="26" t="s">
        <v>53</v>
      </c>
      <c r="N13" s="26" t="s">
        <v>95</v>
      </c>
      <c r="O13" s="27">
        <f t="shared" si="0"/>
        <v>1</v>
      </c>
      <c r="P13" s="27"/>
      <c r="Q13" s="27"/>
      <c r="R13" s="26" t="s">
        <v>96</v>
      </c>
      <c r="S13" s="26"/>
      <c r="T13" s="27" t="s">
        <v>66</v>
      </c>
      <c r="U13" s="27"/>
      <c r="V13" s="27"/>
      <c r="W13" s="26" t="s">
        <v>56</v>
      </c>
      <c r="X13" s="26" t="s">
        <v>57</v>
      </c>
      <c r="Y13" s="26" t="s">
        <v>96</v>
      </c>
      <c r="Z13" s="26" t="s">
        <v>95</v>
      </c>
      <c r="AA13" s="26" t="s">
        <v>75</v>
      </c>
      <c r="AB13" s="28"/>
      <c r="AC13" s="26" t="s">
        <v>50</v>
      </c>
      <c r="AD13" s="26" t="s">
        <v>59</v>
      </c>
    </row>
    <row r="14" spans="1:30" s="29" customFormat="1" ht="20.100000000000001" customHeight="1">
      <c r="A14" s="22">
        <v>14</v>
      </c>
      <c r="B14" s="22" t="s">
        <v>47</v>
      </c>
      <c r="C14" s="23">
        <v>14.8</v>
      </c>
      <c r="D14" s="24" t="s">
        <v>80</v>
      </c>
      <c r="E14" s="24" t="s">
        <v>81</v>
      </c>
      <c r="F14" s="24" t="s">
        <v>82</v>
      </c>
      <c r="G14" s="22" t="s">
        <v>83</v>
      </c>
      <c r="H14" s="22" t="s">
        <v>84</v>
      </c>
      <c r="I14" s="25" t="s">
        <v>83</v>
      </c>
      <c r="J14" s="26" t="s">
        <v>84</v>
      </c>
      <c r="K14" s="26" t="s">
        <v>85</v>
      </c>
      <c r="L14" s="26" t="s">
        <v>97</v>
      </c>
      <c r="M14" s="26" t="s">
        <v>53</v>
      </c>
      <c r="N14" s="26" t="s">
        <v>97</v>
      </c>
      <c r="O14" s="27">
        <f t="shared" si="0"/>
        <v>1</v>
      </c>
      <c r="P14" s="27"/>
      <c r="Q14" s="27"/>
      <c r="R14" s="26" t="s">
        <v>98</v>
      </c>
      <c r="S14" s="26"/>
      <c r="T14" s="27" t="s">
        <v>66</v>
      </c>
      <c r="U14" s="27"/>
      <c r="V14" s="27"/>
      <c r="W14" s="26" t="s">
        <v>56</v>
      </c>
      <c r="X14" s="26" t="s">
        <v>57</v>
      </c>
      <c r="Y14" s="26" t="s">
        <v>98</v>
      </c>
      <c r="Z14" s="26" t="s">
        <v>97</v>
      </c>
      <c r="AA14" s="26" t="s">
        <v>75</v>
      </c>
      <c r="AB14" s="28"/>
      <c r="AC14" s="26" t="s">
        <v>50</v>
      </c>
      <c r="AD14" s="26" t="s">
        <v>59</v>
      </c>
    </row>
    <row r="15" spans="1:30" s="29" customFormat="1" ht="20.100000000000001" customHeight="1">
      <c r="A15" s="22">
        <v>14</v>
      </c>
      <c r="B15" s="22" t="s">
        <v>47</v>
      </c>
      <c r="C15" s="23">
        <v>14.8</v>
      </c>
      <c r="D15" s="24" t="s">
        <v>80</v>
      </c>
      <c r="E15" s="24" t="s">
        <v>81</v>
      </c>
      <c r="F15" s="24" t="s">
        <v>82</v>
      </c>
      <c r="G15" s="22" t="s">
        <v>83</v>
      </c>
      <c r="H15" s="22" t="s">
        <v>84</v>
      </c>
      <c r="I15" s="25" t="s">
        <v>83</v>
      </c>
      <c r="J15" s="26" t="s">
        <v>84</v>
      </c>
      <c r="K15" s="26" t="s">
        <v>85</v>
      </c>
      <c r="L15" s="26" t="s">
        <v>99</v>
      </c>
      <c r="M15" s="26" t="s">
        <v>53</v>
      </c>
      <c r="N15" s="26" t="s">
        <v>99</v>
      </c>
      <c r="O15" s="27">
        <f t="shared" si="0"/>
        <v>1</v>
      </c>
      <c r="P15" s="27"/>
      <c r="Q15" s="27"/>
      <c r="R15" s="26" t="s">
        <v>100</v>
      </c>
      <c r="S15" s="26"/>
      <c r="T15" s="27" t="s">
        <v>66</v>
      </c>
      <c r="U15" s="27"/>
      <c r="V15" s="27"/>
      <c r="W15" s="26" t="s">
        <v>56</v>
      </c>
      <c r="X15" s="26" t="s">
        <v>57</v>
      </c>
      <c r="Y15" s="26" t="s">
        <v>100</v>
      </c>
      <c r="Z15" s="26" t="s">
        <v>99</v>
      </c>
      <c r="AA15" s="26" t="s">
        <v>75</v>
      </c>
      <c r="AB15" s="28"/>
      <c r="AC15" s="26" t="s">
        <v>50</v>
      </c>
      <c r="AD15" s="26" t="s">
        <v>59</v>
      </c>
    </row>
    <row r="16" spans="1:30" s="29" customFormat="1" ht="20.100000000000001" customHeight="1">
      <c r="A16" s="22">
        <v>14</v>
      </c>
      <c r="B16" s="22" t="s">
        <v>47</v>
      </c>
      <c r="C16" s="23">
        <v>14.8</v>
      </c>
      <c r="D16" s="24" t="s">
        <v>80</v>
      </c>
      <c r="E16" s="24" t="s">
        <v>101</v>
      </c>
      <c r="F16" s="24" t="s">
        <v>102</v>
      </c>
      <c r="G16" s="22"/>
      <c r="H16" s="22"/>
      <c r="I16" s="25" t="s">
        <v>101</v>
      </c>
      <c r="J16" s="26" t="s">
        <v>102</v>
      </c>
      <c r="K16" s="26" t="s">
        <v>103</v>
      </c>
      <c r="L16" s="26" t="s">
        <v>104</v>
      </c>
      <c r="M16" s="26" t="s">
        <v>53</v>
      </c>
      <c r="N16" s="26" t="s">
        <v>104</v>
      </c>
      <c r="O16" s="27">
        <f t="shared" si="0"/>
        <v>1</v>
      </c>
      <c r="P16" s="27"/>
      <c r="Q16" s="27"/>
      <c r="R16" s="26" t="s">
        <v>199</v>
      </c>
      <c r="S16" s="26" t="s">
        <v>105</v>
      </c>
      <c r="T16" s="27" t="s">
        <v>54</v>
      </c>
      <c r="U16" s="27"/>
      <c r="V16" s="27"/>
      <c r="W16" s="26" t="s">
        <v>56</v>
      </c>
      <c r="X16" s="26" t="s">
        <v>57</v>
      </c>
      <c r="Y16" s="26" t="s">
        <v>105</v>
      </c>
      <c r="Z16" s="26" t="s">
        <v>104</v>
      </c>
      <c r="AA16" s="26" t="s">
        <v>75</v>
      </c>
      <c r="AB16" s="28"/>
      <c r="AC16" s="26" t="s">
        <v>50</v>
      </c>
      <c r="AD16" s="26" t="s">
        <v>59</v>
      </c>
    </row>
    <row r="17" spans="1:30" s="29" customFormat="1" ht="20.100000000000001" customHeight="1">
      <c r="A17" s="22">
        <v>14</v>
      </c>
      <c r="B17" s="22" t="s">
        <v>47</v>
      </c>
      <c r="C17" s="23">
        <v>14.8</v>
      </c>
      <c r="D17" s="24" t="s">
        <v>80</v>
      </c>
      <c r="E17" s="24" t="s">
        <v>101</v>
      </c>
      <c r="F17" s="24" t="s">
        <v>102</v>
      </c>
      <c r="G17" s="22"/>
      <c r="H17" s="22"/>
      <c r="I17" s="25" t="s">
        <v>101</v>
      </c>
      <c r="J17" s="26" t="s">
        <v>102</v>
      </c>
      <c r="K17" s="26" t="s">
        <v>103</v>
      </c>
      <c r="L17" s="26" t="s">
        <v>106</v>
      </c>
      <c r="M17" s="26" t="s">
        <v>53</v>
      </c>
      <c r="N17" s="26" t="s">
        <v>106</v>
      </c>
      <c r="O17" s="27">
        <f t="shared" si="0"/>
        <v>1</v>
      </c>
      <c r="P17" s="27"/>
      <c r="Q17" s="27"/>
      <c r="R17" s="26" t="s">
        <v>199</v>
      </c>
      <c r="S17" s="26" t="s">
        <v>107</v>
      </c>
      <c r="T17" s="27" t="s">
        <v>54</v>
      </c>
      <c r="U17" s="27"/>
      <c r="V17" s="27"/>
      <c r="W17" s="26" t="s">
        <v>56</v>
      </c>
      <c r="X17" s="26" t="s">
        <v>60</v>
      </c>
      <c r="Y17" s="26" t="s">
        <v>107</v>
      </c>
      <c r="Z17" s="26" t="s">
        <v>106</v>
      </c>
      <c r="AA17" s="26" t="s">
        <v>75</v>
      </c>
      <c r="AB17" s="28"/>
      <c r="AC17" s="26" t="s">
        <v>50</v>
      </c>
      <c r="AD17" s="26" t="s">
        <v>59</v>
      </c>
    </row>
    <row r="18" spans="1:30" s="29" customFormat="1" ht="20.100000000000001" customHeight="1">
      <c r="A18" s="22">
        <v>14</v>
      </c>
      <c r="B18" s="22" t="s">
        <v>47</v>
      </c>
      <c r="C18" s="23">
        <v>14.8</v>
      </c>
      <c r="D18" s="24" t="s">
        <v>80</v>
      </c>
      <c r="E18" s="24" t="s">
        <v>101</v>
      </c>
      <c r="F18" s="24" t="s">
        <v>102</v>
      </c>
      <c r="G18" s="22"/>
      <c r="H18" s="22"/>
      <c r="I18" s="25" t="s">
        <v>101</v>
      </c>
      <c r="J18" s="26" t="s">
        <v>102</v>
      </c>
      <c r="K18" s="26" t="s">
        <v>103</v>
      </c>
      <c r="L18" s="26" t="s">
        <v>108</v>
      </c>
      <c r="M18" s="26" t="s">
        <v>53</v>
      </c>
      <c r="N18" s="26" t="s">
        <v>108</v>
      </c>
      <c r="O18" s="27">
        <f t="shared" si="0"/>
        <v>1</v>
      </c>
      <c r="P18" s="27"/>
      <c r="Q18" s="27"/>
      <c r="R18" s="26" t="s">
        <v>199</v>
      </c>
      <c r="S18" s="26" t="s">
        <v>109</v>
      </c>
      <c r="T18" s="27" t="s">
        <v>54</v>
      </c>
      <c r="U18" s="27"/>
      <c r="V18" s="27"/>
      <c r="W18" s="26" t="s">
        <v>56</v>
      </c>
      <c r="X18" s="26" t="s">
        <v>60</v>
      </c>
      <c r="Y18" s="26" t="s">
        <v>109</v>
      </c>
      <c r="Z18" s="26" t="s">
        <v>108</v>
      </c>
      <c r="AA18" s="26" t="s">
        <v>75</v>
      </c>
      <c r="AB18" s="28"/>
      <c r="AC18" s="26" t="s">
        <v>50</v>
      </c>
      <c r="AD18" s="26" t="s">
        <v>59</v>
      </c>
    </row>
    <row r="19" spans="1:30" s="29" customFormat="1" ht="20.100000000000001" customHeight="1">
      <c r="A19" s="22">
        <v>14</v>
      </c>
      <c r="B19" s="22" t="s">
        <v>47</v>
      </c>
      <c r="C19" s="23">
        <v>14.8</v>
      </c>
      <c r="D19" s="24" t="s">
        <v>80</v>
      </c>
      <c r="E19" s="24" t="s">
        <v>101</v>
      </c>
      <c r="F19" s="24" t="s">
        <v>102</v>
      </c>
      <c r="G19" s="22"/>
      <c r="H19" s="22"/>
      <c r="I19" s="25" t="s">
        <v>101</v>
      </c>
      <c r="J19" s="26" t="s">
        <v>102</v>
      </c>
      <c r="K19" s="26" t="s">
        <v>103</v>
      </c>
      <c r="L19" s="26" t="s">
        <v>110</v>
      </c>
      <c r="M19" s="26" t="s">
        <v>65</v>
      </c>
      <c r="N19" s="26"/>
      <c r="O19" s="27">
        <f t="shared" si="0"/>
        <v>0</v>
      </c>
      <c r="P19" s="27"/>
      <c r="Q19" s="27"/>
      <c r="R19" s="26"/>
      <c r="S19" s="26"/>
      <c r="T19" s="27"/>
      <c r="U19" s="27"/>
      <c r="V19" s="27"/>
      <c r="W19" s="26" t="s">
        <v>52</v>
      </c>
      <c r="X19" s="26" t="s">
        <v>61</v>
      </c>
      <c r="Y19" s="26"/>
      <c r="Z19" s="26"/>
      <c r="AA19" s="26" t="s">
        <v>75</v>
      </c>
      <c r="AB19" s="28"/>
      <c r="AC19" s="26" t="s">
        <v>50</v>
      </c>
      <c r="AD19" s="26"/>
    </row>
    <row r="20" spans="1:30" s="29" customFormat="1" ht="20.100000000000001" customHeight="1">
      <c r="A20" s="22">
        <v>14</v>
      </c>
      <c r="B20" s="22" t="s">
        <v>47</v>
      </c>
      <c r="C20" s="23">
        <v>14.8</v>
      </c>
      <c r="D20" s="24" t="s">
        <v>80</v>
      </c>
      <c r="E20" s="24" t="s">
        <v>101</v>
      </c>
      <c r="F20" s="24" t="s">
        <v>102</v>
      </c>
      <c r="G20" s="22"/>
      <c r="H20" s="22"/>
      <c r="I20" s="25" t="s">
        <v>101</v>
      </c>
      <c r="J20" s="26" t="s">
        <v>102</v>
      </c>
      <c r="K20" s="26" t="s">
        <v>103</v>
      </c>
      <c r="L20" s="26" t="s">
        <v>111</v>
      </c>
      <c r="M20" s="26" t="s">
        <v>65</v>
      </c>
      <c r="N20" s="26"/>
      <c r="O20" s="27">
        <f t="shared" si="0"/>
        <v>0</v>
      </c>
      <c r="P20" s="27"/>
      <c r="Q20" s="27"/>
      <c r="R20" s="26"/>
      <c r="S20" s="26"/>
      <c r="T20" s="27"/>
      <c r="U20" s="27"/>
      <c r="V20" s="27"/>
      <c r="W20" s="26" t="s">
        <v>52</v>
      </c>
      <c r="X20" s="26" t="s">
        <v>61</v>
      </c>
      <c r="Y20" s="26"/>
      <c r="Z20" s="26"/>
      <c r="AA20" s="26" t="s">
        <v>75</v>
      </c>
      <c r="AB20" s="28"/>
      <c r="AC20" s="26" t="s">
        <v>50</v>
      </c>
      <c r="AD20" s="26"/>
    </row>
    <row r="21" spans="1:30" s="29" customFormat="1" ht="20.100000000000001" customHeight="1">
      <c r="A21" s="22">
        <v>14</v>
      </c>
      <c r="B21" s="22" t="s">
        <v>47</v>
      </c>
      <c r="C21" s="23">
        <v>14.8</v>
      </c>
      <c r="D21" s="24" t="s">
        <v>80</v>
      </c>
      <c r="E21" s="24" t="s">
        <v>112</v>
      </c>
      <c r="F21" s="24" t="s">
        <v>113</v>
      </c>
      <c r="G21" s="22"/>
      <c r="H21" s="22"/>
      <c r="I21" s="25" t="s">
        <v>112</v>
      </c>
      <c r="J21" s="26" t="s">
        <v>113</v>
      </c>
      <c r="K21" s="26" t="s">
        <v>114</v>
      </c>
      <c r="L21" s="26" t="s">
        <v>115</v>
      </c>
      <c r="M21" s="26" t="s">
        <v>53</v>
      </c>
      <c r="N21" s="26" t="s">
        <v>115</v>
      </c>
      <c r="O21" s="27">
        <f t="shared" si="0"/>
        <v>1</v>
      </c>
      <c r="P21" s="27"/>
      <c r="Q21" s="27"/>
      <c r="R21" s="26" t="s">
        <v>116</v>
      </c>
      <c r="S21" s="26"/>
      <c r="T21" s="27" t="s">
        <v>54</v>
      </c>
      <c r="U21" s="27"/>
      <c r="V21" s="27"/>
      <c r="W21" s="26" t="s">
        <v>56</v>
      </c>
      <c r="X21" s="26" t="s">
        <v>60</v>
      </c>
      <c r="Y21" s="26" t="s">
        <v>116</v>
      </c>
      <c r="Z21" s="26" t="s">
        <v>115</v>
      </c>
      <c r="AA21" s="26" t="s">
        <v>75</v>
      </c>
      <c r="AB21" s="28"/>
      <c r="AC21" s="26" t="s">
        <v>50</v>
      </c>
      <c r="AD21" s="26" t="s">
        <v>59</v>
      </c>
    </row>
    <row r="22" spans="1:30" s="29" customFormat="1" ht="20.100000000000001" customHeight="1">
      <c r="A22" s="22">
        <v>14</v>
      </c>
      <c r="B22" s="22" t="s">
        <v>47</v>
      </c>
      <c r="C22" s="23">
        <v>14.8</v>
      </c>
      <c r="D22" s="24" t="s">
        <v>80</v>
      </c>
      <c r="E22" s="24" t="s">
        <v>81</v>
      </c>
      <c r="F22" s="24" t="s">
        <v>82</v>
      </c>
      <c r="G22" s="22"/>
      <c r="H22" s="22"/>
      <c r="I22" s="25" t="s">
        <v>81</v>
      </c>
      <c r="J22" s="26" t="s">
        <v>82</v>
      </c>
      <c r="K22" s="26" t="s">
        <v>117</v>
      </c>
      <c r="L22" s="26" t="s">
        <v>118</v>
      </c>
      <c r="M22" s="26" t="s">
        <v>53</v>
      </c>
      <c r="N22" s="26" t="s">
        <v>118</v>
      </c>
      <c r="O22" s="27">
        <f t="shared" si="0"/>
        <v>1</v>
      </c>
      <c r="P22" s="27"/>
      <c r="Q22" s="27"/>
      <c r="R22" s="26" t="s">
        <v>119</v>
      </c>
      <c r="S22" s="26"/>
      <c r="T22" s="27" t="s">
        <v>49</v>
      </c>
      <c r="U22" s="27"/>
      <c r="V22" s="27"/>
      <c r="W22" s="26" t="s">
        <v>49</v>
      </c>
      <c r="X22" s="26" t="s">
        <v>60</v>
      </c>
      <c r="Y22" s="26" t="s">
        <v>119</v>
      </c>
      <c r="Z22" s="26" t="s">
        <v>118</v>
      </c>
      <c r="AA22" s="26" t="s">
        <v>75</v>
      </c>
      <c r="AB22" s="28" t="s">
        <v>58</v>
      </c>
      <c r="AC22" s="26" t="s">
        <v>50</v>
      </c>
      <c r="AD22" s="26"/>
    </row>
    <row r="23" spans="1:30" s="29" customFormat="1" ht="20.100000000000001" customHeight="1">
      <c r="A23" s="22">
        <v>14</v>
      </c>
      <c r="B23" s="22" t="s">
        <v>47</v>
      </c>
      <c r="C23" s="23">
        <v>14.8</v>
      </c>
      <c r="D23" s="24" t="s">
        <v>80</v>
      </c>
      <c r="E23" s="24" t="s">
        <v>81</v>
      </c>
      <c r="F23" s="24" t="s">
        <v>82</v>
      </c>
      <c r="G23" s="22"/>
      <c r="H23" s="22"/>
      <c r="I23" s="25" t="s">
        <v>81</v>
      </c>
      <c r="J23" s="26" t="s">
        <v>82</v>
      </c>
      <c r="K23" s="26" t="s">
        <v>117</v>
      </c>
      <c r="L23" s="26" t="s">
        <v>120</v>
      </c>
      <c r="M23" s="26" t="s">
        <v>53</v>
      </c>
      <c r="N23" s="26" t="s">
        <v>201</v>
      </c>
      <c r="O23" s="27">
        <f t="shared" si="0"/>
        <v>0</v>
      </c>
      <c r="P23" s="27"/>
      <c r="Q23" s="27"/>
      <c r="R23" s="26" t="s">
        <v>121</v>
      </c>
      <c r="S23" s="26"/>
      <c r="T23" s="27" t="s">
        <v>51</v>
      </c>
      <c r="U23" s="27"/>
      <c r="V23" s="27"/>
      <c r="W23" s="26" t="s">
        <v>200</v>
      </c>
      <c r="X23" s="26" t="s">
        <v>61</v>
      </c>
      <c r="Y23" s="26" t="s">
        <v>121</v>
      </c>
      <c r="Z23" s="26" t="s">
        <v>120</v>
      </c>
      <c r="AA23" s="26" t="s">
        <v>75</v>
      </c>
      <c r="AB23" s="28"/>
      <c r="AC23" s="26" t="s">
        <v>50</v>
      </c>
      <c r="AD23" s="26" t="s">
        <v>59</v>
      </c>
    </row>
    <row r="24" spans="1:30" s="29" customFormat="1" ht="20.100000000000001" customHeight="1">
      <c r="A24" s="22">
        <v>14</v>
      </c>
      <c r="B24" s="22" t="s">
        <v>47</v>
      </c>
      <c r="C24" s="23">
        <v>14.8</v>
      </c>
      <c r="D24" s="24" t="s">
        <v>80</v>
      </c>
      <c r="E24" s="24" t="s">
        <v>81</v>
      </c>
      <c r="F24" s="24" t="s">
        <v>82</v>
      </c>
      <c r="G24" s="22"/>
      <c r="H24" s="22"/>
      <c r="I24" s="25" t="s">
        <v>81</v>
      </c>
      <c r="J24" s="26" t="s">
        <v>82</v>
      </c>
      <c r="K24" s="26" t="s">
        <v>117</v>
      </c>
      <c r="L24" s="26" t="s">
        <v>122</v>
      </c>
      <c r="M24" s="26" t="s">
        <v>53</v>
      </c>
      <c r="N24" s="26" t="s">
        <v>122</v>
      </c>
      <c r="O24" s="27">
        <f t="shared" si="0"/>
        <v>1</v>
      </c>
      <c r="P24" s="27"/>
      <c r="Q24" s="27"/>
      <c r="R24" s="26" t="s">
        <v>199</v>
      </c>
      <c r="S24" s="26" t="s">
        <v>123</v>
      </c>
      <c r="T24" s="27" t="s">
        <v>54</v>
      </c>
      <c r="U24" s="27"/>
      <c r="V24" s="27"/>
      <c r="W24" s="26" t="s">
        <v>56</v>
      </c>
      <c r="X24" s="26" t="s">
        <v>60</v>
      </c>
      <c r="Y24" s="26" t="s">
        <v>123</v>
      </c>
      <c r="Z24" s="26" t="s">
        <v>122</v>
      </c>
      <c r="AA24" s="26" t="s">
        <v>75</v>
      </c>
      <c r="AB24" s="28"/>
      <c r="AC24" s="26" t="s">
        <v>50</v>
      </c>
      <c r="AD24" s="26" t="s">
        <v>59</v>
      </c>
    </row>
    <row r="25" spans="1:30" s="29" customFormat="1" ht="20.100000000000001" customHeight="1">
      <c r="A25" s="22">
        <v>14</v>
      </c>
      <c r="B25" s="22" t="s">
        <v>47</v>
      </c>
      <c r="C25" s="23">
        <v>14.8</v>
      </c>
      <c r="D25" s="24" t="s">
        <v>80</v>
      </c>
      <c r="E25" s="24" t="s">
        <v>124</v>
      </c>
      <c r="F25" s="24" t="s">
        <v>125</v>
      </c>
      <c r="G25" s="22"/>
      <c r="H25" s="22"/>
      <c r="I25" s="25" t="s">
        <v>124</v>
      </c>
      <c r="J25" s="26" t="s">
        <v>125</v>
      </c>
      <c r="K25" s="26" t="s">
        <v>126</v>
      </c>
      <c r="L25" s="26" t="s">
        <v>118</v>
      </c>
      <c r="M25" s="26" t="s">
        <v>65</v>
      </c>
      <c r="N25" s="26"/>
      <c r="O25" s="27">
        <f t="shared" si="0"/>
        <v>0</v>
      </c>
      <c r="P25" s="27"/>
      <c r="Q25" s="27"/>
      <c r="R25" s="26" t="s">
        <v>119</v>
      </c>
      <c r="S25" s="26"/>
      <c r="T25" s="27" t="s">
        <v>49</v>
      </c>
      <c r="U25" s="27"/>
      <c r="V25" s="27"/>
      <c r="W25" s="26" t="s">
        <v>49</v>
      </c>
      <c r="X25" s="26" t="s">
        <v>79</v>
      </c>
      <c r="Y25" s="26" t="s">
        <v>119</v>
      </c>
      <c r="Z25" s="26" t="s">
        <v>118</v>
      </c>
      <c r="AA25" s="26" t="s">
        <v>75</v>
      </c>
      <c r="AB25" s="28"/>
      <c r="AC25" s="26" t="s">
        <v>50</v>
      </c>
      <c r="AD25" s="26"/>
    </row>
    <row r="26" spans="1:30" s="29" customFormat="1" ht="20.100000000000001" customHeight="1">
      <c r="A26" s="22">
        <v>14</v>
      </c>
      <c r="B26" s="22" t="s">
        <v>47</v>
      </c>
      <c r="C26" s="23">
        <v>14.8</v>
      </c>
      <c r="D26" s="24" t="s">
        <v>80</v>
      </c>
      <c r="E26" s="24" t="s">
        <v>124</v>
      </c>
      <c r="F26" s="24" t="s">
        <v>125</v>
      </c>
      <c r="G26" s="22"/>
      <c r="H26" s="22"/>
      <c r="I26" s="25" t="s">
        <v>124</v>
      </c>
      <c r="J26" s="26" t="s">
        <v>125</v>
      </c>
      <c r="K26" s="26" t="s">
        <v>126</v>
      </c>
      <c r="L26" s="26" t="s">
        <v>127</v>
      </c>
      <c r="M26" s="26" t="s">
        <v>53</v>
      </c>
      <c r="N26" s="26" t="s">
        <v>127</v>
      </c>
      <c r="O26" s="27">
        <f t="shared" si="0"/>
        <v>1</v>
      </c>
      <c r="P26" s="27"/>
      <c r="Q26" s="27"/>
      <c r="R26" s="26" t="s">
        <v>128</v>
      </c>
      <c r="S26" s="26"/>
      <c r="T26" s="27" t="s">
        <v>54</v>
      </c>
      <c r="U26" s="27"/>
      <c r="V26" s="27"/>
      <c r="W26" s="26" t="s">
        <v>56</v>
      </c>
      <c r="X26" s="26" t="s">
        <v>60</v>
      </c>
      <c r="Y26" s="26" t="s">
        <v>128</v>
      </c>
      <c r="Z26" s="26" t="s">
        <v>127</v>
      </c>
      <c r="AA26" s="26" t="s">
        <v>75</v>
      </c>
      <c r="AB26" s="28"/>
      <c r="AC26" s="26" t="s">
        <v>50</v>
      </c>
      <c r="AD26" s="26" t="s">
        <v>59</v>
      </c>
    </row>
    <row r="27" spans="1:30" s="29" customFormat="1" ht="20.100000000000001" customHeight="1">
      <c r="A27" s="22">
        <v>14</v>
      </c>
      <c r="B27" s="22" t="s">
        <v>47</v>
      </c>
      <c r="C27" s="23">
        <v>14.8</v>
      </c>
      <c r="D27" s="24" t="s">
        <v>80</v>
      </c>
      <c r="E27" s="24" t="s">
        <v>129</v>
      </c>
      <c r="F27" s="24" t="s">
        <v>130</v>
      </c>
      <c r="G27" s="22"/>
      <c r="H27" s="22"/>
      <c r="I27" s="25" t="s">
        <v>129</v>
      </c>
      <c r="J27" s="26" t="s">
        <v>130</v>
      </c>
      <c r="K27" s="26" t="s">
        <v>131</v>
      </c>
      <c r="L27" s="26" t="s">
        <v>132</v>
      </c>
      <c r="M27" s="26" t="s">
        <v>53</v>
      </c>
      <c r="N27" s="26" t="s">
        <v>132</v>
      </c>
      <c r="O27" s="27">
        <f t="shared" si="0"/>
        <v>1</v>
      </c>
      <c r="P27" s="27"/>
      <c r="Q27" s="27"/>
      <c r="R27" s="26" t="s">
        <v>133</v>
      </c>
      <c r="S27" s="26"/>
      <c r="T27" s="27" t="s">
        <v>52</v>
      </c>
      <c r="U27" s="27"/>
      <c r="V27" s="27"/>
      <c r="W27" s="26"/>
      <c r="X27" s="26"/>
      <c r="Y27" s="26" t="s">
        <v>133</v>
      </c>
      <c r="Z27" s="26" t="s">
        <v>132</v>
      </c>
      <c r="AA27" s="26" t="s">
        <v>75</v>
      </c>
      <c r="AB27" s="28"/>
      <c r="AC27" s="26" t="s">
        <v>50</v>
      </c>
      <c r="AD27" s="26"/>
    </row>
    <row r="28" spans="1:30" s="29" customFormat="1" ht="20.100000000000001" customHeight="1">
      <c r="A28" s="22">
        <v>14</v>
      </c>
      <c r="B28" s="22" t="s">
        <v>47</v>
      </c>
      <c r="C28" s="23">
        <v>14.8</v>
      </c>
      <c r="D28" s="24" t="s">
        <v>80</v>
      </c>
      <c r="E28" s="24" t="s">
        <v>129</v>
      </c>
      <c r="F28" s="24" t="s">
        <v>130</v>
      </c>
      <c r="G28" s="22"/>
      <c r="H28" s="22"/>
      <c r="I28" s="25" t="s">
        <v>129</v>
      </c>
      <c r="J28" s="26" t="s">
        <v>130</v>
      </c>
      <c r="K28" s="26" t="s">
        <v>131</v>
      </c>
      <c r="L28" s="26" t="s">
        <v>134</v>
      </c>
      <c r="M28" s="26" t="s">
        <v>53</v>
      </c>
      <c r="N28" s="26" t="s">
        <v>135</v>
      </c>
      <c r="O28" s="27">
        <f t="shared" si="0"/>
        <v>1</v>
      </c>
      <c r="P28" s="27"/>
      <c r="Q28" s="27"/>
      <c r="R28" s="26" t="s">
        <v>136</v>
      </c>
      <c r="S28" s="26"/>
      <c r="T28" s="27" t="s">
        <v>52</v>
      </c>
      <c r="U28" s="27"/>
      <c r="V28" s="27"/>
      <c r="W28" s="26"/>
      <c r="X28" s="26"/>
      <c r="Y28" s="26" t="s">
        <v>136</v>
      </c>
      <c r="Z28" s="26" t="s">
        <v>134</v>
      </c>
      <c r="AA28" s="26" t="s">
        <v>75</v>
      </c>
      <c r="AB28" s="28"/>
      <c r="AC28" s="26" t="s">
        <v>50</v>
      </c>
      <c r="AD28" s="26"/>
    </row>
    <row r="29" spans="1:30" s="29" customFormat="1" ht="20.100000000000001" customHeight="1">
      <c r="A29" s="22">
        <v>14</v>
      </c>
      <c r="B29" s="22" t="s">
        <v>47</v>
      </c>
      <c r="C29" s="23">
        <v>14.8</v>
      </c>
      <c r="D29" s="24" t="s">
        <v>80</v>
      </c>
      <c r="E29" s="24" t="s">
        <v>129</v>
      </c>
      <c r="F29" s="24" t="s">
        <v>130</v>
      </c>
      <c r="G29" s="22"/>
      <c r="H29" s="22"/>
      <c r="I29" s="25" t="s">
        <v>129</v>
      </c>
      <c r="J29" s="26" t="s">
        <v>130</v>
      </c>
      <c r="K29" s="26" t="s">
        <v>131</v>
      </c>
      <c r="L29" s="26" t="s">
        <v>137</v>
      </c>
      <c r="M29" s="26" t="s">
        <v>53</v>
      </c>
      <c r="N29" s="26" t="s">
        <v>137</v>
      </c>
      <c r="O29" s="27">
        <f t="shared" si="0"/>
        <v>1</v>
      </c>
      <c r="P29" s="27"/>
      <c r="Q29" s="27"/>
      <c r="R29" s="26" t="s">
        <v>138</v>
      </c>
      <c r="S29" s="26"/>
      <c r="T29" s="27" t="s">
        <v>52</v>
      </c>
      <c r="U29" s="27"/>
      <c r="V29" s="27"/>
      <c r="W29" s="26"/>
      <c r="X29" s="26"/>
      <c r="Y29" s="26" t="s">
        <v>138</v>
      </c>
      <c r="Z29" s="26" t="s">
        <v>137</v>
      </c>
      <c r="AA29" s="26" t="s">
        <v>75</v>
      </c>
      <c r="AB29" s="28"/>
      <c r="AC29" s="26" t="s">
        <v>50</v>
      </c>
      <c r="AD29" s="26"/>
    </row>
    <row r="30" spans="1:30" s="29" customFormat="1" ht="20.100000000000001" customHeight="1">
      <c r="A30" s="22">
        <v>14</v>
      </c>
      <c r="B30" s="22" t="s">
        <v>47</v>
      </c>
      <c r="C30" s="23">
        <v>14.8</v>
      </c>
      <c r="D30" s="24" t="s">
        <v>80</v>
      </c>
      <c r="E30" s="24" t="s">
        <v>129</v>
      </c>
      <c r="F30" s="24" t="s">
        <v>130</v>
      </c>
      <c r="G30" s="22"/>
      <c r="H30" s="22"/>
      <c r="I30" s="25" t="s">
        <v>129</v>
      </c>
      <c r="J30" s="26" t="s">
        <v>130</v>
      </c>
      <c r="K30" s="26" t="s">
        <v>131</v>
      </c>
      <c r="L30" s="26" t="s">
        <v>139</v>
      </c>
      <c r="M30" s="26" t="s">
        <v>53</v>
      </c>
      <c r="N30" s="26" t="s">
        <v>139</v>
      </c>
      <c r="O30" s="27">
        <f t="shared" si="0"/>
        <v>1</v>
      </c>
      <c r="P30" s="27"/>
      <c r="Q30" s="27"/>
      <c r="R30" s="26" t="s">
        <v>140</v>
      </c>
      <c r="S30" s="26"/>
      <c r="T30" s="27" t="s">
        <v>52</v>
      </c>
      <c r="U30" s="27"/>
      <c r="V30" s="27"/>
      <c r="W30" s="26"/>
      <c r="X30" s="26"/>
      <c r="Y30" s="26" t="s">
        <v>140</v>
      </c>
      <c r="Z30" s="26" t="s">
        <v>139</v>
      </c>
      <c r="AA30" s="26" t="s">
        <v>75</v>
      </c>
      <c r="AB30" s="28"/>
      <c r="AC30" s="26" t="s">
        <v>50</v>
      </c>
      <c r="AD30" s="26"/>
    </row>
    <row r="31" spans="1:30" s="29" customFormat="1" ht="20.100000000000001" customHeight="1">
      <c r="A31" s="22">
        <v>14</v>
      </c>
      <c r="B31" s="22" t="s">
        <v>47</v>
      </c>
      <c r="C31" s="23">
        <v>14.8</v>
      </c>
      <c r="D31" s="24" t="s">
        <v>80</v>
      </c>
      <c r="E31" s="24" t="s">
        <v>129</v>
      </c>
      <c r="F31" s="24" t="s">
        <v>130</v>
      </c>
      <c r="G31" s="22"/>
      <c r="H31" s="22"/>
      <c r="I31" s="25" t="s">
        <v>129</v>
      </c>
      <c r="J31" s="26" t="s">
        <v>130</v>
      </c>
      <c r="K31" s="26" t="s">
        <v>131</v>
      </c>
      <c r="L31" s="26" t="s">
        <v>141</v>
      </c>
      <c r="M31" s="26" t="s">
        <v>53</v>
      </c>
      <c r="N31" s="26" t="s">
        <v>141</v>
      </c>
      <c r="O31" s="27">
        <f t="shared" si="0"/>
        <v>1</v>
      </c>
      <c r="P31" s="27"/>
      <c r="Q31" s="27"/>
      <c r="R31" s="26" t="s">
        <v>202</v>
      </c>
      <c r="S31" s="26"/>
      <c r="T31" s="27" t="s">
        <v>52</v>
      </c>
      <c r="U31" s="27"/>
      <c r="V31" s="27"/>
      <c r="W31" s="26"/>
      <c r="X31" s="26"/>
      <c r="Y31" s="26" t="s">
        <v>142</v>
      </c>
      <c r="Z31" s="26" t="s">
        <v>141</v>
      </c>
      <c r="AA31" s="26" t="s">
        <v>75</v>
      </c>
      <c r="AB31" s="28"/>
      <c r="AC31" s="26" t="s">
        <v>50</v>
      </c>
      <c r="AD31" s="26"/>
    </row>
    <row r="32" spans="1:30" s="29" customFormat="1" ht="20.100000000000001" customHeight="1">
      <c r="A32" s="22">
        <v>14</v>
      </c>
      <c r="B32" s="22" t="s">
        <v>47</v>
      </c>
      <c r="C32" s="23">
        <v>14.8</v>
      </c>
      <c r="D32" s="24" t="s">
        <v>80</v>
      </c>
      <c r="E32" s="24" t="s">
        <v>129</v>
      </c>
      <c r="F32" s="24" t="s">
        <v>130</v>
      </c>
      <c r="G32" s="22"/>
      <c r="H32" s="22"/>
      <c r="I32" s="25" t="s">
        <v>129</v>
      </c>
      <c r="J32" s="26" t="s">
        <v>130</v>
      </c>
      <c r="K32" s="26" t="s">
        <v>131</v>
      </c>
      <c r="L32" s="26" t="s">
        <v>143</v>
      </c>
      <c r="M32" s="26" t="s">
        <v>53</v>
      </c>
      <c r="N32" s="26" t="s">
        <v>144</v>
      </c>
      <c r="O32" s="27">
        <f t="shared" si="0"/>
        <v>0</v>
      </c>
      <c r="P32" s="27"/>
      <c r="Q32" s="27"/>
      <c r="R32" s="26" t="s">
        <v>145</v>
      </c>
      <c r="S32" s="26"/>
      <c r="T32" s="27" t="s">
        <v>52</v>
      </c>
      <c r="U32" s="27"/>
      <c r="V32" s="27"/>
      <c r="W32" s="26" t="s">
        <v>146</v>
      </c>
      <c r="X32" s="26" t="s">
        <v>57</v>
      </c>
      <c r="Y32" s="26" t="s">
        <v>145</v>
      </c>
      <c r="Z32" s="26" t="s">
        <v>143</v>
      </c>
      <c r="AA32" s="26" t="s">
        <v>75</v>
      </c>
      <c r="AB32" s="28" t="s">
        <v>58</v>
      </c>
      <c r="AC32" s="26" t="s">
        <v>50</v>
      </c>
      <c r="AD32" s="26"/>
    </row>
    <row r="33" spans="1:30" s="29" customFormat="1" ht="20.100000000000001" customHeight="1">
      <c r="A33" s="22">
        <v>14</v>
      </c>
      <c r="B33" s="22" t="s">
        <v>47</v>
      </c>
      <c r="C33" s="23">
        <v>14.8</v>
      </c>
      <c r="D33" s="24" t="s">
        <v>80</v>
      </c>
      <c r="E33" s="24" t="s">
        <v>129</v>
      </c>
      <c r="F33" s="24" t="s">
        <v>130</v>
      </c>
      <c r="G33" s="22"/>
      <c r="H33" s="22"/>
      <c r="I33" s="25" t="s">
        <v>129</v>
      </c>
      <c r="J33" s="26" t="s">
        <v>130</v>
      </c>
      <c r="K33" s="26" t="s">
        <v>131</v>
      </c>
      <c r="L33" s="26" t="s">
        <v>147</v>
      </c>
      <c r="M33" s="26" t="s">
        <v>53</v>
      </c>
      <c r="N33" s="26" t="s">
        <v>144</v>
      </c>
      <c r="O33" s="27">
        <f t="shared" si="0"/>
        <v>0</v>
      </c>
      <c r="P33" s="27"/>
      <c r="Q33" s="27"/>
      <c r="R33" s="26" t="s">
        <v>148</v>
      </c>
      <c r="S33" s="26"/>
      <c r="T33" s="27" t="s">
        <v>52</v>
      </c>
      <c r="U33" s="27"/>
      <c r="V33" s="27"/>
      <c r="W33" s="26" t="s">
        <v>52</v>
      </c>
      <c r="X33" s="26" t="s">
        <v>57</v>
      </c>
      <c r="Y33" s="26" t="s">
        <v>148</v>
      </c>
      <c r="Z33" s="26" t="s">
        <v>147</v>
      </c>
      <c r="AA33" s="26" t="s">
        <v>75</v>
      </c>
      <c r="AB33" s="28" t="s">
        <v>58</v>
      </c>
      <c r="AC33" s="26" t="s">
        <v>50</v>
      </c>
      <c r="AD33" s="26"/>
    </row>
    <row r="34" spans="1:30" s="29" customFormat="1" ht="20.100000000000001" customHeight="1">
      <c r="A34" s="22">
        <v>14</v>
      </c>
      <c r="B34" s="22" t="s">
        <v>47</v>
      </c>
      <c r="C34" s="23">
        <v>14.8</v>
      </c>
      <c r="D34" s="24" t="s">
        <v>80</v>
      </c>
      <c r="E34" s="24" t="s">
        <v>129</v>
      </c>
      <c r="F34" s="24" t="s">
        <v>130</v>
      </c>
      <c r="G34" s="22"/>
      <c r="H34" s="22"/>
      <c r="I34" s="25" t="s">
        <v>129</v>
      </c>
      <c r="J34" s="26" t="s">
        <v>130</v>
      </c>
      <c r="K34" s="26" t="s">
        <v>131</v>
      </c>
      <c r="L34" s="26" t="s">
        <v>149</v>
      </c>
      <c r="M34" s="26" t="s">
        <v>53</v>
      </c>
      <c r="N34" s="26" t="s">
        <v>150</v>
      </c>
      <c r="O34" s="27">
        <f t="shared" si="0"/>
        <v>1</v>
      </c>
      <c r="P34" s="27"/>
      <c r="Q34" s="27"/>
      <c r="R34" s="26" t="s">
        <v>151</v>
      </c>
      <c r="S34" s="26"/>
      <c r="T34" s="27" t="s">
        <v>52</v>
      </c>
      <c r="U34" s="27"/>
      <c r="V34" s="27"/>
      <c r="W34" s="26" t="s">
        <v>52</v>
      </c>
      <c r="X34" s="26" t="s">
        <v>57</v>
      </c>
      <c r="Y34" s="26" t="s">
        <v>151</v>
      </c>
      <c r="Z34" s="26" t="s">
        <v>149</v>
      </c>
      <c r="AA34" s="26" t="s">
        <v>75</v>
      </c>
      <c r="AB34" s="28" t="s">
        <v>152</v>
      </c>
      <c r="AC34" s="26" t="s">
        <v>50</v>
      </c>
      <c r="AD34" s="26"/>
    </row>
    <row r="35" spans="1:30" s="29" customFormat="1" ht="20.100000000000001" customHeight="1">
      <c r="A35" s="22">
        <v>14</v>
      </c>
      <c r="B35" s="22" t="s">
        <v>47</v>
      </c>
      <c r="C35" s="23">
        <v>14.8</v>
      </c>
      <c r="D35" s="24" t="s">
        <v>80</v>
      </c>
      <c r="E35" s="24" t="s">
        <v>129</v>
      </c>
      <c r="F35" s="24" t="s">
        <v>130</v>
      </c>
      <c r="G35" s="22"/>
      <c r="H35" s="22"/>
      <c r="I35" s="25" t="s">
        <v>129</v>
      </c>
      <c r="J35" s="26" t="s">
        <v>130</v>
      </c>
      <c r="K35" s="26" t="s">
        <v>131</v>
      </c>
      <c r="L35" s="26" t="s">
        <v>153</v>
      </c>
      <c r="M35" s="27" t="s">
        <v>48</v>
      </c>
      <c r="N35" s="26" t="s">
        <v>153</v>
      </c>
      <c r="O35" s="27">
        <f t="shared" si="0"/>
        <v>1</v>
      </c>
      <c r="P35" s="27"/>
      <c r="Q35" s="27"/>
      <c r="R35" s="26"/>
      <c r="S35" s="26"/>
      <c r="T35" s="27" t="s">
        <v>67</v>
      </c>
      <c r="U35" s="27"/>
      <c r="V35" s="27"/>
      <c r="W35" s="26" t="s">
        <v>154</v>
      </c>
      <c r="X35" s="26" t="s">
        <v>55</v>
      </c>
      <c r="Y35" s="26"/>
      <c r="Z35" s="26" t="s">
        <v>153</v>
      </c>
      <c r="AA35" s="26" t="s">
        <v>75</v>
      </c>
      <c r="AB35" s="28"/>
      <c r="AC35" s="26" t="s">
        <v>50</v>
      </c>
      <c r="AD35" s="26"/>
    </row>
    <row r="36" spans="1:30" s="29" customFormat="1" ht="20.100000000000001" customHeight="1">
      <c r="A36" s="22">
        <v>14</v>
      </c>
      <c r="B36" s="22" t="s">
        <v>47</v>
      </c>
      <c r="C36" s="23">
        <v>14.8</v>
      </c>
      <c r="D36" s="24" t="s">
        <v>80</v>
      </c>
      <c r="E36" s="24" t="s">
        <v>129</v>
      </c>
      <c r="F36" s="24" t="s">
        <v>130</v>
      </c>
      <c r="G36" s="22"/>
      <c r="H36" s="22"/>
      <c r="I36" s="25" t="s">
        <v>129</v>
      </c>
      <c r="J36" s="26" t="s">
        <v>130</v>
      </c>
      <c r="K36" s="26" t="s">
        <v>131</v>
      </c>
      <c r="L36" s="26" t="s">
        <v>155</v>
      </c>
      <c r="M36" s="26" t="s">
        <v>53</v>
      </c>
      <c r="N36" s="26" t="s">
        <v>156</v>
      </c>
      <c r="O36" s="27">
        <f t="shared" si="0"/>
        <v>1</v>
      </c>
      <c r="P36" s="27"/>
      <c r="Q36" s="27"/>
      <c r="R36" s="26" t="s">
        <v>157</v>
      </c>
      <c r="S36" s="26"/>
      <c r="T36" s="27" t="s">
        <v>51</v>
      </c>
      <c r="U36" s="27"/>
      <c r="V36" s="27"/>
      <c r="W36" s="26" t="s">
        <v>51</v>
      </c>
      <c r="X36" s="26" t="s">
        <v>60</v>
      </c>
      <c r="Y36" s="26" t="s">
        <v>157</v>
      </c>
      <c r="Z36" s="26" t="s">
        <v>155</v>
      </c>
      <c r="AA36" s="26" t="s">
        <v>75</v>
      </c>
      <c r="AB36" s="28" t="s">
        <v>58</v>
      </c>
      <c r="AC36" s="26" t="s">
        <v>50</v>
      </c>
      <c r="AD36" s="26"/>
    </row>
    <row r="37" spans="1:30" s="29" customFormat="1" ht="20.100000000000001" customHeight="1">
      <c r="A37" s="22">
        <v>14</v>
      </c>
      <c r="B37" s="22" t="s">
        <v>47</v>
      </c>
      <c r="C37" s="23">
        <v>14.8</v>
      </c>
      <c r="D37" s="24" t="s">
        <v>80</v>
      </c>
      <c r="E37" s="24" t="s">
        <v>158</v>
      </c>
      <c r="F37" s="24" t="s">
        <v>159</v>
      </c>
      <c r="G37" s="22"/>
      <c r="H37" s="22"/>
      <c r="I37" s="25" t="s">
        <v>158</v>
      </c>
      <c r="J37" s="26" t="s">
        <v>159</v>
      </c>
      <c r="K37" s="26" t="s">
        <v>160</v>
      </c>
      <c r="L37" s="26" t="s">
        <v>161</v>
      </c>
      <c r="M37" s="26" t="s">
        <v>53</v>
      </c>
      <c r="N37" s="26" t="s">
        <v>161</v>
      </c>
      <c r="O37" s="27">
        <f t="shared" si="0"/>
        <v>1</v>
      </c>
      <c r="P37" s="27"/>
      <c r="Q37" s="27"/>
      <c r="R37" s="26" t="s">
        <v>162</v>
      </c>
      <c r="S37" s="26"/>
      <c r="T37" s="27" t="s">
        <v>54</v>
      </c>
      <c r="U37" s="27"/>
      <c r="V37" s="27"/>
      <c r="W37" s="26" t="s">
        <v>56</v>
      </c>
      <c r="X37" s="26" t="s">
        <v>57</v>
      </c>
      <c r="Y37" s="26" t="s">
        <v>162</v>
      </c>
      <c r="Z37" s="26" t="s">
        <v>161</v>
      </c>
      <c r="AA37" s="26" t="s">
        <v>75</v>
      </c>
      <c r="AB37" s="28"/>
      <c r="AC37" s="26" t="s">
        <v>50</v>
      </c>
      <c r="AD37" s="26" t="s">
        <v>59</v>
      </c>
    </row>
    <row r="38" spans="1:30" s="29" customFormat="1" ht="20.100000000000001" customHeight="1">
      <c r="A38" s="22">
        <v>14</v>
      </c>
      <c r="B38" s="22" t="s">
        <v>47</v>
      </c>
      <c r="C38" s="23">
        <v>14.8</v>
      </c>
      <c r="D38" s="24" t="s">
        <v>80</v>
      </c>
      <c r="E38" s="24" t="s">
        <v>158</v>
      </c>
      <c r="F38" s="24" t="s">
        <v>159</v>
      </c>
      <c r="G38" s="22"/>
      <c r="H38" s="22"/>
      <c r="I38" s="25" t="s">
        <v>158</v>
      </c>
      <c r="J38" s="26" t="s">
        <v>159</v>
      </c>
      <c r="K38" s="26" t="s">
        <v>160</v>
      </c>
      <c r="L38" s="26" t="s">
        <v>163</v>
      </c>
      <c r="M38" s="26" t="s">
        <v>53</v>
      </c>
      <c r="N38" s="26" t="s">
        <v>163</v>
      </c>
      <c r="O38" s="27">
        <f t="shared" si="0"/>
        <v>1</v>
      </c>
      <c r="P38" s="27"/>
      <c r="Q38" s="27"/>
      <c r="R38" s="26" t="s">
        <v>164</v>
      </c>
      <c r="S38" s="26"/>
      <c r="T38" s="27" t="s">
        <v>54</v>
      </c>
      <c r="U38" s="27"/>
      <c r="V38" s="27"/>
      <c r="W38" s="26" t="s">
        <v>56</v>
      </c>
      <c r="X38" s="26" t="s">
        <v>57</v>
      </c>
      <c r="Y38" s="26" t="s">
        <v>164</v>
      </c>
      <c r="Z38" s="26" t="s">
        <v>163</v>
      </c>
      <c r="AA38" s="26" t="s">
        <v>75</v>
      </c>
      <c r="AB38" s="28"/>
      <c r="AC38" s="26" t="s">
        <v>50</v>
      </c>
      <c r="AD38" s="26" t="s">
        <v>59</v>
      </c>
    </row>
    <row r="39" spans="1:30" s="29" customFormat="1" ht="20.100000000000001" customHeight="1">
      <c r="A39" s="22">
        <v>14</v>
      </c>
      <c r="B39" s="22" t="s">
        <v>47</v>
      </c>
      <c r="C39" s="23">
        <v>14.8</v>
      </c>
      <c r="D39" s="24" t="s">
        <v>80</v>
      </c>
      <c r="E39" s="24" t="s">
        <v>158</v>
      </c>
      <c r="F39" s="24" t="s">
        <v>159</v>
      </c>
      <c r="G39" s="22"/>
      <c r="H39" s="22"/>
      <c r="I39" s="25" t="s">
        <v>158</v>
      </c>
      <c r="J39" s="26" t="s">
        <v>159</v>
      </c>
      <c r="K39" s="26" t="s">
        <v>160</v>
      </c>
      <c r="L39" s="26" t="s">
        <v>110</v>
      </c>
      <c r="M39" s="27" t="s">
        <v>48</v>
      </c>
      <c r="N39" s="26" t="s">
        <v>110</v>
      </c>
      <c r="O39" s="27">
        <f t="shared" ref="O39" si="1">IF(L39=N39,1,0)</f>
        <v>1</v>
      </c>
      <c r="P39" s="27"/>
      <c r="Q39" s="27"/>
      <c r="R39" s="26"/>
      <c r="S39" s="26"/>
      <c r="T39" s="27"/>
      <c r="U39" s="27"/>
      <c r="V39" s="27"/>
      <c r="W39" s="26" t="s">
        <v>52</v>
      </c>
      <c r="X39" s="26" t="s">
        <v>61</v>
      </c>
      <c r="Y39" s="26"/>
      <c r="Z39" s="26" t="s">
        <v>110</v>
      </c>
      <c r="AA39" s="26" t="s">
        <v>75</v>
      </c>
      <c r="AB39" s="28"/>
      <c r="AC39" s="26" t="s">
        <v>50</v>
      </c>
      <c r="AD39" s="26"/>
    </row>
    <row r="40" spans="1:30" s="29" customFormat="1" ht="20.100000000000001" customHeight="1">
      <c r="A40" s="22">
        <v>14</v>
      </c>
      <c r="B40" s="22" t="s">
        <v>47</v>
      </c>
      <c r="C40" s="23">
        <v>14.8</v>
      </c>
      <c r="D40" s="24" t="s">
        <v>80</v>
      </c>
      <c r="E40" s="24" t="s">
        <v>158</v>
      </c>
      <c r="F40" s="24" t="s">
        <v>159</v>
      </c>
      <c r="G40" s="22"/>
      <c r="H40" s="22"/>
      <c r="I40" s="25" t="s">
        <v>158</v>
      </c>
      <c r="J40" s="26" t="s">
        <v>159</v>
      </c>
      <c r="K40" s="26" t="s">
        <v>160</v>
      </c>
      <c r="L40" s="26" t="s">
        <v>203</v>
      </c>
      <c r="M40" s="27" t="s">
        <v>48</v>
      </c>
      <c r="N40" s="26" t="s">
        <v>203</v>
      </c>
      <c r="O40" s="27">
        <f t="shared" si="0"/>
        <v>1</v>
      </c>
      <c r="P40" s="27"/>
      <c r="Q40" s="27"/>
      <c r="R40" s="26"/>
      <c r="S40" s="26"/>
      <c r="T40" s="27"/>
      <c r="U40" s="27"/>
      <c r="V40" s="27"/>
      <c r="W40" s="26" t="s">
        <v>52</v>
      </c>
      <c r="X40" s="26" t="s">
        <v>61</v>
      </c>
      <c r="Y40" s="26"/>
      <c r="Z40" s="26" t="s">
        <v>203</v>
      </c>
      <c r="AA40" s="26" t="s">
        <v>75</v>
      </c>
      <c r="AB40" s="28"/>
      <c r="AC40" s="26" t="s">
        <v>50</v>
      </c>
      <c r="AD40" s="26"/>
    </row>
    <row r="41" spans="1:30" s="29" customFormat="1" ht="20.100000000000001" customHeight="1">
      <c r="A41" s="22">
        <v>14</v>
      </c>
      <c r="B41" s="22" t="s">
        <v>47</v>
      </c>
      <c r="C41" s="23">
        <v>14.8</v>
      </c>
      <c r="D41" s="24" t="s">
        <v>80</v>
      </c>
      <c r="E41" s="24" t="s">
        <v>165</v>
      </c>
      <c r="F41" s="24" t="s">
        <v>166</v>
      </c>
      <c r="G41" s="22"/>
      <c r="H41" s="22"/>
      <c r="I41" s="25" t="s">
        <v>165</v>
      </c>
      <c r="J41" s="26" t="s">
        <v>166</v>
      </c>
      <c r="K41" s="26" t="s">
        <v>167</v>
      </c>
      <c r="L41" s="26" t="s">
        <v>111</v>
      </c>
      <c r="M41" s="26" t="s">
        <v>65</v>
      </c>
      <c r="N41" s="26"/>
      <c r="O41" s="27">
        <f t="shared" si="0"/>
        <v>0</v>
      </c>
      <c r="P41" s="27"/>
      <c r="Q41" s="27"/>
      <c r="R41" s="26"/>
      <c r="S41" s="26"/>
      <c r="T41" s="27"/>
      <c r="U41" s="27"/>
      <c r="V41" s="27"/>
      <c r="W41" s="26" t="s">
        <v>52</v>
      </c>
      <c r="X41" s="26" t="s">
        <v>55</v>
      </c>
      <c r="Y41" s="26"/>
      <c r="Z41" s="26"/>
      <c r="AA41" s="26" t="s">
        <v>75</v>
      </c>
      <c r="AB41" s="28"/>
      <c r="AC41" s="26" t="s">
        <v>50</v>
      </c>
      <c r="AD41" s="26"/>
    </row>
    <row r="42" spans="1:30" s="29" customFormat="1" ht="20.100000000000001" customHeight="1">
      <c r="A42" s="22">
        <v>14</v>
      </c>
      <c r="B42" s="22" t="s">
        <v>47</v>
      </c>
      <c r="C42" s="23">
        <v>14.8</v>
      </c>
      <c r="D42" s="24" t="s">
        <v>80</v>
      </c>
      <c r="E42" s="24" t="s">
        <v>165</v>
      </c>
      <c r="F42" s="24" t="s">
        <v>166</v>
      </c>
      <c r="G42" s="22"/>
      <c r="H42" s="22"/>
      <c r="I42" s="25" t="s">
        <v>165</v>
      </c>
      <c r="J42" s="26" t="s">
        <v>166</v>
      </c>
      <c r="K42" s="26" t="s">
        <v>167</v>
      </c>
      <c r="L42" s="26" t="s">
        <v>110</v>
      </c>
      <c r="M42" s="26" t="s">
        <v>65</v>
      </c>
      <c r="N42" s="26"/>
      <c r="O42" s="27">
        <f t="shared" si="0"/>
        <v>0</v>
      </c>
      <c r="P42" s="27"/>
      <c r="Q42" s="27"/>
      <c r="R42" s="26"/>
      <c r="S42" s="26"/>
      <c r="T42" s="27"/>
      <c r="U42" s="27"/>
      <c r="V42" s="27"/>
      <c r="W42" s="26" t="s">
        <v>52</v>
      </c>
      <c r="X42" s="26" t="s">
        <v>55</v>
      </c>
      <c r="Y42" s="26"/>
      <c r="Z42" s="26"/>
      <c r="AA42" s="26" t="s">
        <v>75</v>
      </c>
      <c r="AB42" s="28"/>
      <c r="AC42" s="26" t="s">
        <v>50</v>
      </c>
      <c r="AD42" s="26"/>
    </row>
    <row r="43" spans="1:30" s="29" customFormat="1" ht="20.100000000000001" customHeight="1">
      <c r="A43" s="22">
        <v>14</v>
      </c>
      <c r="B43" s="22" t="s">
        <v>47</v>
      </c>
      <c r="C43" s="23">
        <v>14.8</v>
      </c>
      <c r="D43" s="24" t="s">
        <v>80</v>
      </c>
      <c r="E43" s="24" t="s">
        <v>165</v>
      </c>
      <c r="F43" s="24" t="s">
        <v>166</v>
      </c>
      <c r="G43" s="22"/>
      <c r="H43" s="22"/>
      <c r="I43" s="25" t="s">
        <v>165</v>
      </c>
      <c r="J43" s="26" t="s">
        <v>166</v>
      </c>
      <c r="K43" s="26" t="s">
        <v>167</v>
      </c>
      <c r="L43" s="26" t="s">
        <v>168</v>
      </c>
      <c r="M43" s="26" t="s">
        <v>53</v>
      </c>
      <c r="N43" s="26" t="s">
        <v>168</v>
      </c>
      <c r="O43" s="27">
        <f t="shared" si="0"/>
        <v>1</v>
      </c>
      <c r="P43" s="27"/>
      <c r="Q43" s="27"/>
      <c r="R43" s="26" t="s">
        <v>169</v>
      </c>
      <c r="S43" s="26"/>
      <c r="T43" s="27" t="s">
        <v>54</v>
      </c>
      <c r="U43" s="27"/>
      <c r="V43" s="27"/>
      <c r="W43" s="26" t="s">
        <v>56</v>
      </c>
      <c r="X43" s="26" t="s">
        <v>57</v>
      </c>
      <c r="Y43" s="26" t="s">
        <v>169</v>
      </c>
      <c r="Z43" s="26" t="s">
        <v>168</v>
      </c>
      <c r="AA43" s="26" t="s">
        <v>75</v>
      </c>
      <c r="AB43" s="28"/>
      <c r="AC43" s="26" t="s">
        <v>50</v>
      </c>
      <c r="AD43" s="26" t="s">
        <v>59</v>
      </c>
    </row>
    <row r="44" spans="1:30" s="29" customFormat="1" ht="20.100000000000001" customHeight="1">
      <c r="A44" s="22">
        <v>14</v>
      </c>
      <c r="B44" s="22" t="s">
        <v>47</v>
      </c>
      <c r="C44" s="23">
        <v>14.8</v>
      </c>
      <c r="D44" s="24" t="s">
        <v>80</v>
      </c>
      <c r="E44" s="24" t="s">
        <v>165</v>
      </c>
      <c r="F44" s="24" t="s">
        <v>166</v>
      </c>
      <c r="G44" s="22"/>
      <c r="H44" s="22"/>
      <c r="I44" s="25" t="s">
        <v>165</v>
      </c>
      <c r="J44" s="26" t="s">
        <v>166</v>
      </c>
      <c r="K44" s="26" t="s">
        <v>167</v>
      </c>
      <c r="L44" s="26" t="s">
        <v>170</v>
      </c>
      <c r="M44" s="26" t="s">
        <v>53</v>
      </c>
      <c r="N44" s="26" t="s">
        <v>170</v>
      </c>
      <c r="O44" s="27">
        <f t="shared" si="0"/>
        <v>1</v>
      </c>
      <c r="P44" s="27"/>
      <c r="Q44" s="27"/>
      <c r="R44" s="26" t="s">
        <v>171</v>
      </c>
      <c r="S44" s="26"/>
      <c r="T44" s="27" t="s">
        <v>54</v>
      </c>
      <c r="U44" s="27"/>
      <c r="V44" s="27"/>
      <c r="W44" s="26" t="s">
        <v>56</v>
      </c>
      <c r="X44" s="26" t="s">
        <v>57</v>
      </c>
      <c r="Y44" s="26" t="s">
        <v>171</v>
      </c>
      <c r="Z44" s="26" t="s">
        <v>170</v>
      </c>
      <c r="AA44" s="26" t="s">
        <v>75</v>
      </c>
      <c r="AB44" s="28"/>
      <c r="AC44" s="26" t="s">
        <v>50</v>
      </c>
      <c r="AD44" s="26" t="s">
        <v>59</v>
      </c>
    </row>
    <row r="45" spans="1:30" s="29" customFormat="1" ht="20.100000000000001" customHeight="1">
      <c r="A45" s="22">
        <v>14</v>
      </c>
      <c r="B45" s="22" t="s">
        <v>47</v>
      </c>
      <c r="C45" s="23">
        <v>14.8</v>
      </c>
      <c r="D45" s="24" t="s">
        <v>80</v>
      </c>
      <c r="E45" s="24" t="s">
        <v>165</v>
      </c>
      <c r="F45" s="24" t="s">
        <v>166</v>
      </c>
      <c r="G45" s="22"/>
      <c r="H45" s="22"/>
      <c r="I45" s="25" t="s">
        <v>165</v>
      </c>
      <c r="J45" s="26" t="s">
        <v>166</v>
      </c>
      <c r="K45" s="26" t="s">
        <v>167</v>
      </c>
      <c r="L45" s="26" t="s">
        <v>172</v>
      </c>
      <c r="M45" s="26" t="s">
        <v>53</v>
      </c>
      <c r="N45" s="26" t="s">
        <v>172</v>
      </c>
      <c r="O45" s="27">
        <f t="shared" si="0"/>
        <v>1</v>
      </c>
      <c r="P45" s="27"/>
      <c r="Q45" s="27"/>
      <c r="R45" s="26" t="s">
        <v>173</v>
      </c>
      <c r="S45" s="26"/>
      <c r="T45" s="27" t="s">
        <v>49</v>
      </c>
      <c r="U45" s="27"/>
      <c r="V45" s="27"/>
      <c r="W45" s="26" t="s">
        <v>49</v>
      </c>
      <c r="X45" s="26" t="s">
        <v>79</v>
      </c>
      <c r="Y45" s="26" t="s">
        <v>173</v>
      </c>
      <c r="Z45" s="26" t="s">
        <v>172</v>
      </c>
      <c r="AA45" s="26" t="s">
        <v>75</v>
      </c>
      <c r="AB45" s="28" t="s">
        <v>58</v>
      </c>
      <c r="AC45" s="26" t="s">
        <v>50</v>
      </c>
      <c r="AD45" s="26"/>
    </row>
    <row r="46" spans="1:30" s="29" customFormat="1" ht="20.100000000000001" customHeight="1">
      <c r="A46" s="22">
        <v>14</v>
      </c>
      <c r="B46" s="22" t="s">
        <v>47</v>
      </c>
      <c r="C46" s="23">
        <v>14.8</v>
      </c>
      <c r="D46" s="24" t="s">
        <v>80</v>
      </c>
      <c r="E46" s="24" t="s">
        <v>165</v>
      </c>
      <c r="F46" s="24" t="s">
        <v>166</v>
      </c>
      <c r="G46" s="22"/>
      <c r="H46" s="22"/>
      <c r="I46" s="25" t="s">
        <v>165</v>
      </c>
      <c r="J46" s="26" t="s">
        <v>166</v>
      </c>
      <c r="K46" s="26" t="s">
        <v>167</v>
      </c>
      <c r="L46" s="26" t="s">
        <v>174</v>
      </c>
      <c r="M46" s="26" t="s">
        <v>53</v>
      </c>
      <c r="N46" s="26" t="s">
        <v>174</v>
      </c>
      <c r="O46" s="27">
        <f t="shared" si="0"/>
        <v>1</v>
      </c>
      <c r="P46" s="27"/>
      <c r="Q46" s="27"/>
      <c r="R46" s="26" t="s">
        <v>175</v>
      </c>
      <c r="S46" s="26"/>
      <c r="T46" s="27" t="s">
        <v>49</v>
      </c>
      <c r="U46" s="27"/>
      <c r="V46" s="27"/>
      <c r="W46" s="26" t="s">
        <v>49</v>
      </c>
      <c r="X46" s="26" t="s">
        <v>57</v>
      </c>
      <c r="Y46" s="26" t="s">
        <v>175</v>
      </c>
      <c r="Z46" s="26" t="s">
        <v>174</v>
      </c>
      <c r="AA46" s="26" t="s">
        <v>75</v>
      </c>
      <c r="AB46" s="28" t="s">
        <v>58</v>
      </c>
      <c r="AC46" s="26" t="s">
        <v>50</v>
      </c>
      <c r="AD46" s="26"/>
    </row>
    <row r="47" spans="1:30" s="29" customFormat="1" ht="20.100000000000001" customHeight="1">
      <c r="A47" s="22">
        <v>14</v>
      </c>
      <c r="B47" s="22" t="s">
        <v>47</v>
      </c>
      <c r="C47" s="23">
        <v>14.8</v>
      </c>
      <c r="D47" s="24" t="s">
        <v>80</v>
      </c>
      <c r="E47" s="24" t="s">
        <v>165</v>
      </c>
      <c r="F47" s="24" t="s">
        <v>166</v>
      </c>
      <c r="G47" s="22"/>
      <c r="H47" s="22"/>
      <c r="I47" s="25" t="s">
        <v>165</v>
      </c>
      <c r="J47" s="26" t="s">
        <v>166</v>
      </c>
      <c r="K47" s="26" t="s">
        <v>167</v>
      </c>
      <c r="L47" s="26" t="s">
        <v>176</v>
      </c>
      <c r="M47" s="26" t="s">
        <v>53</v>
      </c>
      <c r="N47" s="26" t="s">
        <v>176</v>
      </c>
      <c r="O47" s="27">
        <f t="shared" si="0"/>
        <v>1</v>
      </c>
      <c r="P47" s="27"/>
      <c r="Q47" s="27"/>
      <c r="R47" s="26" t="s">
        <v>177</v>
      </c>
      <c r="S47" s="26"/>
      <c r="T47" s="27" t="s">
        <v>49</v>
      </c>
      <c r="U47" s="27"/>
      <c r="V47" s="27"/>
      <c r="W47" s="26" t="s">
        <v>49</v>
      </c>
      <c r="X47" s="26" t="s">
        <v>57</v>
      </c>
      <c r="Y47" s="26" t="s">
        <v>177</v>
      </c>
      <c r="Z47" s="26" t="s">
        <v>176</v>
      </c>
      <c r="AA47" s="26" t="s">
        <v>75</v>
      </c>
      <c r="AB47" s="28" t="s">
        <v>58</v>
      </c>
      <c r="AC47" s="26" t="s">
        <v>50</v>
      </c>
      <c r="AD47" s="26"/>
    </row>
    <row r="48" spans="1:30" s="29" customFormat="1" ht="20.100000000000001" customHeight="1">
      <c r="A48" s="22">
        <v>14</v>
      </c>
      <c r="B48" s="22" t="s">
        <v>47</v>
      </c>
      <c r="C48" s="23">
        <v>14.8</v>
      </c>
      <c r="D48" s="24" t="s">
        <v>80</v>
      </c>
      <c r="E48" s="24" t="s">
        <v>165</v>
      </c>
      <c r="F48" s="24" t="s">
        <v>166</v>
      </c>
      <c r="G48" s="22"/>
      <c r="H48" s="22"/>
      <c r="I48" s="25" t="s">
        <v>165</v>
      </c>
      <c r="J48" s="26" t="s">
        <v>166</v>
      </c>
      <c r="K48" s="26" t="s">
        <v>167</v>
      </c>
      <c r="L48" s="26" t="s">
        <v>178</v>
      </c>
      <c r="M48" s="26" t="s">
        <v>53</v>
      </c>
      <c r="N48" s="26" t="s">
        <v>178</v>
      </c>
      <c r="O48" s="27">
        <f t="shared" si="0"/>
        <v>1</v>
      </c>
      <c r="P48" s="27"/>
      <c r="Q48" s="27"/>
      <c r="R48" s="26" t="s">
        <v>179</v>
      </c>
      <c r="S48" s="26"/>
      <c r="T48" s="27" t="s">
        <v>54</v>
      </c>
      <c r="U48" s="27"/>
      <c r="V48" s="27"/>
      <c r="W48" s="26" t="s">
        <v>56</v>
      </c>
      <c r="X48" s="26" t="s">
        <v>57</v>
      </c>
      <c r="Y48" s="26" t="s">
        <v>179</v>
      </c>
      <c r="Z48" s="26" t="s">
        <v>178</v>
      </c>
      <c r="AA48" s="26" t="s">
        <v>75</v>
      </c>
      <c r="AB48" s="28"/>
      <c r="AC48" s="26" t="s">
        <v>50</v>
      </c>
      <c r="AD48" s="26" t="s">
        <v>59</v>
      </c>
    </row>
    <row r="49" spans="1:30" s="29" customFormat="1" ht="20.100000000000001" customHeight="1">
      <c r="A49" s="22">
        <v>14</v>
      </c>
      <c r="B49" s="22" t="s">
        <v>47</v>
      </c>
      <c r="C49" s="23">
        <v>14.8</v>
      </c>
      <c r="D49" s="24" t="s">
        <v>80</v>
      </c>
      <c r="E49" s="24" t="s">
        <v>165</v>
      </c>
      <c r="F49" s="24" t="s">
        <v>166</v>
      </c>
      <c r="G49" s="22"/>
      <c r="H49" s="22"/>
      <c r="I49" s="25" t="s">
        <v>165</v>
      </c>
      <c r="J49" s="26" t="s">
        <v>166</v>
      </c>
      <c r="K49" s="26" t="s">
        <v>167</v>
      </c>
      <c r="L49" s="26" t="s">
        <v>180</v>
      </c>
      <c r="M49" s="26" t="s">
        <v>53</v>
      </c>
      <c r="N49" s="26" t="s">
        <v>180</v>
      </c>
      <c r="O49" s="27">
        <f t="shared" si="0"/>
        <v>1</v>
      </c>
      <c r="P49" s="27"/>
      <c r="Q49" s="27"/>
      <c r="R49" s="26" t="s">
        <v>181</v>
      </c>
      <c r="S49" s="26"/>
      <c r="T49" s="27" t="s">
        <v>54</v>
      </c>
      <c r="U49" s="27"/>
      <c r="V49" s="27"/>
      <c r="W49" s="26" t="s">
        <v>56</v>
      </c>
      <c r="X49" s="26" t="s">
        <v>57</v>
      </c>
      <c r="Y49" s="26" t="s">
        <v>181</v>
      </c>
      <c r="Z49" s="26" t="s">
        <v>180</v>
      </c>
      <c r="AA49" s="26" t="s">
        <v>75</v>
      </c>
      <c r="AB49" s="28"/>
      <c r="AC49" s="26" t="s">
        <v>50</v>
      </c>
      <c r="AD49" s="26" t="s">
        <v>59</v>
      </c>
    </row>
    <row r="50" spans="1:30" s="29" customFormat="1" ht="20.100000000000001" customHeight="1">
      <c r="A50" s="22">
        <v>14</v>
      </c>
      <c r="B50" s="22" t="s">
        <v>47</v>
      </c>
      <c r="C50" s="23">
        <v>14.8</v>
      </c>
      <c r="D50" s="24" t="s">
        <v>80</v>
      </c>
      <c r="E50" s="24" t="s">
        <v>165</v>
      </c>
      <c r="F50" s="24" t="s">
        <v>166</v>
      </c>
      <c r="G50" s="22"/>
      <c r="H50" s="22"/>
      <c r="I50" s="25" t="s">
        <v>165</v>
      </c>
      <c r="J50" s="26" t="s">
        <v>166</v>
      </c>
      <c r="K50" s="26" t="s">
        <v>167</v>
      </c>
      <c r="L50" s="26" t="s">
        <v>182</v>
      </c>
      <c r="M50" s="26" t="s">
        <v>65</v>
      </c>
      <c r="N50" s="26" t="s">
        <v>182</v>
      </c>
      <c r="O50" s="27">
        <f t="shared" si="0"/>
        <v>1</v>
      </c>
      <c r="P50" s="27"/>
      <c r="Q50" s="27"/>
      <c r="R50" s="26"/>
      <c r="S50" s="26"/>
      <c r="T50" s="27"/>
      <c r="U50" s="27"/>
      <c r="V50" s="27"/>
      <c r="W50" s="26"/>
      <c r="X50" s="26" t="s">
        <v>55</v>
      </c>
      <c r="Y50" s="26"/>
      <c r="Z50" s="26"/>
      <c r="AA50" s="26" t="s">
        <v>75</v>
      </c>
      <c r="AB50" s="28"/>
      <c r="AC50" s="26" t="s">
        <v>50</v>
      </c>
      <c r="AD50" s="26"/>
    </row>
    <row r="51" spans="1:30" s="29" customFormat="1" ht="20.100000000000001" customHeight="1">
      <c r="A51" s="22">
        <v>14</v>
      </c>
      <c r="B51" s="22" t="s">
        <v>47</v>
      </c>
      <c r="C51" s="23">
        <v>14.8</v>
      </c>
      <c r="D51" s="24" t="s">
        <v>80</v>
      </c>
      <c r="E51" s="24" t="s">
        <v>165</v>
      </c>
      <c r="F51" s="24" t="s">
        <v>166</v>
      </c>
      <c r="G51" s="22"/>
      <c r="H51" s="22"/>
      <c r="I51" s="25" t="s">
        <v>165</v>
      </c>
      <c r="J51" s="26" t="s">
        <v>166</v>
      </c>
      <c r="K51" s="26" t="s">
        <v>167</v>
      </c>
      <c r="L51" s="26" t="s">
        <v>183</v>
      </c>
      <c r="M51" s="26" t="s">
        <v>53</v>
      </c>
      <c r="N51" s="26" t="s">
        <v>183</v>
      </c>
      <c r="O51" s="27">
        <f t="shared" si="0"/>
        <v>1</v>
      </c>
      <c r="P51" s="27"/>
      <c r="Q51" s="27"/>
      <c r="R51" s="26" t="s">
        <v>184</v>
      </c>
      <c r="S51" s="26"/>
      <c r="T51" s="27" t="s">
        <v>49</v>
      </c>
      <c r="U51" s="27"/>
      <c r="V51" s="27"/>
      <c r="W51" s="26" t="s">
        <v>49</v>
      </c>
      <c r="X51" s="26" t="s">
        <v>57</v>
      </c>
      <c r="Y51" s="26" t="s">
        <v>184</v>
      </c>
      <c r="Z51" s="26" t="s">
        <v>183</v>
      </c>
      <c r="AA51" s="26" t="s">
        <v>75</v>
      </c>
      <c r="AB51" s="28" t="s">
        <v>58</v>
      </c>
      <c r="AC51" s="26" t="s">
        <v>50</v>
      </c>
      <c r="AD51" s="26"/>
    </row>
    <row r="52" spans="1:30" s="53" customFormat="1" ht="20.100000000000001" customHeight="1">
      <c r="A52" s="49">
        <v>14</v>
      </c>
      <c r="B52" s="49" t="s">
        <v>47</v>
      </c>
      <c r="C52" s="54">
        <v>14.8</v>
      </c>
      <c r="D52" s="55" t="s">
        <v>80</v>
      </c>
      <c r="E52" s="55" t="s">
        <v>165</v>
      </c>
      <c r="F52" s="55" t="s">
        <v>166</v>
      </c>
      <c r="G52" s="56" t="s">
        <v>185</v>
      </c>
      <c r="H52" s="56" t="s">
        <v>204</v>
      </c>
      <c r="I52" s="50" t="s">
        <v>185</v>
      </c>
      <c r="J52" s="51" t="s">
        <v>186</v>
      </c>
      <c r="K52" s="51" t="s">
        <v>205</v>
      </c>
      <c r="L52" s="51" t="s">
        <v>187</v>
      </c>
      <c r="M52" s="51" t="s">
        <v>53</v>
      </c>
      <c r="N52" s="51" t="s">
        <v>187</v>
      </c>
      <c r="O52" s="52">
        <f t="shared" si="0"/>
        <v>1</v>
      </c>
      <c r="P52" s="52"/>
      <c r="Q52" s="52"/>
      <c r="R52" s="51" t="s">
        <v>188</v>
      </c>
      <c r="S52" s="51"/>
      <c r="T52" s="52" t="s">
        <v>54</v>
      </c>
      <c r="U52" s="52"/>
      <c r="V52" s="52"/>
      <c r="W52" s="51" t="s">
        <v>56</v>
      </c>
      <c r="X52" s="51" t="s">
        <v>57</v>
      </c>
      <c r="Y52" s="51" t="s">
        <v>188</v>
      </c>
      <c r="Z52" s="51" t="s">
        <v>187</v>
      </c>
      <c r="AA52" s="51" t="s">
        <v>75</v>
      </c>
      <c r="AB52" s="52"/>
      <c r="AC52" s="51" t="s">
        <v>206</v>
      </c>
      <c r="AD52" s="51" t="s">
        <v>207</v>
      </c>
    </row>
    <row r="53" spans="1:30" s="29" customFormat="1" ht="20.100000000000001" customHeight="1">
      <c r="A53" s="22">
        <v>14</v>
      </c>
      <c r="B53" s="22" t="s">
        <v>47</v>
      </c>
      <c r="C53" s="23">
        <v>14.8</v>
      </c>
      <c r="D53" s="24" t="s">
        <v>80</v>
      </c>
      <c r="E53" s="24" t="s">
        <v>189</v>
      </c>
      <c r="F53" s="24" t="s">
        <v>190</v>
      </c>
      <c r="G53" s="22"/>
      <c r="H53" s="22"/>
      <c r="I53" s="25" t="s">
        <v>189</v>
      </c>
      <c r="J53" s="26" t="s">
        <v>190</v>
      </c>
      <c r="K53" s="26" t="s">
        <v>191</v>
      </c>
      <c r="L53" s="26" t="s">
        <v>192</v>
      </c>
      <c r="M53" s="26" t="s">
        <v>53</v>
      </c>
      <c r="N53" s="26" t="s">
        <v>192</v>
      </c>
      <c r="O53" s="27">
        <f t="shared" si="0"/>
        <v>1</v>
      </c>
      <c r="P53" s="27"/>
      <c r="Q53" s="27"/>
      <c r="R53" s="26"/>
      <c r="S53" s="26" t="s">
        <v>193</v>
      </c>
      <c r="T53" s="27" t="s">
        <v>54</v>
      </c>
      <c r="U53" s="27"/>
      <c r="V53" s="27"/>
      <c r="W53" s="26" t="s">
        <v>56</v>
      </c>
      <c r="X53" s="26" t="s">
        <v>57</v>
      </c>
      <c r="Y53" s="26" t="s">
        <v>193</v>
      </c>
      <c r="Z53" s="26" t="s">
        <v>192</v>
      </c>
      <c r="AA53" s="26" t="s">
        <v>75</v>
      </c>
      <c r="AB53" s="28"/>
      <c r="AC53" s="26" t="s">
        <v>50</v>
      </c>
      <c r="AD53" s="26" t="s">
        <v>59</v>
      </c>
    </row>
    <row r="54" spans="1:30" s="29" customFormat="1" ht="20.100000000000001" customHeight="1">
      <c r="A54" s="22">
        <v>14</v>
      </c>
      <c r="B54" s="22" t="s">
        <v>47</v>
      </c>
      <c r="C54" s="23">
        <v>14.8</v>
      </c>
      <c r="D54" s="24" t="s">
        <v>80</v>
      </c>
      <c r="E54" s="24" t="s">
        <v>194</v>
      </c>
      <c r="F54" s="24" t="s">
        <v>195</v>
      </c>
      <c r="G54" s="22"/>
      <c r="H54" s="22"/>
      <c r="I54" s="25" t="s">
        <v>194</v>
      </c>
      <c r="J54" s="26" t="s">
        <v>195</v>
      </c>
      <c r="K54" s="26" t="s">
        <v>196</v>
      </c>
      <c r="L54" s="26" t="s">
        <v>197</v>
      </c>
      <c r="M54" s="26" t="s">
        <v>53</v>
      </c>
      <c r="N54" s="26" t="s">
        <v>197</v>
      </c>
      <c r="O54" s="27">
        <f t="shared" si="0"/>
        <v>1</v>
      </c>
      <c r="P54" s="27"/>
      <c r="Q54" s="27"/>
      <c r="R54" s="26" t="s">
        <v>198</v>
      </c>
      <c r="S54" s="26"/>
      <c r="T54" s="27" t="s">
        <v>54</v>
      </c>
      <c r="U54" s="27"/>
      <c r="V54" s="27"/>
      <c r="W54" s="26" t="s">
        <v>56</v>
      </c>
      <c r="X54" s="26" t="s">
        <v>57</v>
      </c>
      <c r="Y54" s="26" t="s">
        <v>198</v>
      </c>
      <c r="Z54" s="26" t="s">
        <v>197</v>
      </c>
      <c r="AA54" s="26" t="s">
        <v>75</v>
      </c>
      <c r="AB54" s="28"/>
      <c r="AC54" s="26" t="s">
        <v>50</v>
      </c>
      <c r="AD54" s="26" t="s">
        <v>59</v>
      </c>
    </row>
    <row r="55" spans="1:30" s="29" customFormat="1" ht="20.100000000000001" customHeight="1">
      <c r="A55" s="22">
        <v>14</v>
      </c>
      <c r="B55" s="22" t="s">
        <v>47</v>
      </c>
      <c r="C55" s="23">
        <v>14.8</v>
      </c>
      <c r="D55" s="24" t="s">
        <v>80</v>
      </c>
      <c r="E55" s="24" t="s">
        <v>194</v>
      </c>
      <c r="F55" s="24" t="s">
        <v>195</v>
      </c>
      <c r="G55" s="22"/>
      <c r="H55" s="22"/>
      <c r="I55" s="25" t="s">
        <v>194</v>
      </c>
      <c r="J55" s="26" t="s">
        <v>195</v>
      </c>
      <c r="K55" s="26" t="s">
        <v>196</v>
      </c>
      <c r="L55" s="26" t="s">
        <v>115</v>
      </c>
      <c r="M55" s="26" t="s">
        <v>65</v>
      </c>
      <c r="N55" s="26"/>
      <c r="O55" s="27">
        <f t="shared" si="0"/>
        <v>0</v>
      </c>
      <c r="P55" s="27"/>
      <c r="Q55" s="27"/>
      <c r="R55" s="26"/>
      <c r="S55" s="26"/>
      <c r="T55" s="27"/>
      <c r="U55" s="27"/>
      <c r="V55" s="27"/>
      <c r="W55" s="26" t="s">
        <v>56</v>
      </c>
      <c r="X55" s="26" t="s">
        <v>55</v>
      </c>
      <c r="Y55" s="26" t="s">
        <v>116</v>
      </c>
      <c r="Z55" s="26" t="s">
        <v>115</v>
      </c>
      <c r="AA55" s="26" t="s">
        <v>75</v>
      </c>
      <c r="AB55" s="28"/>
      <c r="AC55" s="26" t="s">
        <v>50</v>
      </c>
      <c r="AD55" s="26"/>
    </row>
  </sheetData>
  <autoFilter ref="A5:AD55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</autoFilter>
  <mergeCells count="8">
    <mergeCell ref="A5:H5"/>
    <mergeCell ref="A1:M1"/>
    <mergeCell ref="A2:AA2"/>
    <mergeCell ref="A3:H3"/>
    <mergeCell ref="K3:L3"/>
    <mergeCell ref="M3:V3"/>
    <mergeCell ref="W3:X3"/>
    <mergeCell ref="Y3:AA3"/>
  </mergeCells>
  <phoneticPr fontId="1" type="noConversion"/>
  <dataValidations count="2">
    <dataValidation type="list" allowBlank="1" showInputMessage="1" showErrorMessage="1" sqref="U6:U55 T8 T55 T19:T20 T39:T42 T50">
      <formula1>"ERP,WMS,MES,OA,快表,CPM,PLM,CAPP,PDM,线下EXCEL,线下WORD,外部系统"</formula1>
    </dataValidation>
    <dataValidation type="list" allowBlank="1" showInputMessage="1" showErrorMessage="1" sqref="T21:T38 T43:T49 T51:T54 T9:T18 T6:T7">
      <formula1>"ERP,WMS,MES,OA,快表,CPM,PLM,CAPP,PDM,线下EXCEL,线下WORD,外部系统,纸质"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郑雨众</cp:lastModifiedBy>
  <dcterms:created xsi:type="dcterms:W3CDTF">2015-06-05T18:17:20Z</dcterms:created>
  <dcterms:modified xsi:type="dcterms:W3CDTF">2025-09-30T01:01:48Z</dcterms:modified>
</cp:coreProperties>
</file>